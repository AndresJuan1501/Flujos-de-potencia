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be5c9122ca7da15/clases online/andres/Andres Estudio/Sistemas de Potencia/proyecto/informe y codigos/proyecto_Ybarra/2 entrega/"/>
    </mc:Choice>
  </mc:AlternateContent>
  <xr:revisionPtr revIDLastSave="84" documentId="13_ncr:1_{2377B0A5-82B4-4F6B-AED2-ADC9D63F2FBF}" xr6:coauthVersionLast="47" xr6:coauthVersionMax="47" xr10:uidLastSave="{1F90AAAB-30E1-4286-B46B-F5BC951F74AD}"/>
  <bookViews>
    <workbookView xWindow="14295" yWindow="0" windowWidth="14610" windowHeight="15585" xr2:uid="{F6C97D4D-4A66-41AC-A87E-E9EDA14FDAD6}"/>
  </bookViews>
  <sheets>
    <sheet name="Numeración barras" sheetId="17" r:id="rId1"/>
    <sheet name="Hoja1" sheetId="20" r:id="rId2"/>
    <sheet name="Día 1" sheetId="9" r:id="rId3"/>
    <sheet name="Día 2" sheetId="10" r:id="rId4"/>
    <sheet name="Día 3" sheetId="11" r:id="rId5"/>
    <sheet name="Día 4" sheetId="12" r:id="rId6"/>
    <sheet name="Día 5" sheetId="14" r:id="rId7"/>
    <sheet name="Día 6" sheetId="15" r:id="rId8"/>
    <sheet name="Día 7" sheetId="16" r:id="rId9"/>
    <sheet name="Día 7 (2)" sheetId="19" r:id="rId10"/>
  </sheets>
  <definedNames>
    <definedName name="_xlnm._FilterDatabase" localSheetId="9" hidden="1">'Día 7 (2)'!$A$1:$AD$2518</definedName>
    <definedName name="_xleta.MEDIA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7" l="1"/>
  <c r="F3" i="17"/>
  <c r="J27" i="17"/>
  <c r="I27" i="17"/>
  <c r="J10" i="17"/>
  <c r="I10" i="17"/>
  <c r="J5" i="17"/>
  <c r="I5" i="17"/>
  <c r="G3" i="17"/>
  <c r="G27" i="17"/>
  <c r="F27" i="17"/>
  <c r="G10" i="17"/>
  <c r="G5" i="17"/>
  <c r="F5" i="17"/>
  <c r="G4" i="17"/>
  <c r="AD91" i="19"/>
  <c r="AC91" i="19"/>
  <c r="AD90" i="19"/>
  <c r="AC90" i="19"/>
  <c r="AD89" i="19"/>
  <c r="AC89" i="19"/>
  <c r="AD88" i="19"/>
  <c r="AC88" i="19"/>
  <c r="AD87" i="19"/>
  <c r="AC87" i="19"/>
  <c r="AD86" i="19"/>
  <c r="AC86" i="19"/>
  <c r="AD85" i="19"/>
  <c r="AC85" i="19"/>
  <c r="AD84" i="19"/>
  <c r="AC84" i="19"/>
  <c r="AD83" i="19"/>
  <c r="AC83" i="19"/>
  <c r="AD82" i="19"/>
  <c r="AC82" i="19"/>
  <c r="AD81" i="19"/>
  <c r="AC81" i="19"/>
  <c r="AD80" i="19"/>
  <c r="AC80" i="19"/>
  <c r="AD79" i="19"/>
  <c r="AC79" i="19"/>
  <c r="AD78" i="19"/>
  <c r="AC78" i="19"/>
  <c r="AD77" i="19"/>
  <c r="AC77" i="19"/>
  <c r="AD76" i="19"/>
  <c r="AC76" i="19"/>
  <c r="AD75" i="19"/>
  <c r="AC75" i="19"/>
  <c r="AD74" i="19"/>
  <c r="AC74" i="19"/>
  <c r="AD73" i="19"/>
  <c r="AC73" i="19"/>
  <c r="AD72" i="19"/>
  <c r="AC72" i="19"/>
  <c r="AD71" i="19"/>
  <c r="AC71" i="19"/>
  <c r="AD70" i="19"/>
  <c r="AC70" i="19"/>
  <c r="AD69" i="19"/>
  <c r="AC69" i="19"/>
  <c r="AD68" i="19"/>
  <c r="AC68" i="19"/>
  <c r="AD67" i="19"/>
  <c r="AC67" i="19"/>
  <c r="AD66" i="19"/>
  <c r="AC66" i="19"/>
  <c r="AD65" i="19"/>
  <c r="AC65" i="19"/>
  <c r="AD64" i="19"/>
  <c r="AC64" i="19"/>
  <c r="AD63" i="19"/>
  <c r="AC63" i="19"/>
  <c r="AD62" i="19"/>
  <c r="AC62" i="19"/>
  <c r="AD61" i="19"/>
  <c r="AC61" i="19"/>
  <c r="AD60" i="19"/>
  <c r="AC60" i="19"/>
  <c r="AD59" i="19"/>
  <c r="AC59" i="19"/>
  <c r="AD58" i="19"/>
  <c r="AC58" i="19"/>
  <c r="AD57" i="19"/>
  <c r="AC57" i="19"/>
  <c r="AD56" i="19"/>
  <c r="AC56" i="19"/>
  <c r="AD55" i="19"/>
  <c r="AC55" i="19"/>
  <c r="AD54" i="19"/>
  <c r="AC54" i="19"/>
  <c r="AD53" i="19"/>
  <c r="AC53" i="19"/>
  <c r="AD52" i="19"/>
  <c r="AC52" i="19"/>
  <c r="AD51" i="19"/>
  <c r="AC51" i="19"/>
  <c r="AD50" i="19"/>
  <c r="AC50" i="19"/>
  <c r="AD49" i="19"/>
  <c r="AC49" i="19"/>
  <c r="AD48" i="19"/>
  <c r="AC48" i="19"/>
  <c r="AD47" i="19"/>
  <c r="AC47" i="19"/>
  <c r="AD46" i="19"/>
  <c r="AC46" i="19"/>
  <c r="AD45" i="19"/>
  <c r="AC45" i="19"/>
  <c r="AD44" i="19"/>
  <c r="AC44" i="19"/>
  <c r="AD43" i="19"/>
  <c r="AC43" i="19"/>
  <c r="AD42" i="19"/>
  <c r="AC42" i="19"/>
  <c r="AD41" i="19"/>
  <c r="AC41" i="19"/>
  <c r="AD40" i="19"/>
  <c r="AC40" i="19"/>
  <c r="AD39" i="19"/>
  <c r="AC39" i="19"/>
  <c r="AD38" i="19"/>
  <c r="AC38" i="19"/>
  <c r="AD37" i="19"/>
  <c r="AC37" i="19"/>
  <c r="AD36" i="19"/>
  <c r="AC36" i="19"/>
  <c r="AD35" i="19"/>
  <c r="AC35" i="19"/>
  <c r="AD34" i="19"/>
  <c r="AC34" i="19"/>
  <c r="AD33" i="19"/>
  <c r="AC33" i="19"/>
  <c r="AD32" i="19"/>
  <c r="AC32" i="19"/>
  <c r="AD31" i="19"/>
  <c r="AC31" i="19"/>
  <c r="AD30" i="19"/>
  <c r="AC30" i="19"/>
  <c r="AD29" i="19"/>
  <c r="AC29" i="19"/>
  <c r="AD28" i="19"/>
  <c r="AC28" i="19"/>
  <c r="AD27" i="19"/>
  <c r="AC27" i="19"/>
  <c r="AD26" i="19"/>
  <c r="AC26" i="19"/>
  <c r="AD25" i="19"/>
  <c r="AC25" i="19"/>
  <c r="AD24" i="19"/>
  <c r="AC24" i="19"/>
  <c r="AD23" i="19"/>
  <c r="AC23" i="19"/>
  <c r="AD22" i="19"/>
  <c r="AC22" i="19"/>
  <c r="AD21" i="19"/>
  <c r="AC21" i="19"/>
  <c r="AD20" i="19"/>
  <c r="AC20" i="19"/>
  <c r="AD19" i="19"/>
  <c r="AC19" i="19"/>
  <c r="AD18" i="19"/>
  <c r="AC18" i="19"/>
  <c r="AD17" i="19"/>
  <c r="AC17" i="19"/>
  <c r="AD16" i="19"/>
  <c r="AC16" i="19"/>
  <c r="AD15" i="19"/>
  <c r="AC15" i="19"/>
  <c r="AD14" i="19"/>
  <c r="AC14" i="19"/>
  <c r="AD13" i="19"/>
  <c r="AC13" i="19"/>
  <c r="AD12" i="19"/>
  <c r="AC12" i="19"/>
  <c r="AD11" i="19"/>
  <c r="AC11" i="19"/>
  <c r="AD10" i="19"/>
  <c r="AC10" i="19"/>
  <c r="AD9" i="19"/>
  <c r="AC9" i="19"/>
  <c r="AD8" i="19"/>
  <c r="AC8" i="19"/>
  <c r="AD7" i="19"/>
  <c r="AC7" i="19"/>
  <c r="AD6" i="19"/>
  <c r="AC6" i="19"/>
  <c r="AD5" i="19"/>
  <c r="AC5" i="19"/>
  <c r="AD4" i="19"/>
  <c r="AC4" i="19"/>
  <c r="AD3" i="19"/>
  <c r="AC3" i="19"/>
  <c r="AD2" i="19"/>
  <c r="AC2" i="19"/>
  <c r="M10" i="17"/>
  <c r="AC3" i="14"/>
  <c r="AC4" i="14"/>
  <c r="AC5" i="14"/>
  <c r="AC6" i="14"/>
  <c r="AC7" i="14"/>
  <c r="AC8" i="14"/>
  <c r="AC9" i="14"/>
  <c r="AC10" i="14"/>
  <c r="AC11" i="14"/>
  <c r="AC12" i="14"/>
  <c r="AC13" i="14"/>
  <c r="AC14" i="14"/>
  <c r="AC15" i="14"/>
  <c r="AC16" i="14"/>
  <c r="AC17" i="14"/>
  <c r="AC18" i="14"/>
  <c r="AC19" i="14"/>
  <c r="AC20" i="14"/>
  <c r="AC21" i="14"/>
  <c r="AC22" i="14"/>
  <c r="AC23" i="14"/>
  <c r="AC24" i="14"/>
  <c r="AC25" i="14"/>
  <c r="AC26" i="14"/>
  <c r="AC27" i="14"/>
  <c r="AC28" i="14"/>
  <c r="AC29" i="14"/>
  <c r="AC30" i="14"/>
  <c r="AC31" i="14"/>
  <c r="AC32" i="14"/>
  <c r="AC33" i="14"/>
  <c r="AC34" i="14"/>
  <c r="AC35" i="14"/>
  <c r="AC36" i="14"/>
  <c r="AC37" i="14"/>
  <c r="AC38" i="14"/>
  <c r="AC39" i="14"/>
  <c r="AC40" i="14"/>
  <c r="AC41" i="14"/>
  <c r="AC42" i="14"/>
  <c r="AC43" i="14"/>
  <c r="AC44" i="14"/>
  <c r="AC45" i="14"/>
  <c r="AC46" i="14"/>
  <c r="AC47" i="14"/>
  <c r="AC48" i="14"/>
  <c r="AC49" i="14"/>
  <c r="AC50" i="14"/>
  <c r="AC51" i="14"/>
  <c r="AC52" i="14"/>
  <c r="AC53" i="14"/>
  <c r="AC54" i="14"/>
  <c r="AC55" i="14"/>
  <c r="AC56" i="14"/>
  <c r="AC57" i="14"/>
  <c r="AC58" i="14"/>
  <c r="AC59" i="14"/>
  <c r="AC60" i="14"/>
  <c r="AC61" i="14"/>
  <c r="AC62" i="14"/>
  <c r="AC63" i="14"/>
  <c r="AC64" i="14"/>
  <c r="AC65" i="14"/>
  <c r="AC66" i="14"/>
  <c r="AC67" i="14"/>
  <c r="AC68" i="14"/>
  <c r="AC69" i="14"/>
  <c r="AC70" i="14"/>
  <c r="AC71" i="14"/>
  <c r="AC72" i="14"/>
  <c r="AC73" i="14"/>
  <c r="AC74" i="14"/>
  <c r="AC75" i="14"/>
  <c r="AC76" i="14"/>
  <c r="AC77" i="14"/>
  <c r="AC78" i="14"/>
  <c r="AC79" i="14"/>
  <c r="AC80" i="14"/>
  <c r="AC81" i="14"/>
  <c r="AC82" i="14"/>
  <c r="AC83" i="14"/>
  <c r="AC84" i="14"/>
  <c r="AC85" i="14"/>
  <c r="AC86" i="14"/>
  <c r="AC87" i="14"/>
  <c r="AC88" i="14"/>
  <c r="AC89" i="14"/>
  <c r="AC90" i="14"/>
  <c r="AC91" i="14"/>
  <c r="AC3" i="15"/>
  <c r="AC4" i="15"/>
  <c r="AC5" i="15"/>
  <c r="AC6" i="15"/>
  <c r="AC7" i="15"/>
  <c r="AC8" i="15"/>
  <c r="AC9" i="15"/>
  <c r="AC10" i="15"/>
  <c r="AC11" i="15"/>
  <c r="AC12" i="15"/>
  <c r="AC13" i="15"/>
  <c r="AC14" i="15"/>
  <c r="AC15" i="15"/>
  <c r="AC16" i="15"/>
  <c r="AC17" i="15"/>
  <c r="AC18" i="15"/>
  <c r="AC19" i="15"/>
  <c r="AC20" i="15"/>
  <c r="AC21" i="15"/>
  <c r="AC22" i="15"/>
  <c r="AC23" i="15"/>
  <c r="AC24" i="15"/>
  <c r="AC25" i="15"/>
  <c r="AC26" i="15"/>
  <c r="AC27" i="15"/>
  <c r="AC28" i="15"/>
  <c r="AC29" i="15"/>
  <c r="AC30" i="15"/>
  <c r="AC31" i="15"/>
  <c r="AC32" i="15"/>
  <c r="AC33" i="15"/>
  <c r="AC34" i="15"/>
  <c r="AC35" i="15"/>
  <c r="AC36" i="15"/>
  <c r="AC37" i="15"/>
  <c r="AC38" i="15"/>
  <c r="AC39" i="15"/>
  <c r="AC40" i="15"/>
  <c r="AC41" i="15"/>
  <c r="AC42" i="15"/>
  <c r="AC43" i="15"/>
  <c r="AC44" i="15"/>
  <c r="AC45" i="15"/>
  <c r="AC46" i="15"/>
  <c r="AC47" i="15"/>
  <c r="AC48" i="15"/>
  <c r="AC49" i="15"/>
  <c r="AC50" i="15"/>
  <c r="AC51" i="15"/>
  <c r="AC52" i="15"/>
  <c r="AC53" i="15"/>
  <c r="AC54" i="15"/>
  <c r="AC55" i="15"/>
  <c r="AC56" i="15"/>
  <c r="AC57" i="15"/>
  <c r="AC58" i="15"/>
  <c r="AC59" i="15"/>
  <c r="AC60" i="15"/>
  <c r="AC61" i="15"/>
  <c r="AC62" i="15"/>
  <c r="AC63" i="15"/>
  <c r="AC64" i="15"/>
  <c r="AC65" i="15"/>
  <c r="AC66" i="15"/>
  <c r="AC67" i="15"/>
  <c r="AC68" i="15"/>
  <c r="AC69" i="15"/>
  <c r="AC70" i="15"/>
  <c r="AC71" i="15"/>
  <c r="AC72" i="15"/>
  <c r="AC73" i="15"/>
  <c r="AC74" i="15"/>
  <c r="AC75" i="15"/>
  <c r="AC76" i="15"/>
  <c r="AC77" i="15"/>
  <c r="AC78" i="15"/>
  <c r="AC79" i="15"/>
  <c r="AC80" i="15"/>
  <c r="AC81" i="15"/>
  <c r="AC82" i="15"/>
  <c r="AC83" i="15"/>
  <c r="AC84" i="15"/>
  <c r="AC85" i="15"/>
  <c r="AC86" i="15"/>
  <c r="AC87" i="15"/>
  <c r="AC88" i="15"/>
  <c r="AC89" i="15"/>
  <c r="AC90" i="15"/>
  <c r="AC91" i="15"/>
  <c r="AC3" i="16"/>
  <c r="AC4" i="16"/>
  <c r="AC5" i="16"/>
  <c r="AC6" i="16"/>
  <c r="AC7" i="16"/>
  <c r="AC8" i="16"/>
  <c r="AC9" i="16"/>
  <c r="AC10" i="16"/>
  <c r="AC11" i="16"/>
  <c r="AC12" i="16"/>
  <c r="AC13" i="16"/>
  <c r="AC14" i="16"/>
  <c r="AC15" i="16"/>
  <c r="AC16" i="16"/>
  <c r="AC17" i="16"/>
  <c r="AC18" i="16"/>
  <c r="AC19" i="16"/>
  <c r="AC20" i="16"/>
  <c r="AC21" i="16"/>
  <c r="AC22" i="16"/>
  <c r="AC23" i="16"/>
  <c r="AC24" i="16"/>
  <c r="AC25" i="16"/>
  <c r="AC26" i="16"/>
  <c r="AC27" i="16"/>
  <c r="AC28" i="16"/>
  <c r="AC29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8" i="16"/>
  <c r="AC59" i="16"/>
  <c r="AC60" i="16"/>
  <c r="AC61" i="16"/>
  <c r="AC62" i="16"/>
  <c r="AC63" i="16"/>
  <c r="AC64" i="16"/>
  <c r="AC65" i="16"/>
  <c r="AC66" i="16"/>
  <c r="AC67" i="16"/>
  <c r="AC68" i="16"/>
  <c r="AC69" i="16"/>
  <c r="AC70" i="16"/>
  <c r="AC71" i="16"/>
  <c r="AC72" i="16"/>
  <c r="AC73" i="16"/>
  <c r="AC74" i="16"/>
  <c r="AC75" i="16"/>
  <c r="AC76" i="16"/>
  <c r="AC77" i="16"/>
  <c r="AC78" i="16"/>
  <c r="AC79" i="16"/>
  <c r="AC80" i="16"/>
  <c r="AC81" i="16"/>
  <c r="AC82" i="16"/>
  <c r="AC83" i="16"/>
  <c r="AC84" i="16"/>
  <c r="AC85" i="16"/>
  <c r="AC86" i="16"/>
  <c r="AC87" i="16"/>
  <c r="AC88" i="16"/>
  <c r="AC89" i="16"/>
  <c r="AC90" i="16"/>
  <c r="AC91" i="16"/>
  <c r="AC2" i="16"/>
  <c r="AC2" i="15"/>
  <c r="AC2" i="14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2" i="12"/>
  <c r="AD3" i="16"/>
  <c r="AD4" i="16"/>
  <c r="AD5" i="16"/>
  <c r="AD6" i="16"/>
  <c r="AD7" i="16"/>
  <c r="AD8" i="16"/>
  <c r="AD9" i="16"/>
  <c r="AD10" i="16"/>
  <c r="AD11" i="16"/>
  <c r="AD12" i="16"/>
  <c r="AD13" i="16"/>
  <c r="AD14" i="16"/>
  <c r="AD15" i="16"/>
  <c r="AD16" i="16"/>
  <c r="AD17" i="16"/>
  <c r="AD18" i="16"/>
  <c r="AD19" i="16"/>
  <c r="AD20" i="16"/>
  <c r="AD21" i="16"/>
  <c r="AD22" i="16"/>
  <c r="AD23" i="16"/>
  <c r="AD24" i="16"/>
  <c r="AD25" i="16"/>
  <c r="AD26" i="16"/>
  <c r="AD27" i="16"/>
  <c r="AD28" i="16"/>
  <c r="AD29" i="16"/>
  <c r="AD30" i="16"/>
  <c r="AD31" i="16"/>
  <c r="AD32" i="16"/>
  <c r="AD33" i="16"/>
  <c r="AD34" i="16"/>
  <c r="AD35" i="16"/>
  <c r="AD36" i="16"/>
  <c r="AD37" i="16"/>
  <c r="AD38" i="16"/>
  <c r="AD39" i="16"/>
  <c r="AD40" i="16"/>
  <c r="AD41" i="16"/>
  <c r="AD42" i="16"/>
  <c r="AD43" i="16"/>
  <c r="AD44" i="16"/>
  <c r="AD45" i="16"/>
  <c r="AD46" i="16"/>
  <c r="AD47" i="16"/>
  <c r="AD48" i="16"/>
  <c r="AD49" i="16"/>
  <c r="AD50" i="16"/>
  <c r="AD51" i="16"/>
  <c r="AD52" i="16"/>
  <c r="AD53" i="16"/>
  <c r="AD54" i="16"/>
  <c r="AD55" i="16"/>
  <c r="AD56" i="16"/>
  <c r="AD57" i="16"/>
  <c r="AD58" i="16"/>
  <c r="AD59" i="16"/>
  <c r="AD60" i="16"/>
  <c r="AD61" i="16"/>
  <c r="AD62" i="16"/>
  <c r="AD63" i="16"/>
  <c r="AD64" i="16"/>
  <c r="AD65" i="16"/>
  <c r="AD66" i="16"/>
  <c r="AD67" i="16"/>
  <c r="AD68" i="16"/>
  <c r="AD69" i="16"/>
  <c r="AD70" i="16"/>
  <c r="AD71" i="16"/>
  <c r="AD72" i="16"/>
  <c r="AD73" i="16"/>
  <c r="AD74" i="16"/>
  <c r="AD75" i="16"/>
  <c r="AD76" i="16"/>
  <c r="AD77" i="16"/>
  <c r="AD78" i="16"/>
  <c r="AD79" i="16"/>
  <c r="AD80" i="16"/>
  <c r="AD81" i="16"/>
  <c r="AD82" i="16"/>
  <c r="AD83" i="16"/>
  <c r="AD84" i="16"/>
  <c r="AD85" i="16"/>
  <c r="AD86" i="16"/>
  <c r="AD87" i="16"/>
  <c r="AD88" i="16"/>
  <c r="AD89" i="16"/>
  <c r="AD90" i="16"/>
  <c r="AD91" i="16"/>
  <c r="AD3" i="15"/>
  <c r="AD4" i="15"/>
  <c r="AD5" i="15"/>
  <c r="AD6" i="15"/>
  <c r="AD7" i="15"/>
  <c r="AD8" i="15"/>
  <c r="AD9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AD23" i="15"/>
  <c r="AD24" i="15"/>
  <c r="AD25" i="15"/>
  <c r="AD26" i="15"/>
  <c r="AD27" i="15"/>
  <c r="AD28" i="15"/>
  <c r="AD29" i="15"/>
  <c r="AD30" i="15"/>
  <c r="AD31" i="15"/>
  <c r="AD32" i="15"/>
  <c r="AD33" i="15"/>
  <c r="AD34" i="15"/>
  <c r="AD35" i="15"/>
  <c r="AD36" i="15"/>
  <c r="AD37" i="15"/>
  <c r="AD38" i="15"/>
  <c r="AD39" i="15"/>
  <c r="AD40" i="15"/>
  <c r="AD41" i="15"/>
  <c r="AD42" i="15"/>
  <c r="AD43" i="15"/>
  <c r="AD44" i="15"/>
  <c r="AD45" i="15"/>
  <c r="AD46" i="15"/>
  <c r="AD47" i="15"/>
  <c r="AD48" i="15"/>
  <c r="AD49" i="15"/>
  <c r="AD50" i="15"/>
  <c r="AD51" i="15"/>
  <c r="AD52" i="15"/>
  <c r="AD53" i="15"/>
  <c r="AD54" i="15"/>
  <c r="AD55" i="15"/>
  <c r="AD56" i="15"/>
  <c r="AD57" i="15"/>
  <c r="AD58" i="15"/>
  <c r="AD59" i="15"/>
  <c r="AD60" i="15"/>
  <c r="AD61" i="15"/>
  <c r="AD62" i="15"/>
  <c r="AD63" i="15"/>
  <c r="AD64" i="15"/>
  <c r="AD65" i="15"/>
  <c r="AD66" i="15"/>
  <c r="AD67" i="15"/>
  <c r="AD68" i="15"/>
  <c r="AD69" i="15"/>
  <c r="AD70" i="15"/>
  <c r="AD71" i="15"/>
  <c r="AD72" i="15"/>
  <c r="AD73" i="15"/>
  <c r="AD74" i="15"/>
  <c r="AD75" i="15"/>
  <c r="AD76" i="15"/>
  <c r="AD77" i="15"/>
  <c r="AD78" i="15"/>
  <c r="AD79" i="15"/>
  <c r="AD80" i="15"/>
  <c r="AD81" i="15"/>
  <c r="AD82" i="15"/>
  <c r="AD83" i="15"/>
  <c r="AD84" i="15"/>
  <c r="AD85" i="15"/>
  <c r="AD86" i="15"/>
  <c r="AD87" i="15"/>
  <c r="AD88" i="15"/>
  <c r="AD89" i="15"/>
  <c r="AD90" i="15"/>
  <c r="AD91" i="15"/>
  <c r="AD3" i="14"/>
  <c r="AD4" i="14"/>
  <c r="AD5" i="14"/>
  <c r="AD6" i="14"/>
  <c r="AD7" i="14"/>
  <c r="AD8" i="14"/>
  <c r="AD9" i="14"/>
  <c r="AD10" i="14"/>
  <c r="AD11" i="14"/>
  <c r="AD12" i="14"/>
  <c r="AD13" i="14"/>
  <c r="AD14" i="14"/>
  <c r="AD15" i="14"/>
  <c r="AD16" i="14"/>
  <c r="AD17" i="14"/>
  <c r="AD18" i="14"/>
  <c r="AD19" i="14"/>
  <c r="AD20" i="14"/>
  <c r="AD21" i="14"/>
  <c r="AD22" i="14"/>
  <c r="AD23" i="14"/>
  <c r="AD24" i="14"/>
  <c r="AD25" i="14"/>
  <c r="AD26" i="14"/>
  <c r="AD27" i="14"/>
  <c r="AD28" i="14"/>
  <c r="AD29" i="14"/>
  <c r="AD30" i="14"/>
  <c r="AD31" i="14"/>
  <c r="AD32" i="14"/>
  <c r="AD33" i="14"/>
  <c r="AD34" i="14"/>
  <c r="AD35" i="14"/>
  <c r="AD36" i="14"/>
  <c r="AD37" i="14"/>
  <c r="AD38" i="14"/>
  <c r="AD39" i="14"/>
  <c r="AD40" i="14"/>
  <c r="AD41" i="14"/>
  <c r="AD42" i="14"/>
  <c r="AD43" i="14"/>
  <c r="AD44" i="14"/>
  <c r="AD45" i="14"/>
  <c r="AD46" i="14"/>
  <c r="AD47" i="14"/>
  <c r="AD48" i="14"/>
  <c r="AD49" i="14"/>
  <c r="AD50" i="14"/>
  <c r="AD51" i="14"/>
  <c r="AD52" i="14"/>
  <c r="AD53" i="14"/>
  <c r="AD54" i="14"/>
  <c r="AD55" i="14"/>
  <c r="AD56" i="14"/>
  <c r="AD57" i="14"/>
  <c r="AD58" i="14"/>
  <c r="AD59" i="14"/>
  <c r="AD60" i="14"/>
  <c r="AD61" i="14"/>
  <c r="AD62" i="14"/>
  <c r="AD63" i="14"/>
  <c r="AD64" i="14"/>
  <c r="AD65" i="14"/>
  <c r="AD66" i="14"/>
  <c r="AD67" i="14"/>
  <c r="AD68" i="14"/>
  <c r="AD69" i="14"/>
  <c r="AD70" i="14"/>
  <c r="AD71" i="14"/>
  <c r="AD72" i="14"/>
  <c r="AD73" i="14"/>
  <c r="AD74" i="14"/>
  <c r="AD75" i="14"/>
  <c r="AD76" i="14"/>
  <c r="AD77" i="14"/>
  <c r="AD78" i="14"/>
  <c r="AD79" i="14"/>
  <c r="AD80" i="14"/>
  <c r="AD81" i="14"/>
  <c r="AD82" i="14"/>
  <c r="AD83" i="14"/>
  <c r="AD84" i="14"/>
  <c r="AD85" i="14"/>
  <c r="AD86" i="14"/>
  <c r="AD87" i="14"/>
  <c r="AD88" i="14"/>
  <c r="AD89" i="14"/>
  <c r="AD90" i="14"/>
  <c r="AD91" i="14"/>
  <c r="AD3" i="12"/>
  <c r="AD4" i="12"/>
  <c r="AD5" i="12"/>
  <c r="AD6" i="12"/>
  <c r="AD7" i="12"/>
  <c r="AD8" i="12"/>
  <c r="AD9" i="12"/>
  <c r="AD10" i="12"/>
  <c r="AD11" i="12"/>
  <c r="AD12" i="12"/>
  <c r="AD13" i="12"/>
  <c r="AD14" i="12"/>
  <c r="AD15" i="12"/>
  <c r="AD16" i="12"/>
  <c r="AD17" i="12"/>
  <c r="AD18" i="12"/>
  <c r="AD19" i="12"/>
  <c r="AD20" i="12"/>
  <c r="AD21" i="12"/>
  <c r="AD22" i="12"/>
  <c r="AD23" i="12"/>
  <c r="AD24" i="12"/>
  <c r="AD25" i="12"/>
  <c r="AD26" i="12"/>
  <c r="AD27" i="12"/>
  <c r="AD28" i="12"/>
  <c r="AD29" i="12"/>
  <c r="AD30" i="12"/>
  <c r="AD31" i="12"/>
  <c r="AD32" i="12"/>
  <c r="AD33" i="12"/>
  <c r="AD34" i="12"/>
  <c r="AD35" i="12"/>
  <c r="AD36" i="12"/>
  <c r="AD37" i="12"/>
  <c r="AD38" i="12"/>
  <c r="AD39" i="12"/>
  <c r="AD40" i="12"/>
  <c r="AD41" i="12"/>
  <c r="AD42" i="12"/>
  <c r="AD43" i="12"/>
  <c r="AD44" i="12"/>
  <c r="AD45" i="12"/>
  <c r="AD46" i="12"/>
  <c r="AD47" i="12"/>
  <c r="AD48" i="12"/>
  <c r="AD49" i="12"/>
  <c r="AD50" i="12"/>
  <c r="D25" i="17" s="1"/>
  <c r="AD51" i="12"/>
  <c r="AD52" i="12"/>
  <c r="AD53" i="12"/>
  <c r="D13" i="17" s="1"/>
  <c r="AD54" i="12"/>
  <c r="E13" i="17" s="1"/>
  <c r="AD55" i="12"/>
  <c r="AD56" i="12"/>
  <c r="AD57" i="12"/>
  <c r="E10" i="17" s="1"/>
  <c r="AD58" i="12"/>
  <c r="AD59" i="12"/>
  <c r="AD60" i="12"/>
  <c r="AD61" i="12"/>
  <c r="AD62" i="12"/>
  <c r="AD63" i="12"/>
  <c r="AD64" i="12"/>
  <c r="AD65" i="12"/>
  <c r="AD66" i="12"/>
  <c r="E19" i="17" s="1"/>
  <c r="AD67" i="12"/>
  <c r="AD68" i="12"/>
  <c r="AD69" i="12"/>
  <c r="AD70" i="12"/>
  <c r="AD71" i="12"/>
  <c r="AD72" i="12"/>
  <c r="AD73" i="12"/>
  <c r="AD74" i="12"/>
  <c r="AD75" i="12"/>
  <c r="AD76" i="12"/>
  <c r="AD77" i="12"/>
  <c r="AD78" i="12"/>
  <c r="AD79" i="12"/>
  <c r="AD80" i="12"/>
  <c r="AD81" i="12"/>
  <c r="E22" i="17" s="1"/>
  <c r="AD82" i="12"/>
  <c r="AD83" i="12"/>
  <c r="AD84" i="12"/>
  <c r="AD85" i="12"/>
  <c r="AD86" i="12"/>
  <c r="AD87" i="12"/>
  <c r="E14" i="17" s="1"/>
  <c r="AD88" i="12"/>
  <c r="AD89" i="12"/>
  <c r="AD90" i="12"/>
  <c r="AD91" i="12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42" i="11"/>
  <c r="AD43" i="11"/>
  <c r="AD44" i="11"/>
  <c r="AD45" i="11"/>
  <c r="AD46" i="11"/>
  <c r="AD47" i="11"/>
  <c r="AD48" i="11"/>
  <c r="AD49" i="11"/>
  <c r="AD50" i="11"/>
  <c r="AD51" i="11"/>
  <c r="AD52" i="11"/>
  <c r="AD53" i="11"/>
  <c r="AD54" i="11"/>
  <c r="AD55" i="11"/>
  <c r="AD56" i="11"/>
  <c r="AD57" i="11"/>
  <c r="AD58" i="11"/>
  <c r="AD59" i="11"/>
  <c r="AD60" i="11"/>
  <c r="AD61" i="11"/>
  <c r="AD62" i="11"/>
  <c r="AD63" i="11"/>
  <c r="AD64" i="11"/>
  <c r="AD65" i="11"/>
  <c r="AD66" i="11"/>
  <c r="AD67" i="11"/>
  <c r="AD68" i="11"/>
  <c r="AD69" i="11"/>
  <c r="AD70" i="11"/>
  <c r="AD71" i="11"/>
  <c r="AD72" i="11"/>
  <c r="AD73" i="11"/>
  <c r="AD74" i="11"/>
  <c r="AD75" i="11"/>
  <c r="AD76" i="11"/>
  <c r="AD77" i="11"/>
  <c r="AD78" i="11"/>
  <c r="AD79" i="11"/>
  <c r="AD80" i="11"/>
  <c r="AD81" i="11"/>
  <c r="AD82" i="11"/>
  <c r="AD83" i="11"/>
  <c r="AD84" i="11"/>
  <c r="AD85" i="11"/>
  <c r="AD86" i="11"/>
  <c r="AD87" i="11"/>
  <c r="AD88" i="11"/>
  <c r="AD89" i="11"/>
  <c r="AD90" i="11"/>
  <c r="AD91" i="11"/>
  <c r="AD92" i="11"/>
  <c r="AD93" i="11"/>
  <c r="AD94" i="11"/>
  <c r="AD3" i="10"/>
  <c r="AD4" i="10"/>
  <c r="AD5" i="10"/>
  <c r="AD6" i="10"/>
  <c r="AD7" i="10"/>
  <c r="AD8" i="10"/>
  <c r="AD9" i="10"/>
  <c r="AD10" i="10"/>
  <c r="AD11" i="10"/>
  <c r="AD12" i="10"/>
  <c r="AD13" i="10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AD33" i="10"/>
  <c r="AD34" i="10"/>
  <c r="AD35" i="10"/>
  <c r="AD36" i="10"/>
  <c r="AD37" i="10"/>
  <c r="AD38" i="10"/>
  <c r="AD39" i="10"/>
  <c r="AD40" i="10"/>
  <c r="AD41" i="10"/>
  <c r="AD42" i="10"/>
  <c r="AD43" i="10"/>
  <c r="AD44" i="10"/>
  <c r="AD45" i="10"/>
  <c r="AD46" i="10"/>
  <c r="AD47" i="10"/>
  <c r="AD48" i="10"/>
  <c r="AD49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70" i="10"/>
  <c r="AD71" i="10"/>
  <c r="AD72" i="10"/>
  <c r="AD73" i="10"/>
  <c r="AD74" i="10"/>
  <c r="AD75" i="10"/>
  <c r="AD76" i="10"/>
  <c r="AD77" i="10"/>
  <c r="AD78" i="10"/>
  <c r="AD79" i="10"/>
  <c r="AD80" i="10"/>
  <c r="AD81" i="10"/>
  <c r="AD82" i="10"/>
  <c r="AD83" i="10"/>
  <c r="AD84" i="10"/>
  <c r="AD85" i="10"/>
  <c r="AD86" i="10"/>
  <c r="AD87" i="10"/>
  <c r="AD88" i="10"/>
  <c r="AD89" i="10"/>
  <c r="AD90" i="10"/>
  <c r="AD91" i="10"/>
  <c r="AD92" i="10"/>
  <c r="AD93" i="10"/>
  <c r="AD94" i="10"/>
  <c r="AD2" i="16"/>
  <c r="AD2" i="15"/>
  <c r="AD2" i="14"/>
  <c r="AD2" i="12"/>
  <c r="AD2" i="11"/>
  <c r="AD2" i="10"/>
  <c r="AD3" i="9"/>
  <c r="AD4" i="9"/>
  <c r="AD5" i="9"/>
  <c r="D17" i="17" s="1"/>
  <c r="AD6" i="9"/>
  <c r="AD7" i="9"/>
  <c r="AD8" i="9"/>
  <c r="D7" i="17" s="1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E11" i="17" s="1"/>
  <c r="AD22" i="9"/>
  <c r="AD23" i="9"/>
  <c r="AD24" i="9"/>
  <c r="E20" i="17" s="1"/>
  <c r="AD25" i="9"/>
  <c r="AD26" i="9"/>
  <c r="AD27" i="9"/>
  <c r="AD28" i="9"/>
  <c r="AD29" i="9"/>
  <c r="D12" i="17" s="1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2" i="9"/>
  <c r="AC94" i="11"/>
  <c r="AC93" i="11"/>
  <c r="AC92" i="11"/>
  <c r="AC91" i="11"/>
  <c r="AC90" i="11"/>
  <c r="AC89" i="11"/>
  <c r="AC88" i="11"/>
  <c r="AC87" i="11"/>
  <c r="AC86" i="11"/>
  <c r="AC85" i="11"/>
  <c r="AC84" i="11"/>
  <c r="AC83" i="11"/>
  <c r="AC82" i="11"/>
  <c r="AC81" i="11"/>
  <c r="AC80" i="11"/>
  <c r="AC79" i="11"/>
  <c r="AC78" i="11"/>
  <c r="AC77" i="11"/>
  <c r="AC76" i="11"/>
  <c r="AC75" i="11"/>
  <c r="AC74" i="11"/>
  <c r="AC73" i="11"/>
  <c r="AC72" i="11"/>
  <c r="AC71" i="11"/>
  <c r="AC70" i="11"/>
  <c r="AC69" i="11"/>
  <c r="AC68" i="11"/>
  <c r="AC67" i="11"/>
  <c r="AC66" i="11"/>
  <c r="AC65" i="11"/>
  <c r="AC64" i="11"/>
  <c r="AC63" i="11"/>
  <c r="AC62" i="11"/>
  <c r="AC61" i="11"/>
  <c r="AC60" i="11"/>
  <c r="AC59" i="11"/>
  <c r="AC58" i="11"/>
  <c r="AC57" i="11"/>
  <c r="AC56" i="11"/>
  <c r="AC55" i="11"/>
  <c r="AC54" i="11"/>
  <c r="AC53" i="11"/>
  <c r="AC52" i="11"/>
  <c r="AC51" i="11"/>
  <c r="AC50" i="11"/>
  <c r="AC49" i="11"/>
  <c r="AC48" i="11"/>
  <c r="AC47" i="11"/>
  <c r="AC46" i="11"/>
  <c r="AC45" i="11"/>
  <c r="AC44" i="11"/>
  <c r="AC43" i="11"/>
  <c r="AC42" i="11"/>
  <c r="AC41" i="11"/>
  <c r="AC40" i="11"/>
  <c r="AC39" i="11"/>
  <c r="AC38" i="11"/>
  <c r="AC37" i="11"/>
  <c r="AC36" i="11"/>
  <c r="AC35" i="11"/>
  <c r="AC34" i="11"/>
  <c r="AC33" i="11"/>
  <c r="AC32" i="11"/>
  <c r="AC31" i="11"/>
  <c r="AC30" i="11"/>
  <c r="AC29" i="11"/>
  <c r="AC28" i="11"/>
  <c r="AC27" i="11"/>
  <c r="AC26" i="11"/>
  <c r="AC25" i="11"/>
  <c r="AC24" i="11"/>
  <c r="AC23" i="11"/>
  <c r="AC22" i="11"/>
  <c r="AC21" i="11"/>
  <c r="AC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AC6" i="11"/>
  <c r="AC5" i="11"/>
  <c r="AC4" i="11"/>
  <c r="AC3" i="11"/>
  <c r="AC2" i="11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2" i="10"/>
  <c r="D14" i="17" l="1"/>
  <c r="E9" i="17"/>
  <c r="E27" i="17"/>
  <c r="E18" i="17"/>
  <c r="E8" i="17"/>
  <c r="D22" i="17"/>
  <c r="D10" i="17"/>
  <c r="D27" i="17"/>
  <c r="D18" i="17"/>
  <c r="E25" i="17"/>
  <c r="D9" i="17"/>
  <c r="D8" i="17"/>
  <c r="D23" i="17"/>
  <c r="D26" i="17"/>
  <c r="E7" i="17"/>
  <c r="D15" i="17"/>
  <c r="E23" i="17"/>
  <c r="E26" i="17"/>
  <c r="D19" i="17"/>
  <c r="E6" i="17"/>
  <c r="D6" i="17"/>
  <c r="D11" i="17"/>
  <c r="E15" i="17"/>
  <c r="E24" i="17"/>
  <c r="D24" i="17"/>
  <c r="D20" i="17"/>
  <c r="E12" i="17"/>
  <c r="E17" i="17"/>
</calcChain>
</file>

<file path=xl/sharedStrings.xml><?xml version="1.0" encoding="utf-8"?>
<sst xmlns="http://schemas.openxmlformats.org/spreadsheetml/2006/main" count="9817" uniqueCount="637">
  <si>
    <t>Uandaki</t>
  </si>
  <si>
    <t>DONCELL1</t>
  </si>
  <si>
    <t>Ener.Act.</t>
  </si>
  <si>
    <t>Ener.Reac.</t>
  </si>
  <si>
    <t>Perd.PSTR</t>
  </si>
  <si>
    <t>FLORENC1</t>
  </si>
  <si>
    <t>FLORENC2</t>
  </si>
  <si>
    <t>Uantioquia</t>
  </si>
  <si>
    <t>AMAGA__1</t>
  </si>
  <si>
    <t>ANCONSU1</t>
  </si>
  <si>
    <t>ANCONSU4</t>
  </si>
  <si>
    <t>ANTIOQU1</t>
  </si>
  <si>
    <t>APRTADO1</t>
  </si>
  <si>
    <t>BARBOSA1</t>
  </si>
  <si>
    <t>BELEN__1</t>
  </si>
  <si>
    <t>BELLO__1</t>
  </si>
  <si>
    <t>BELLO_21</t>
  </si>
  <si>
    <t>BOLOMBO1</t>
  </si>
  <si>
    <t>CABANAS1</t>
  </si>
  <si>
    <t>CALDAS_1</t>
  </si>
  <si>
    <t>CALIZAS1</t>
  </si>
  <si>
    <t>CASTILL1</t>
  </si>
  <si>
    <t>CAUCAS71</t>
  </si>
  <si>
    <t>CAUCAS72</t>
  </si>
  <si>
    <t>CAUCAS73</t>
  </si>
  <si>
    <t>CAUCHER1</t>
  </si>
  <si>
    <t>CENTRAL1</t>
  </si>
  <si>
    <t>CHOROD41</t>
  </si>
  <si>
    <t>CHORODO1</t>
  </si>
  <si>
    <t>COCORNA1</t>
  </si>
  <si>
    <t>COLOMBI1</t>
  </si>
  <si>
    <t>CORDOVA1</t>
  </si>
  <si>
    <t>CRUZADA1</t>
  </si>
  <si>
    <t>ENVIGA12</t>
  </si>
  <si>
    <t>ENVIGAD1</t>
  </si>
  <si>
    <t>ENVIGAD4</t>
  </si>
  <si>
    <t>GIRARDT1</t>
  </si>
  <si>
    <t>GUADALU4</t>
  </si>
  <si>
    <t>GUATAPE1</t>
  </si>
  <si>
    <t>GUAYABA1</t>
  </si>
  <si>
    <t>HISPANI1</t>
  </si>
  <si>
    <t>HORIZON1</t>
  </si>
  <si>
    <t>ITAGUI_1</t>
  </si>
  <si>
    <t>LACEJA_1</t>
  </si>
  <si>
    <t>LAGUNA11</t>
  </si>
  <si>
    <t>MALENA_2</t>
  </si>
  <si>
    <t>MIRAFLO1</t>
  </si>
  <si>
    <t>MORICHE1</t>
  </si>
  <si>
    <t>NCOLONI1</t>
  </si>
  <si>
    <t>NSROSA11</t>
  </si>
  <si>
    <t>ORIENTE1</t>
  </si>
  <si>
    <t>ORIENTE4</t>
  </si>
  <si>
    <t>P_BLANC1</t>
  </si>
  <si>
    <t>PLAYAS_4</t>
  </si>
  <si>
    <t>POBLADO1</t>
  </si>
  <si>
    <t>PORCE__1</t>
  </si>
  <si>
    <t>PTO_INM1</t>
  </si>
  <si>
    <t>PTO_NAR1</t>
  </si>
  <si>
    <t>PTOANT_1</t>
  </si>
  <si>
    <t>RIO_CLA1</t>
  </si>
  <si>
    <t>RIOGRAN4</t>
  </si>
  <si>
    <t>RIONEGR1</t>
  </si>
  <si>
    <t>RODEO__1</t>
  </si>
  <si>
    <t>S_JERON1</t>
  </si>
  <si>
    <t>SALTEPM4</t>
  </si>
  <si>
    <t>SN_DIEG1</t>
  </si>
  <si>
    <t>SONSON_1</t>
  </si>
  <si>
    <t>TEXAS__1</t>
  </si>
  <si>
    <t>TIGRE__1</t>
  </si>
  <si>
    <t>URABA__1</t>
  </si>
  <si>
    <t>V_HERMO1</t>
  </si>
  <si>
    <t>YARUMAL1</t>
  </si>
  <si>
    <t>YMALII11</t>
  </si>
  <si>
    <t>ZAMORA_1</t>
  </si>
  <si>
    <t>Ubarranquilla</t>
  </si>
  <si>
    <t>ACESCO_1</t>
  </si>
  <si>
    <t>BARANO31</t>
  </si>
  <si>
    <t>BARANO71</t>
  </si>
  <si>
    <t>CARACO11</t>
  </si>
  <si>
    <t>CARACOL1</t>
  </si>
  <si>
    <t>CCRECEM1</t>
  </si>
  <si>
    <t>CENTRO_1</t>
  </si>
  <si>
    <t>CORDIAL1</t>
  </si>
  <si>
    <t>EL_RIO31</t>
  </si>
  <si>
    <t>EL_RIO32</t>
  </si>
  <si>
    <t>JUANMIN31</t>
  </si>
  <si>
    <t>JUANMIN71</t>
  </si>
  <si>
    <t>LFLORES3</t>
  </si>
  <si>
    <t>MAGDALE3</t>
  </si>
  <si>
    <t>MALAMBO1</t>
  </si>
  <si>
    <t>NBARRAN7</t>
  </si>
  <si>
    <t>NORTE__1</t>
  </si>
  <si>
    <t>NORTE_12</t>
  </si>
  <si>
    <t>NVABRRQ1</t>
  </si>
  <si>
    <t>OASIS__1</t>
  </si>
  <si>
    <t>PIZANO_3</t>
  </si>
  <si>
    <t>RIOMAR_3</t>
  </si>
  <si>
    <t>SABANA_7</t>
  </si>
  <si>
    <t>SABANA31</t>
  </si>
  <si>
    <t>SALAMEC1</t>
  </si>
  <si>
    <t>SILENC32</t>
  </si>
  <si>
    <t>SILENCI3</t>
  </si>
  <si>
    <t>TEBSA__1</t>
  </si>
  <si>
    <t>UNION__1</t>
  </si>
  <si>
    <t>UNION_12</t>
  </si>
  <si>
    <t>UNION_13</t>
  </si>
  <si>
    <t>VTEJUL21</t>
  </si>
  <si>
    <t>VTEJUL31</t>
  </si>
  <si>
    <t>VTEJULI1</t>
  </si>
  <si>
    <t>Ubputumayo</t>
  </si>
  <si>
    <t>CAICEDO1</t>
  </si>
  <si>
    <t>YARUMO_1</t>
  </si>
  <si>
    <t>Ucali</t>
  </si>
  <si>
    <t>AGUABLA1</t>
  </si>
  <si>
    <t>ALFEREZ1</t>
  </si>
  <si>
    <t>ARROYOH1</t>
  </si>
  <si>
    <t>CAMPINA1</t>
  </si>
  <si>
    <t>CHIPIC12</t>
  </si>
  <si>
    <t>CHIPICH1</t>
  </si>
  <si>
    <t>DIESEL11</t>
  </si>
  <si>
    <t>DIESEL12</t>
  </si>
  <si>
    <t>GUACHA12</t>
  </si>
  <si>
    <t>JUANCH12</t>
  </si>
  <si>
    <t>LADERA_1</t>
  </si>
  <si>
    <t>MELENDE1</t>
  </si>
  <si>
    <t>PANCE__1</t>
  </si>
  <si>
    <t>SAN_LUI1</t>
  </si>
  <si>
    <t>SAN_LUI2</t>
  </si>
  <si>
    <t>SIDELPA1</t>
  </si>
  <si>
    <t>SN_ANT12</t>
  </si>
  <si>
    <t>SN_ANTO1</t>
  </si>
  <si>
    <t>SURCAL11</t>
  </si>
  <si>
    <t>YUMBO_12</t>
  </si>
  <si>
    <t>YUMBO21</t>
  </si>
  <si>
    <t>Ucartagena</t>
  </si>
  <si>
    <t>ARGOS__1</t>
  </si>
  <si>
    <t>BAYUNCA71</t>
  </si>
  <si>
    <t>BOCAGRA6</t>
  </si>
  <si>
    <t>BOSQUE62</t>
  </si>
  <si>
    <t>CAN_ECA1</t>
  </si>
  <si>
    <t>CHAMBAC6</t>
  </si>
  <si>
    <t>COSPIQU6</t>
  </si>
  <si>
    <t>GAMBOT31</t>
  </si>
  <si>
    <t>GAMBOT71</t>
  </si>
  <si>
    <t>MAMONAL6</t>
  </si>
  <si>
    <t>MANZAN_1</t>
  </si>
  <si>
    <t>MARINA71</t>
  </si>
  <si>
    <t>MARINA72</t>
  </si>
  <si>
    <t>MEMBRIL6</t>
  </si>
  <si>
    <t>NV_COSP1</t>
  </si>
  <si>
    <t>PTA_SOD6</t>
  </si>
  <si>
    <t>SERENAM1</t>
  </si>
  <si>
    <t>TERNER71</t>
  </si>
  <si>
    <t>TERNER72</t>
  </si>
  <si>
    <t>TERNERA1</t>
  </si>
  <si>
    <t>TERNERA3</t>
  </si>
  <si>
    <t>TERNERA6</t>
  </si>
  <si>
    <t>VILLAES6</t>
  </si>
  <si>
    <t>ZARAGO61</t>
  </si>
  <si>
    <t>ZARAGO62</t>
  </si>
  <si>
    <t>ZARAGO63</t>
  </si>
  <si>
    <t>Ucartago</t>
  </si>
  <si>
    <t>CARTAG12</t>
  </si>
  <si>
    <t>Ucedenar</t>
  </si>
  <si>
    <t>CATAMBU1</t>
  </si>
  <si>
    <t>IPIALES3</t>
  </si>
  <si>
    <t>JAMONDI1</t>
  </si>
  <si>
    <t>JARDINE1</t>
  </si>
  <si>
    <t>JUNIN__1</t>
  </si>
  <si>
    <t>PASTO__1</t>
  </si>
  <si>
    <t>RIO_MAY1</t>
  </si>
  <si>
    <t>SMARTIN1</t>
  </si>
  <si>
    <t>TUMACO_1</t>
  </si>
  <si>
    <t>Ucens</t>
  </si>
  <si>
    <t>AGUACHI1</t>
  </si>
  <si>
    <t>AYACUC12</t>
  </si>
  <si>
    <t>AYACUCH1</t>
  </si>
  <si>
    <t>BUTURAM1</t>
  </si>
  <si>
    <t>CONVENC1</t>
  </si>
  <si>
    <t>CUCUTA_1</t>
  </si>
  <si>
    <t>CUCUTA_2</t>
  </si>
  <si>
    <t>INSUL__1</t>
  </si>
  <si>
    <t>OCANA_31</t>
  </si>
  <si>
    <t>OCANA_71</t>
  </si>
  <si>
    <t>SAMORE_2</t>
  </si>
  <si>
    <t>SEVILL12</t>
  </si>
  <si>
    <t>SEVILLA1</t>
  </si>
  <si>
    <t>SN_MATE1</t>
  </si>
  <si>
    <t>TIBU___1</t>
  </si>
  <si>
    <t>TOLEDO_2</t>
  </si>
  <si>
    <t>ZULIA__1</t>
  </si>
  <si>
    <t>Ucerromatoso</t>
  </si>
  <si>
    <t>GECSERA1</t>
  </si>
  <si>
    <t>URE1___1</t>
  </si>
  <si>
    <t>Ucesar</t>
  </si>
  <si>
    <t>CODZZI_1</t>
  </si>
  <si>
    <t>COPEY__3</t>
  </si>
  <si>
    <t>COPEY__32</t>
  </si>
  <si>
    <t>ELBANCO1</t>
  </si>
  <si>
    <t>ELPASO_1</t>
  </si>
  <si>
    <t>GUATAPU3</t>
  </si>
  <si>
    <t>LAJAGUA1</t>
  </si>
  <si>
    <t>LAJAGUA2</t>
  </si>
  <si>
    <t>LALOMA_1</t>
  </si>
  <si>
    <t>SALGUER3</t>
  </si>
  <si>
    <t>VALLED27</t>
  </si>
  <si>
    <t>VALLEDP3</t>
  </si>
  <si>
    <t>VALLEDP7</t>
  </si>
  <si>
    <t>Uchec</t>
  </si>
  <si>
    <t>ACASA__1</t>
  </si>
  <si>
    <t>BCAFE__1</t>
  </si>
  <si>
    <t>DORADA_1</t>
  </si>
  <si>
    <t>ENEA___1</t>
  </si>
  <si>
    <t>HERMOSA1</t>
  </si>
  <si>
    <t>INSULA_1</t>
  </si>
  <si>
    <t>IRRA___1</t>
  </si>
  <si>
    <t>MANIZAL1</t>
  </si>
  <si>
    <t>MANZA_C1</t>
  </si>
  <si>
    <t>PAPELES1</t>
  </si>
  <si>
    <t>PERALON1</t>
  </si>
  <si>
    <t>RIOSUCI1</t>
  </si>
  <si>
    <t>ROSA__12</t>
  </si>
  <si>
    <t>SALAMIN1</t>
  </si>
  <si>
    <t>VICTO_C1</t>
  </si>
  <si>
    <t>VITERBO1</t>
  </si>
  <si>
    <t>Uchoco</t>
  </si>
  <si>
    <t>CERTEGU1</t>
  </si>
  <si>
    <t>EL_SIET1</t>
  </si>
  <si>
    <t>ITSMINA1</t>
  </si>
  <si>
    <t>QUIBDO_1</t>
  </si>
  <si>
    <t>Ucirainf</t>
  </si>
  <si>
    <t>CIRAINF2</t>
  </si>
  <si>
    <t>Ucodensa</t>
  </si>
  <si>
    <t>AGAFANO1</t>
  </si>
  <si>
    <t>ARANJUE1</t>
  </si>
  <si>
    <t>AUTOPIS1</t>
  </si>
  <si>
    <t>BALSILL1</t>
  </si>
  <si>
    <t>BALSILL2</t>
  </si>
  <si>
    <t>BARZALO1</t>
  </si>
  <si>
    <t>BOLIVIA1</t>
  </si>
  <si>
    <t>BOSA___1</t>
  </si>
  <si>
    <t>CALLE1_1</t>
  </si>
  <si>
    <t>CALLE511</t>
  </si>
  <si>
    <t>CALLE671</t>
  </si>
  <si>
    <t>CAQUEZA1</t>
  </si>
  <si>
    <t>CARRERA1</t>
  </si>
  <si>
    <t>CASTELL1</t>
  </si>
  <si>
    <t>CHIA___1</t>
  </si>
  <si>
    <t>CHICALA1</t>
  </si>
  <si>
    <t>COLEGIO1</t>
  </si>
  <si>
    <t>COMPART1</t>
  </si>
  <si>
    <t>CONCORD1</t>
  </si>
  <si>
    <t>CTR_URB7</t>
  </si>
  <si>
    <t>DIACOC_1</t>
  </si>
  <si>
    <t>EL_SOL_1</t>
  </si>
  <si>
    <t>FACATA_1</t>
  </si>
  <si>
    <t>FLANDES2</t>
  </si>
  <si>
    <t>FLORCOD1</t>
  </si>
  <si>
    <t>FONTIBO1</t>
  </si>
  <si>
    <t>GORGONZ7</t>
  </si>
  <si>
    <t>GRASAB_1</t>
  </si>
  <si>
    <t>GUACA__3</t>
  </si>
  <si>
    <t>GUAVIO_1</t>
  </si>
  <si>
    <t>INDUMIL7</t>
  </si>
  <si>
    <t>LA_PAZ_1</t>
  </si>
  <si>
    <t>LACALER1</t>
  </si>
  <si>
    <t>LEOAGA_1</t>
  </si>
  <si>
    <t>LEONA__1</t>
  </si>
  <si>
    <t>MAMBITA1</t>
  </si>
  <si>
    <t>MORATO_1</t>
  </si>
  <si>
    <t>MOSQUER1</t>
  </si>
  <si>
    <t>MUNA___1</t>
  </si>
  <si>
    <t>MUNA2__7</t>
  </si>
  <si>
    <t>MUNA3__1</t>
  </si>
  <si>
    <t>MUZU___1</t>
  </si>
  <si>
    <t>NOROEST1</t>
  </si>
  <si>
    <t>PAVCO__1</t>
  </si>
  <si>
    <t>PELDAR_1</t>
  </si>
  <si>
    <t>PORTUGA1</t>
  </si>
  <si>
    <t>SALITRE1</t>
  </si>
  <si>
    <t>SALTO__1</t>
  </si>
  <si>
    <t>SAN_FAC7</t>
  </si>
  <si>
    <t>SAN_JOS1</t>
  </si>
  <si>
    <t>SAN_MTO1</t>
  </si>
  <si>
    <t>SAN_MTO2</t>
  </si>
  <si>
    <t>SAUCES_1</t>
  </si>
  <si>
    <t>SESQUIL1</t>
  </si>
  <si>
    <t>SIMIJAC7</t>
  </si>
  <si>
    <t>SNCA_EE1</t>
  </si>
  <si>
    <t>SUBA___1</t>
  </si>
  <si>
    <t>TECHO__1</t>
  </si>
  <si>
    <t>TENJO__1</t>
  </si>
  <si>
    <t>TERMIN_1</t>
  </si>
  <si>
    <t>TIBABUY1</t>
  </si>
  <si>
    <t>TORCAEE1</t>
  </si>
  <si>
    <t>TRENOCC11</t>
  </si>
  <si>
    <t>TUNAL__1</t>
  </si>
  <si>
    <t>TUNAL__2</t>
  </si>
  <si>
    <t>TZIPAQU1</t>
  </si>
  <si>
    <t>UBALA__1</t>
  </si>
  <si>
    <t>UBATE__1</t>
  </si>
  <si>
    <t>UBATE__3</t>
  </si>
  <si>
    <t>USAQUEN1</t>
  </si>
  <si>
    <t>USME___1</t>
  </si>
  <si>
    <t>VERAGUA1</t>
  </si>
  <si>
    <t>VICTORI1</t>
  </si>
  <si>
    <t>VILLETA1</t>
  </si>
  <si>
    <t>VILLETA13</t>
  </si>
  <si>
    <t>ZIPAQUI1</t>
  </si>
  <si>
    <t>Udrummond</t>
  </si>
  <si>
    <t>PTODRM21</t>
  </si>
  <si>
    <t>UdrummondLoma</t>
  </si>
  <si>
    <t>DRUMMON5</t>
  </si>
  <si>
    <t>Uebsa</t>
  </si>
  <si>
    <t>ACERIPR1</t>
  </si>
  <si>
    <t>ARICAUR1</t>
  </si>
  <si>
    <t>BAVARIA1</t>
  </si>
  <si>
    <t>BOAVIT11</t>
  </si>
  <si>
    <t>CEMENPR1</t>
  </si>
  <si>
    <t>CHIQUIN1</t>
  </si>
  <si>
    <t>DIACO__1</t>
  </si>
  <si>
    <t>DUITAMA1</t>
  </si>
  <si>
    <t>ELHUCHE1</t>
  </si>
  <si>
    <t>GUATEQU1</t>
  </si>
  <si>
    <t>HOLCIM_1</t>
  </si>
  <si>
    <t>JENESAN1</t>
  </si>
  <si>
    <t>MUISCAS1</t>
  </si>
  <si>
    <t>PAIPA__1</t>
  </si>
  <si>
    <t>PTO_BOY1</t>
  </si>
  <si>
    <t>RAMADA_1</t>
  </si>
  <si>
    <t>S_ANTON1</t>
  </si>
  <si>
    <t>SIDENAL1</t>
  </si>
  <si>
    <t>SPABLO_1</t>
  </si>
  <si>
    <t>STAMAR11</t>
  </si>
  <si>
    <t>TOQUILL1</t>
  </si>
  <si>
    <t>TUNJA__1</t>
  </si>
  <si>
    <t>VASCONI1</t>
  </si>
  <si>
    <t>Uemec</t>
  </si>
  <si>
    <t>POPAYA12</t>
  </si>
  <si>
    <t>Uemsa</t>
  </si>
  <si>
    <t>ALTILLA1</t>
  </si>
  <si>
    <t>BARZAL_1</t>
  </si>
  <si>
    <t>CAMPBON1</t>
  </si>
  <si>
    <t>CAMPBON2</t>
  </si>
  <si>
    <t>CATAMA_1</t>
  </si>
  <si>
    <t>GRANADA1</t>
  </si>
  <si>
    <t>GRANADA2</t>
  </si>
  <si>
    <t>OCOA___1</t>
  </si>
  <si>
    <t>OCOA__31</t>
  </si>
  <si>
    <t>OCOA__32</t>
  </si>
  <si>
    <t>POCOAE_1</t>
  </si>
  <si>
    <t>PTO_LOP1</t>
  </si>
  <si>
    <t>SNFER__1</t>
  </si>
  <si>
    <t>SURIA__1</t>
  </si>
  <si>
    <t>SURIA__2</t>
  </si>
  <si>
    <t>SURIA__3</t>
  </si>
  <si>
    <t>Uenelar</t>
  </si>
  <si>
    <t>BANADIA1</t>
  </si>
  <si>
    <t>CANLARA3</t>
  </si>
  <si>
    <t>TAME___1</t>
  </si>
  <si>
    <t>Uenerca</t>
  </si>
  <si>
    <t>AAZUL_11</t>
  </si>
  <si>
    <t>AGUACLA1</t>
  </si>
  <si>
    <t>BOAVIT12</t>
  </si>
  <si>
    <t>MORRO1</t>
  </si>
  <si>
    <t>PAZARIP1</t>
  </si>
  <si>
    <t>SANLUIS1</t>
  </si>
  <si>
    <t>SROSLIA1</t>
  </si>
  <si>
    <t>STAMAR12</t>
  </si>
  <si>
    <t>YOPAL__1</t>
  </si>
  <si>
    <t>Uguajiram</t>
  </si>
  <si>
    <t>CIENAGA1</t>
  </si>
  <si>
    <t>CUESTEC1</t>
  </si>
  <si>
    <t>FUNDACI1</t>
  </si>
  <si>
    <t>GAIRA__1</t>
  </si>
  <si>
    <t>GUAJIRA2</t>
  </si>
  <si>
    <t>LIBERTA1</t>
  </si>
  <si>
    <t>MAICAO_1</t>
  </si>
  <si>
    <t>MANZANA1</t>
  </si>
  <si>
    <t>PLATO_31</t>
  </si>
  <si>
    <t>PTO_NVO1</t>
  </si>
  <si>
    <t>RIOCOR31</t>
  </si>
  <si>
    <t>RIOCOR71</t>
  </si>
  <si>
    <t>RIOCORD1</t>
  </si>
  <si>
    <t>RIOHACH1</t>
  </si>
  <si>
    <t>SANJUAN1</t>
  </si>
  <si>
    <t>SANTAMA1</t>
  </si>
  <si>
    <t>TEMPSANT1</t>
  </si>
  <si>
    <t>TFUNDAC1</t>
  </si>
  <si>
    <t>Uguaviare</t>
  </si>
  <si>
    <t>SAN_JDG1</t>
  </si>
  <si>
    <t>Uintercor</t>
  </si>
  <si>
    <t>MINA_IN1</t>
  </si>
  <si>
    <t>UMagdalenaecop</t>
  </si>
  <si>
    <t>ECOPETR2</t>
  </si>
  <si>
    <t>Uoxyint</t>
  </si>
  <si>
    <t>CANLOXY3</t>
  </si>
  <si>
    <t>Upacande</t>
  </si>
  <si>
    <t>ALTAMIR1</t>
  </si>
  <si>
    <t>BETANIA1</t>
  </si>
  <si>
    <t>HOBO___1</t>
  </si>
  <si>
    <t>NEIVA__1</t>
  </si>
  <si>
    <t>ORIENT_1</t>
  </si>
  <si>
    <t>PITALIT1</t>
  </si>
  <si>
    <t>SEBORUC1</t>
  </si>
  <si>
    <t>SEGOVI_1</t>
  </si>
  <si>
    <t>SESUR__1</t>
  </si>
  <si>
    <t>TENAY__3</t>
  </si>
  <si>
    <t>Upacifico</t>
  </si>
  <si>
    <t>ALFERII1</t>
  </si>
  <si>
    <t>B_MALAG1</t>
  </si>
  <si>
    <t>BAJOANC1</t>
  </si>
  <si>
    <t>BUENAVE1</t>
  </si>
  <si>
    <t>BUGA___1</t>
  </si>
  <si>
    <t>BUGA___2</t>
  </si>
  <si>
    <t>CALIMA_1</t>
  </si>
  <si>
    <t>CALIMA_2</t>
  </si>
  <si>
    <t>CANDELA1</t>
  </si>
  <si>
    <t>CARMEL11</t>
  </si>
  <si>
    <t>CARMEL31</t>
  </si>
  <si>
    <t>CARMEL32</t>
  </si>
  <si>
    <t>CARTAG11</t>
  </si>
  <si>
    <t>CARTON11</t>
  </si>
  <si>
    <t>CERRITO1</t>
  </si>
  <si>
    <t>CERRITO2</t>
  </si>
  <si>
    <t>CODAZZI1</t>
  </si>
  <si>
    <t>CODAZZI2</t>
  </si>
  <si>
    <t>ELPAIL12</t>
  </si>
  <si>
    <t>ELPAILO1</t>
  </si>
  <si>
    <t>ESTAMBU31</t>
  </si>
  <si>
    <t>ESTAMBU32</t>
  </si>
  <si>
    <t>GUACHA31</t>
  </si>
  <si>
    <t>JAMUNDI1</t>
  </si>
  <si>
    <t>JAMUNDI2</t>
  </si>
  <si>
    <t>JUANCH13</t>
  </si>
  <si>
    <t>JUANCH31</t>
  </si>
  <si>
    <t>JUANCH32</t>
  </si>
  <si>
    <t>LAUNION1</t>
  </si>
  <si>
    <t>LAUNION2</t>
  </si>
  <si>
    <t>LAUNION3</t>
  </si>
  <si>
    <t>PALMAS11</t>
  </si>
  <si>
    <t>PALMIRA1</t>
  </si>
  <si>
    <t>PALSECA31</t>
  </si>
  <si>
    <t>PALSECA32</t>
  </si>
  <si>
    <t>PAPELCA1</t>
  </si>
  <si>
    <t>PROPAL11</t>
  </si>
  <si>
    <t>SALVAJI2</t>
  </si>
  <si>
    <t>SUCROMI1</t>
  </si>
  <si>
    <t>TABOR_12</t>
  </si>
  <si>
    <t>TULUA_11</t>
  </si>
  <si>
    <t>VIJES__1</t>
  </si>
  <si>
    <t>VIJES_12</t>
  </si>
  <si>
    <t>YUMBO_11</t>
  </si>
  <si>
    <t>YUMBO22</t>
  </si>
  <si>
    <t>ZARZAL_1</t>
  </si>
  <si>
    <t>Upereira</t>
  </si>
  <si>
    <t>CUBA___1</t>
  </si>
  <si>
    <t>DOSQUEB1</t>
  </si>
  <si>
    <t>PAVAS__1</t>
  </si>
  <si>
    <t>ROSA__11</t>
  </si>
  <si>
    <t>Upijaos</t>
  </si>
  <si>
    <t>BRISAS_1</t>
  </si>
  <si>
    <t>CAJAMAR1</t>
  </si>
  <si>
    <t>DIAMANT1</t>
  </si>
  <si>
    <t>ESPINA31</t>
  </si>
  <si>
    <t>FLANDE31</t>
  </si>
  <si>
    <t>FLANDE32</t>
  </si>
  <si>
    <t>GUALAN31</t>
  </si>
  <si>
    <t>GUAMO_31</t>
  </si>
  <si>
    <t>LANCERO31</t>
  </si>
  <si>
    <t>MARIQU31</t>
  </si>
  <si>
    <t>MARIQU32</t>
  </si>
  <si>
    <t>MIROLIN1</t>
  </si>
  <si>
    <t>NATAGA_1</t>
  </si>
  <si>
    <t>NESPIN31</t>
  </si>
  <si>
    <t>NESPIN71</t>
  </si>
  <si>
    <t>PAPAYO_1</t>
  </si>
  <si>
    <t>PRADO_13</t>
  </si>
  <si>
    <t>SANFEL31</t>
  </si>
  <si>
    <t>SANFEL32</t>
  </si>
  <si>
    <t>TULUNI_1</t>
  </si>
  <si>
    <t>VENTAN31</t>
  </si>
  <si>
    <t>Uplaneta</t>
  </si>
  <si>
    <t>CERROMT3</t>
  </si>
  <si>
    <t>M_LIBAN3</t>
  </si>
  <si>
    <t>PLANET31</t>
  </si>
  <si>
    <t>PLANET71</t>
  </si>
  <si>
    <t>Uputumayo</t>
  </si>
  <si>
    <t>MOCOA__1</t>
  </si>
  <si>
    <t>Uquindio</t>
  </si>
  <si>
    <t>ARMENIA1</t>
  </si>
  <si>
    <t>REGIVIT1</t>
  </si>
  <si>
    <t>TEBAIDA1</t>
  </si>
  <si>
    <t>UReficar</t>
  </si>
  <si>
    <t>REFICAR2</t>
  </si>
  <si>
    <t>Urubiales</t>
  </si>
  <si>
    <t>COROCO21</t>
  </si>
  <si>
    <t>JAGUEY21</t>
  </si>
  <si>
    <t>USanfernando</t>
  </si>
  <si>
    <t>SNFER_21</t>
  </si>
  <si>
    <t>Usantander</t>
  </si>
  <si>
    <t>BARBO_12</t>
  </si>
  <si>
    <t>BARRAN31</t>
  </si>
  <si>
    <t>BARRAN32</t>
  </si>
  <si>
    <t>BSCONIA1</t>
  </si>
  <si>
    <t>BUCMANG1</t>
  </si>
  <si>
    <t>BVISTA_1</t>
  </si>
  <si>
    <t>CIMITAR1</t>
  </si>
  <si>
    <t>CONDOR_1</t>
  </si>
  <si>
    <t>CONUCOS1</t>
  </si>
  <si>
    <t>CONUCOS2</t>
  </si>
  <si>
    <t>FLORID_1</t>
  </si>
  <si>
    <t>LIZAMA_1</t>
  </si>
  <si>
    <t>MESASOL1</t>
  </si>
  <si>
    <t>OIBA___1</t>
  </si>
  <si>
    <t>PALENQU3</t>
  </si>
  <si>
    <t>PALOS__1</t>
  </si>
  <si>
    <t>PIEDECU1</t>
  </si>
  <si>
    <t>PRCIPAL1</t>
  </si>
  <si>
    <t>REALMIN1</t>
  </si>
  <si>
    <t>RFRIO__1</t>
  </si>
  <si>
    <t>SAN_GIL1</t>
  </si>
  <si>
    <t>SAN_SI31</t>
  </si>
  <si>
    <t>SBNTORR1</t>
  </si>
  <si>
    <t>SNALBER3</t>
  </si>
  <si>
    <t>STAROSA1</t>
  </si>
  <si>
    <t>WILCHES1</t>
  </si>
  <si>
    <t>YARIGUI1</t>
  </si>
  <si>
    <t>Usinu</t>
  </si>
  <si>
    <t>BOSTON_1</t>
  </si>
  <si>
    <t>CALAMAR6</t>
  </si>
  <si>
    <t>CERETE_1</t>
  </si>
  <si>
    <t>CERETE_2</t>
  </si>
  <si>
    <t>CHINUC31</t>
  </si>
  <si>
    <t>COVENAS1</t>
  </si>
  <si>
    <t>ELCARMN6</t>
  </si>
  <si>
    <t>MAGANG_1</t>
  </si>
  <si>
    <t>MOJANA31</t>
  </si>
  <si>
    <t>MOJANA71</t>
  </si>
  <si>
    <t>MOMPOX_1</t>
  </si>
  <si>
    <t>MONTER12</t>
  </si>
  <si>
    <t>MONTERI1</t>
  </si>
  <si>
    <t>NVAMON_1</t>
  </si>
  <si>
    <t>RIOSINU1</t>
  </si>
  <si>
    <t>SANMARC1</t>
  </si>
  <si>
    <t>SIEFLOR1</t>
  </si>
  <si>
    <t>SINCE__1</t>
  </si>
  <si>
    <t>SINCE__2</t>
  </si>
  <si>
    <t>SNJACIN6</t>
  </si>
  <si>
    <t>SNJACIN62</t>
  </si>
  <si>
    <t>TIEALTA1</t>
  </si>
  <si>
    <t>TOLUVIE31</t>
  </si>
  <si>
    <t>TOLUVIE71</t>
  </si>
  <si>
    <t>ZAMBRA71</t>
  </si>
  <si>
    <t>Usur</t>
  </si>
  <si>
    <t>ELZAQUE1</t>
  </si>
  <si>
    <t>GUAPI__1</t>
  </si>
  <si>
    <t>GUAPI__2</t>
  </si>
  <si>
    <t>OLAYA__1</t>
  </si>
  <si>
    <t>PAEZ__31</t>
  </si>
  <si>
    <t>POPAYA11</t>
  </si>
  <si>
    <t>SANBERN1</t>
  </si>
  <si>
    <t>SANTAN31</t>
  </si>
  <si>
    <t>UTernium</t>
  </si>
  <si>
    <t>TERNIUM2</t>
  </si>
  <si>
    <t>Utubocaribe</t>
  </si>
  <si>
    <t>TUBOCAR1</t>
  </si>
  <si>
    <t>Utulua</t>
  </si>
  <si>
    <t>TULUA_12</t>
  </si>
  <si>
    <t>UPC</t>
  </si>
  <si>
    <t>NODO</t>
  </si>
  <si>
    <t>NIVEL DE 
TENSIÓN</t>
  </si>
  <si>
    <t>CONCEPTO</t>
  </si>
  <si>
    <t>HORA 01</t>
  </si>
  <si>
    <t>HORA 02</t>
  </si>
  <si>
    <t>HORA 03</t>
  </si>
  <si>
    <t>HORA 04</t>
  </si>
  <si>
    <t>HORA 05</t>
  </si>
  <si>
    <t>HORA 06</t>
  </si>
  <si>
    <t>HORA 07</t>
  </si>
  <si>
    <t>HORA 08</t>
  </si>
  <si>
    <t>HORA 09</t>
  </si>
  <si>
    <t>HORA 10</t>
  </si>
  <si>
    <t>HORA 11</t>
  </si>
  <si>
    <t>HORA 12</t>
  </si>
  <si>
    <t>HORA 13</t>
  </si>
  <si>
    <t>HORA 14</t>
  </si>
  <si>
    <t>HORA 15</t>
  </si>
  <si>
    <t>HORA 16</t>
  </si>
  <si>
    <t>HORA 17</t>
  </si>
  <si>
    <t>HORA 18</t>
  </si>
  <si>
    <t>HORA 19</t>
  </si>
  <si>
    <t>HORA 20</t>
  </si>
  <si>
    <t>HORA 21</t>
  </si>
  <si>
    <t>HORA 22</t>
  </si>
  <si>
    <t>HORA 23</t>
  </si>
  <si>
    <t>HORA 24</t>
  </si>
  <si>
    <t>PROMEDIO</t>
  </si>
  <si>
    <t>VILLAVI1</t>
  </si>
  <si>
    <t>MEDIANA</t>
  </si>
  <si>
    <t>Numeración de barras.</t>
  </si>
  <si>
    <t xml:space="preserve">Numero </t>
  </si>
  <si>
    <t>Nombre</t>
  </si>
  <si>
    <t>Nivel de tensión (kV)</t>
  </si>
  <si>
    <t>Esmeralda 230 kV</t>
  </si>
  <si>
    <t>Yumbo</t>
  </si>
  <si>
    <t>Alto Anchicaya</t>
  </si>
  <si>
    <t>TermoYumbo</t>
  </si>
  <si>
    <t>La campiña</t>
  </si>
  <si>
    <t>Chipichape</t>
  </si>
  <si>
    <t>San Antonio</t>
  </si>
  <si>
    <t>Bajo Achincaya</t>
  </si>
  <si>
    <t>Ladera</t>
  </si>
  <si>
    <t>San Luis</t>
  </si>
  <si>
    <t>Malaga</t>
  </si>
  <si>
    <t>Tabor</t>
  </si>
  <si>
    <t>Pance 115 kV</t>
  </si>
  <si>
    <t>Alférez</t>
  </si>
  <si>
    <t>Alférez I</t>
  </si>
  <si>
    <t>Pailon</t>
  </si>
  <si>
    <t>Estambul</t>
  </si>
  <si>
    <t>Meléndez I</t>
  </si>
  <si>
    <t>Pance 230 kV</t>
  </si>
  <si>
    <t>Papel Cauca</t>
  </si>
  <si>
    <t>Juanchito</t>
  </si>
  <si>
    <t>Aguablanca</t>
  </si>
  <si>
    <t>Alférez II</t>
  </si>
  <si>
    <t>Sur (Cali)</t>
  </si>
  <si>
    <t>Salvajina</t>
  </si>
  <si>
    <t>Potencia activa [MW]</t>
  </si>
  <si>
    <t>Potencia reactiva [MVAr]</t>
  </si>
  <si>
    <t>Potencia activa Generada [MW]</t>
  </si>
  <si>
    <t>Potencia reactiva Generada [MVAr]</t>
  </si>
  <si>
    <t>Fp</t>
  </si>
  <si>
    <t>0.9 /0.936</t>
  </si>
  <si>
    <t>Qmin [MVAr]</t>
  </si>
  <si>
    <t>Qmax [MVAr]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</si>
</sst>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1" fillId="2" borderId="2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57265-44D2-454D-82EE-F7B35C9C077C}">
  <dimension ref="A1:M27"/>
  <sheetViews>
    <sheetView tabSelected="1" zoomScale="85" zoomScaleNormal="85" workbookViewId="0">
      <selection activeCell="D3" sqref="D3:E27"/>
    </sheetView>
  </sheetViews>
  <sheetFormatPr baseColWidth="10" defaultColWidth="11.5703125" defaultRowHeight="15" x14ac:dyDescent="0.25"/>
  <cols>
    <col min="2" max="2" width="15.85546875" bestFit="1" customWidth="1"/>
    <col min="3" max="3" width="11.140625" bestFit="1" customWidth="1"/>
    <col min="4" max="5" width="15" customWidth="1"/>
    <col min="6" max="6" width="18.42578125" customWidth="1"/>
    <col min="7" max="7" width="18" customWidth="1"/>
    <col min="10" max="10" width="14.28515625" customWidth="1"/>
  </cols>
  <sheetData>
    <row r="1" spans="1:13" x14ac:dyDescent="0.25">
      <c r="A1" s="10" t="s">
        <v>600</v>
      </c>
      <c r="B1" s="10"/>
      <c r="C1" s="10"/>
    </row>
    <row r="2" spans="1:13" ht="45" x14ac:dyDescent="0.25">
      <c r="A2" s="3" t="s">
        <v>601</v>
      </c>
      <c r="B2" s="3" t="s">
        <v>602</v>
      </c>
      <c r="C2" s="3" t="s">
        <v>603</v>
      </c>
      <c r="D2" s="4" t="s">
        <v>629</v>
      </c>
      <c r="E2" s="4" t="s">
        <v>630</v>
      </c>
      <c r="F2" s="8" t="s">
        <v>631</v>
      </c>
      <c r="G2" s="8" t="s">
        <v>632</v>
      </c>
      <c r="H2" s="8" t="s">
        <v>633</v>
      </c>
      <c r="I2" s="8" t="s">
        <v>635</v>
      </c>
      <c r="J2" s="8" t="s">
        <v>636</v>
      </c>
    </row>
    <row r="3" spans="1:13" x14ac:dyDescent="0.25">
      <c r="A3" s="5">
        <v>1</v>
      </c>
      <c r="B3" s="6" t="s">
        <v>604</v>
      </c>
      <c r="C3" s="5">
        <v>230</v>
      </c>
      <c r="D3">
        <v>0</v>
      </c>
      <c r="E3">
        <v>0</v>
      </c>
      <c r="F3" s="1">
        <f>45*3</f>
        <v>135</v>
      </c>
      <c r="G3" s="1">
        <f>F3*0.15</f>
        <v>20.25</v>
      </c>
      <c r="H3" s="1">
        <v>0.85</v>
      </c>
      <c r="I3" s="1">
        <v>0</v>
      </c>
      <c r="J3" s="1">
        <v>0</v>
      </c>
    </row>
    <row r="4" spans="1:13" x14ac:dyDescent="0.25">
      <c r="A4" s="5">
        <v>2</v>
      </c>
      <c r="B4" s="6" t="s">
        <v>605</v>
      </c>
      <c r="C4" s="5">
        <v>230</v>
      </c>
      <c r="D4">
        <v>0</v>
      </c>
      <c r="E4">
        <v>0</v>
      </c>
      <c r="F4" s="1">
        <v>0</v>
      </c>
      <c r="G4" s="1">
        <f>66*2</f>
        <v>132</v>
      </c>
      <c r="H4" s="1">
        <v>1</v>
      </c>
      <c r="I4" s="1">
        <v>0</v>
      </c>
      <c r="J4" s="1">
        <v>0</v>
      </c>
    </row>
    <row r="5" spans="1:13" x14ac:dyDescent="0.25">
      <c r="A5" s="5">
        <v>3</v>
      </c>
      <c r="B5" s="6" t="s">
        <v>606</v>
      </c>
      <c r="C5" s="5">
        <v>230</v>
      </c>
      <c r="D5">
        <v>0</v>
      </c>
      <c r="E5">
        <v>0</v>
      </c>
      <c r="F5" s="1">
        <f>125*3</f>
        <v>375</v>
      </c>
      <c r="G5" s="1">
        <f>0.1*F5</f>
        <v>37.5</v>
      </c>
      <c r="H5" s="1">
        <v>0.9</v>
      </c>
      <c r="I5" s="1">
        <f>-(44+33+33)</f>
        <v>-110</v>
      </c>
      <c r="J5" s="1">
        <f>48+38+38</f>
        <v>124</v>
      </c>
    </row>
    <row r="6" spans="1:13" x14ac:dyDescent="0.25">
      <c r="A6" s="5">
        <v>4</v>
      </c>
      <c r="B6" s="6" t="s">
        <v>607</v>
      </c>
      <c r="C6" s="5">
        <v>115</v>
      </c>
      <c r="D6">
        <f>MEDIAN('Día 1'!AD44,'Día 2'!AD44,'Día 3'!AD44,'Día 4'!AD44,'Día 5'!AD4,'Día 6'!AD44,'Día 7'!AD44)+MEDIAN('Día 1'!AD47,'Día 2'!AD47,'Día 3'!AD47,'Día 4'!AD47,'Día 5'!AD47,'Día 6'!AD47,'Día 7'!AD47)+MEDIAN('Día 1'!AD89,'Día 2'!AD89,'Día 3'!AD89,'Día 4'!AD89,'Día 5'!AD89,'Día 6'!AD89,'Día 7'!AD89)+MEDIAN('Día 1'!AD92,'Día 2'!AD92,'Día 3'!AD92,'Día 4'!AD92,'Día 5'!AD92,'Día 6'!AD92,'Día 7'!AD92)</f>
        <v>32.477917917500001</v>
      </c>
      <c r="E6">
        <f>MEDIAN('Día 1'!AD45,'Día 2'!AD45,'Día 3'!AD45,'Día 4'!AD45,'Día 5'!AD5,'Día 6'!AD45,'Día 7'!AD45)+MEDIAN('Día 1'!AD48,'Día 2'!AD48,'Día 3'!AD48,'Día 4'!AD48,'Día 5'!AD48,'Día 6'!AD48,'Día 7'!AD48)+MEDIAN('Día 1'!AD90,'Día 2'!AD90,'Día 3'!AD90,'Día 4'!AD90,'Día 5'!AD90,'Día 6'!AD90,'Día 7'!AD90)+MEDIAN('Día 1'!AD93,'Día 2'!AD93,'Día 3'!AD93,'Día 4'!AD93,'Día 5'!AD93,'Día 6'!AD93,'Día 7'!AD93)</f>
        <v>6.6385480986000003</v>
      </c>
      <c r="F6" s="1">
        <v>0</v>
      </c>
      <c r="G6" s="1">
        <v>0</v>
      </c>
      <c r="H6" s="1">
        <v>0</v>
      </c>
      <c r="I6" s="1">
        <v>0</v>
      </c>
      <c r="J6" s="1">
        <v>0</v>
      </c>
    </row>
    <row r="7" spans="1:13" x14ac:dyDescent="0.25">
      <c r="A7" s="5">
        <v>5</v>
      </c>
      <c r="B7" s="6" t="s">
        <v>608</v>
      </c>
      <c r="C7" s="5">
        <v>115</v>
      </c>
      <c r="D7">
        <f>MEDIAN('Día 1'!AD8,'Día 2'!AD8,'Día 3'!AD8,'Día 4'!AD8,'Día 5'!AD8,'Día 6'!AD8,'Día 7'!AD5)</f>
        <v>3.6104194925000002</v>
      </c>
      <c r="E7">
        <f>MEDIAN('Día 1'!AD9,'Día 2'!AD9,'Día 3'!AD9,'Día 4'!AD9,'Día 5'!AD9,'Día 6'!AD9,'Día 7'!AD9)</f>
        <v>0.83930603395000003</v>
      </c>
      <c r="F7" s="1">
        <v>0</v>
      </c>
      <c r="G7" s="1">
        <v>0</v>
      </c>
      <c r="H7" s="1">
        <v>0</v>
      </c>
      <c r="I7" s="1">
        <v>0</v>
      </c>
      <c r="J7" s="1">
        <v>0</v>
      </c>
    </row>
    <row r="8" spans="1:13" x14ac:dyDescent="0.25">
      <c r="A8" s="5">
        <v>6</v>
      </c>
      <c r="B8" s="5" t="s">
        <v>609</v>
      </c>
      <c r="C8" s="5">
        <v>115</v>
      </c>
      <c r="D8">
        <f>MEDIAN('Día 1'!AD11,'Día 2'!AD11,'Día 3'!AD11,'Día 4'!AD11,'Día 5'!AD11,'Día 6'!AD11,'Día 7'!AD11)+MEDIAN('Día 1'!AD14,'Día 2'!AD14,'Día 3'!AD14,'Día 4'!AD14,'Día 5'!AD14,'Día 6'!AD14,'Día 7'!AD14)</f>
        <v>57.220508694999999</v>
      </c>
      <c r="E8">
        <f>MEDIAN('Día 1'!AD12,'Día 2'!AD12,'Día 3'!AD12,'Día 4'!AD12,'Día 5'!AD12,'Día 6'!AD12,'Día 7'!AD12)+MEDIAN('Día 1'!AD15,'Día 2'!AD15,'Día 3'!AD15,'Día 4'!AD15,'Día 5'!AD15,'Día 6'!AD15,'Día 7'!AD15)</f>
        <v>17.812623132349998</v>
      </c>
      <c r="F8" s="1">
        <v>0</v>
      </c>
      <c r="G8" s="1">
        <v>0</v>
      </c>
      <c r="H8" s="1">
        <v>0</v>
      </c>
      <c r="I8" s="1">
        <v>0</v>
      </c>
      <c r="J8" s="1">
        <v>0</v>
      </c>
    </row>
    <row r="9" spans="1:13" x14ac:dyDescent="0.25">
      <c r="A9" s="5">
        <v>7</v>
      </c>
      <c r="B9" s="5" t="s">
        <v>610</v>
      </c>
      <c r="C9" s="5">
        <v>115</v>
      </c>
      <c r="D9">
        <f>MEDIAN('Día 1'!AD35,'Día 2'!AD35,'Día 3'!AD35,'Día 4'!AD35,'Día 5'!AD35,'Día 6'!AD35,'Día 7'!AD35)+MEDIAN('Día 1'!AD38,'Día 2'!AD38,'Día 3'!AD38,'Día 4'!AD38,'Día 5'!AD38,'Día 6'!AD38,'Día 7'!AD38)</f>
        <v>5.8664063625000002</v>
      </c>
      <c r="E9">
        <f>MEDIAN('Día 1'!AD36,'Día 2'!AD36,'Día 3'!AD36,'Día 4'!AD36,'Día 5'!AD36,'Día 6'!AD36,'Día 7'!AD36)+MEDIAN('Día 1'!AD39,'Día 2'!AD39,'Día 3'!AD39,'Día 4'!AD39,'Día 5'!AD39,'Día 6'!AD39,'Día 7'!AD39)</f>
        <v>1.59112302925</v>
      </c>
      <c r="F9" s="1">
        <v>0</v>
      </c>
      <c r="G9" s="1">
        <v>0</v>
      </c>
      <c r="H9" s="1">
        <v>0</v>
      </c>
      <c r="I9" s="1">
        <v>0</v>
      </c>
      <c r="J9" s="1">
        <v>0</v>
      </c>
    </row>
    <row r="10" spans="1:13" x14ac:dyDescent="0.25">
      <c r="A10" s="5">
        <v>8</v>
      </c>
      <c r="B10" s="5" t="s">
        <v>611</v>
      </c>
      <c r="C10" s="5">
        <v>115</v>
      </c>
      <c r="D10">
        <f>MEDIAN('Día 1'!AD56,'Día 2'!AD56,'Día 3'!AD56,'Día 4'!AD56,'Día 5'!AD56,'Día 6'!AD56,'Día 7'!AD56)</f>
        <v>2.1756571650000001</v>
      </c>
      <c r="E10">
        <f>MEDIAN('Día 1'!AD57,'Día 2'!AD57,'Día 3'!AD57,'Día 4'!AD57,'Día 5'!AD57,'Día 6'!AD57,'Día 7'!AD57)</f>
        <v>0.19507108905000001</v>
      </c>
      <c r="F10" s="1">
        <f>13*2+24*2</f>
        <v>74</v>
      </c>
      <c r="G10" s="1">
        <f>F10*0.2</f>
        <v>14.8</v>
      </c>
      <c r="H10" s="1">
        <v>0.8</v>
      </c>
      <c r="I10" s="1">
        <f>-(6.6+6.6+6+6)</f>
        <v>-25.2</v>
      </c>
      <c r="J10" s="1">
        <f>7+7+7.6+7.6</f>
        <v>29.200000000000003</v>
      </c>
      <c r="M10">
        <f>72/12</f>
        <v>6</v>
      </c>
    </row>
    <row r="11" spans="1:13" x14ac:dyDescent="0.25">
      <c r="A11" s="5">
        <v>9</v>
      </c>
      <c r="B11" s="5" t="s">
        <v>612</v>
      </c>
      <c r="C11" s="5">
        <v>115</v>
      </c>
      <c r="D11">
        <f>MEDIAN('Día 1'!AD20,'Día 2'!AD20,'Día 3'!AD20,'Día 4'!AD20,'Día 5'!AD20,'Día 6'!AD20,'Día 7'!AD20)</f>
        <v>32.445111999999995</v>
      </c>
      <c r="E11">
        <f>MEDIAN('Día 1'!AD21,'Día 2'!AD21,'Día 3'!AD21,'Día 4'!AD21,'Día 5'!AD21,'Día 6'!AD21,'Día 7'!AD21)</f>
        <v>7.1181658372500003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</row>
    <row r="12" spans="1:13" x14ac:dyDescent="0.25">
      <c r="A12" s="5">
        <v>10</v>
      </c>
      <c r="B12" s="5" t="s">
        <v>613</v>
      </c>
      <c r="C12" s="5">
        <v>115</v>
      </c>
      <c r="D12">
        <f>MEDIAN('Día 1'!AD29,'Día 2'!AD29,'Día 3'!AD29,'Día 4'!AD29,'Día 5'!AD29,'Día 6'!AD29,'Día 7'!AD29)</f>
        <v>25.042163752499999</v>
      </c>
      <c r="E12">
        <f>MEDIAN('Día 1'!AD30,'Día 2'!AD30,'Día 3'!AD30,'Día 4'!AD30,'Día 5'!AD30,'Día 6'!AD30,'Día 7'!AD30)</f>
        <v>8.2633369171000002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</row>
    <row r="13" spans="1:13" x14ac:dyDescent="0.25">
      <c r="A13" s="5">
        <v>11</v>
      </c>
      <c r="B13" s="5" t="s">
        <v>614</v>
      </c>
      <c r="C13" s="5">
        <v>115</v>
      </c>
      <c r="D13">
        <f>MEDIAN('Día 1'!AD53,'Día 2'!AD53,'Día 3'!AD53,'Día 4'!AD53,'Día 5'!AD53,'Día 6'!AD53,'Día 7'!AD53)</f>
        <v>0.55472983750000004</v>
      </c>
      <c r="E13">
        <f>MEDIAN('Día 1'!AD54,'Día 2'!AD54,'Día 3'!AD54,'Día 4'!AD54,'Día 5'!AD54,'Día 6'!AD54,'Día 7'!AD54)</f>
        <v>0.14625990259999999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</row>
    <row r="14" spans="1:13" x14ac:dyDescent="0.25">
      <c r="A14" s="5">
        <v>12</v>
      </c>
      <c r="B14" s="5" t="s">
        <v>615</v>
      </c>
      <c r="C14" s="5">
        <v>115</v>
      </c>
      <c r="D14">
        <f>MEDIAN('Día 1'!AD86,'Día 2'!AD8,'Día 3'!AD86,'Día 4'!AD86,'Día 5'!AD86,'Día 6'!AD86,'Día 7'!AD86)</f>
        <v>1.8197643525</v>
      </c>
      <c r="E14">
        <f>MEDIAN('Día 1'!AD87,'Día 2'!AD9,'Día 3'!AD87,'Día 4'!AD87,'Día 5'!AD87,'Día 6'!AD87,'Día 7'!AD87)</f>
        <v>0.1848086803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</row>
    <row r="15" spans="1:13" x14ac:dyDescent="0.25">
      <c r="A15" s="5">
        <v>13</v>
      </c>
      <c r="B15" s="5" t="s">
        <v>616</v>
      </c>
      <c r="C15" s="5">
        <v>115</v>
      </c>
      <c r="D15">
        <f>MEDIAN('Día 1'!AD26,'Día 2'!AD26,'Día 3'!AD26,'Día 4'!AD26,'Día 5'!AD26,'Día 6'!AD26,'Día 7'!AD26)</f>
        <v>39.500989587500001</v>
      </c>
      <c r="E15">
        <f>MEDIAN('Día 1'!AD27,'Día 2'!AD27,'Día 3'!AD27,'Día 4'!AD27,'Día 5'!AD27,'Día 6'!AD27,'Día 7'!AD27)</f>
        <v>11.876327420399999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</row>
    <row r="16" spans="1:13" x14ac:dyDescent="0.25">
      <c r="A16" s="5">
        <v>14</v>
      </c>
      <c r="B16" s="7" t="s">
        <v>617</v>
      </c>
      <c r="C16" s="5">
        <v>230</v>
      </c>
      <c r="D16">
        <v>0</v>
      </c>
      <c r="E16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</row>
    <row r="17" spans="1:10" x14ac:dyDescent="0.25">
      <c r="A17" s="5">
        <v>15</v>
      </c>
      <c r="B17" s="5" t="s">
        <v>618</v>
      </c>
      <c r="C17" s="5">
        <v>115</v>
      </c>
      <c r="D17">
        <f>MEDIAN('Día 1'!AD5,'Día 2'!AD5,'Día 3'!AD5,'Día 4'!AD5,'Día 5'!AD5,'Día 6'!AD5,'Día 7'!AD5)</f>
        <v>21.374461584999999</v>
      </c>
      <c r="E17">
        <f>MEDIAN('Día 1'!AD6,'Día 2'!AD6,'Día 3'!AD6,'Día 4'!AD6,'Día 5'!AD6,'Día 6'!AD6,'Día 7'!AD6)</f>
        <v>5.4257500947999997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</row>
    <row r="18" spans="1:10" x14ac:dyDescent="0.25">
      <c r="A18" s="5">
        <v>16</v>
      </c>
      <c r="B18" s="5" t="s">
        <v>619</v>
      </c>
      <c r="C18" s="5">
        <v>115</v>
      </c>
      <c r="D18">
        <f>MEDIAN('Día 1'!AD59,'Día 2'!AD59,'Día 3'!AD59,'Día 4'!AD59,'Día 5'!AD59,'Día 6'!AD59,'Día 7'!AD59)+MEDIAN('Día 1'!AD62,'Día 2'!AD62,'Día 3'!AD62,'Día 4'!AD62,'Día 5'!AD62,'Día 6'!AD62,'Día 7'!AD62)</f>
        <v>10.889800165</v>
      </c>
      <c r="E18">
        <f>MEDIAN('Día 1'!AD60,'Día 2'!AD60,'Día 3'!AD60,'Día 4'!AD60,'Día 5'!AD60,'Día 6'!AD60,'Día 7'!AD60)+MEDIAN('Día 1'!AD63,'Día 2'!AD63,'Día 3'!AD63,'Día 4'!AD63,'Día 5'!AD63,'Día 6'!AD63,'Día 7'!AD63)</f>
        <v>1.7918643742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</row>
    <row r="19" spans="1:10" x14ac:dyDescent="0.25">
      <c r="A19" s="5">
        <v>17</v>
      </c>
      <c r="B19" s="5" t="s">
        <v>620</v>
      </c>
      <c r="C19" s="5">
        <v>115</v>
      </c>
      <c r="D19">
        <f>MEDIAN('Día 1'!AD65,'Día 2'!AD65,'Día 3'!AD65,'Día 4'!AD65,'Día 5'!AD65,'Día 6'!AD65,'Día 7'!AD65)+MEDIAN('Día 1'!AD68,'Día 2'!AD68,'Día 3'!AD68,'Día 4'!AD68,'Día 5'!AD68,'Día 6'!AD68,'Día 7'!AD68)</f>
        <v>17.566091324999999</v>
      </c>
      <c r="E19">
        <f>MEDIAN('Día 1'!AD66,'Día 2'!AD66,'Día 3'!AD66,'Día 4'!AD66,'Día 5'!AD66,'Día 6'!AD66,'Día 7'!AD66)+MEDIAN('Día 1'!AD69,'Día 2'!AD69,'Día 3'!AD69,'Día 4'!AD69,'Día 5'!AD69,'Día 6'!AD69,'Día 7'!AD69)</f>
        <v>3.9444455678500003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</row>
    <row r="20" spans="1:10" x14ac:dyDescent="0.25">
      <c r="A20" s="5">
        <v>18</v>
      </c>
      <c r="B20" s="5" t="s">
        <v>621</v>
      </c>
      <c r="C20" s="5">
        <v>115</v>
      </c>
      <c r="D20">
        <f>MEDIAN('Día 1'!AD23,'Día 2'!AD23,'Día 3'!AD23,'Día 4'!AD23,'Día 5'!AD23,'Día 6'!AD23,'Día 7'!AD23)</f>
        <v>12.54810412</v>
      </c>
      <c r="E20">
        <f>MEDIAN('Día 1'!AD24,'Día 2'!AD24,'Día 3'!AD24,'Día 4'!AD24,'Día 5'!AD24,'Día 6'!AD24,'Día 7'!AD24)</f>
        <v>4.6559769294999995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</row>
    <row r="21" spans="1:10" x14ac:dyDescent="0.25">
      <c r="A21" s="5">
        <v>19</v>
      </c>
      <c r="B21" s="5" t="s">
        <v>622</v>
      </c>
      <c r="C21" s="5">
        <v>230</v>
      </c>
      <c r="D21">
        <v>0</v>
      </c>
      <c r="E2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</row>
    <row r="22" spans="1:10" x14ac:dyDescent="0.25">
      <c r="A22" s="5">
        <v>20</v>
      </c>
      <c r="B22" s="5" t="s">
        <v>623</v>
      </c>
      <c r="C22" s="5">
        <v>115</v>
      </c>
      <c r="D22">
        <f>MEDIAN('Día 1'!AD80,'Día 2'!AD80,'Día 3'!AD80,'Día 4'!AD80,'Día 5'!AD80,'Día 6'!AD80,'Día 7'!AD80)</f>
        <v>16.4836007</v>
      </c>
      <c r="E22">
        <f>MEDIAN('Día 1'!AD81,'Día 2'!AD81,'Día 3'!AD81,'Día 4'!AD81,'Día 5'!AD81,'Día 6'!AD81,'Día 7'!AD81)</f>
        <v>4.8509885300000004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</row>
    <row r="23" spans="1:10" x14ac:dyDescent="0.25">
      <c r="A23" s="5">
        <v>21</v>
      </c>
      <c r="B23" s="5" t="s">
        <v>624</v>
      </c>
      <c r="C23" s="5">
        <v>115</v>
      </c>
      <c r="D23">
        <f>MEDIAN('Día 1'!AD17,'Día 2'!AD17,'Día 3'!AD17,'Día 4'!AD17,'Día 5'!AD17,'Día 6'!AD17,'Día 7'!AD17)+MEDIAN('Día 1'!AD71,'Día 2'!AD71,'Día 3'!AD71,'Día 4'!AD71,'Día 5'!AD71,'Día 6'!AD71,'Día 7'!AD71)+MEDIAN('Día 1'!AD74,'Día 2'!AD74,'Día 3'!AD74,'Día 4'!AD74,'Día 5'!AD74,'Día 6'!AD74,'Día 7'!AD74)+MEDIAN('Día 1'!AD77,'Día 2'!AD77,'Día 3'!AD77,'Día 4'!AD77,'Día 5'!AD77,'Día 6'!AD77,'Día 7'!AD77)</f>
        <v>37.171568167500006</v>
      </c>
      <c r="E23">
        <f>MEDIAN('Día 1'!AD18,'Día 2'!AD18,'Día 3'!AD18,'Día 4'!AD18,'Día 5'!AD18,'Día 6'!AD18,'Día 7'!AD18)+MEDIAN('Día 1'!AD72,'Día 2'!AD72,'Día 3'!AD72,'Día 4'!AD72,'Día 5'!AD72,'Día 6'!AD72,'Día 7'!AD72)+MEDIAN('Día 1'!AD75,'Día 2'!AD75,'Día 3'!AD75,'Día 4'!AD75,'Día 5'!AD75,'Día 6'!AD75,'Día 7'!AD75)+MEDIAN('Día 1'!AD78,'Día 2'!AD78,'Día 3'!AD78,'Día 4'!AD78,'Día 5'!AD78,'Día 6'!AD78,'Día 7'!AD78)</f>
        <v>9.2916111378500013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</row>
    <row r="24" spans="1:10" x14ac:dyDescent="0.25">
      <c r="A24" s="5">
        <v>22</v>
      </c>
      <c r="B24" s="5" t="s">
        <v>625</v>
      </c>
      <c r="C24" s="5">
        <v>115</v>
      </c>
      <c r="D24">
        <f>MEDIAN('Día 1'!AD2,'Día 2'!AD2,'Día 3'!AD2,'Día 4'!AD2,'Día 5'!AD2,'Día 6'!AD2,'Día 7'!AD2)</f>
        <v>30.674319385</v>
      </c>
      <c r="E24">
        <f>MEDIAN('Día 1'!AD3,'Día 2'!AD3,'Día 3'!AD3,'Día 4'!AD3,'Día 5'!AD3,'Día 6'!AD3,'Día 7'!AD3)</f>
        <v>13.1068719455875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</row>
    <row r="25" spans="1:10" x14ac:dyDescent="0.25">
      <c r="A25" s="5">
        <v>23</v>
      </c>
      <c r="B25" s="5" t="s">
        <v>626</v>
      </c>
      <c r="C25" s="5">
        <v>115</v>
      </c>
      <c r="D25">
        <f>MEDIAN('Día 1'!AD50,'Día 2'!AD50,'Día 3'!AD50,'Día 4'!AD50,'Día 5'!AD50,'Día 6'!AD50,'Día 7'!AD50)</f>
        <v>2.2347655375</v>
      </c>
      <c r="E25">
        <f>MEDIAN('Día 1'!AD51,'Día 2'!AD51,'Día 3'!AD51,'Día 4'!AD51,'Día 5'!AD51,'Día 6'!AD51,'Día 7'!AD51)</f>
        <v>0.86518713520000001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</row>
    <row r="26" spans="1:10" x14ac:dyDescent="0.25">
      <c r="A26" s="5">
        <v>24</v>
      </c>
      <c r="B26" s="5" t="s">
        <v>627</v>
      </c>
      <c r="C26" s="5">
        <v>115</v>
      </c>
      <c r="D26">
        <f>MEDIAN('Día 1'!AD41,'Día 2'!AD41,'Día 3'!AD41,'Día 4'!AD41,'Día 5'!AD41,'Día 6'!AD41,'Día 7'!AD41)</f>
        <v>34.225778747500001</v>
      </c>
      <c r="E26">
        <f>MEDIAN('Día 1'!AD42,'Día 2'!AD42,'Día 3'!AD42,'Día 4'!AD42,'Día 5'!AD42,'Día 6'!AD42,'Día 7'!AD42)</f>
        <v>10.37634970235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</row>
    <row r="27" spans="1:10" x14ac:dyDescent="0.25">
      <c r="A27" s="5">
        <v>25</v>
      </c>
      <c r="B27" s="5" t="s">
        <v>628</v>
      </c>
      <c r="C27" s="5">
        <v>230</v>
      </c>
      <c r="D27">
        <f>MEDIAN('Día 1'!AD83,'Día 2'!AD83,'Día 3'!AD83,'Día 4'!AD83,'Día 5'!AD83,'Día 6'!AD83,'Día 7'!AD83)</f>
        <v>2.2040499999999996</v>
      </c>
      <c r="E27">
        <f>MEDIAN('Día 1'!AD84,'Día 2'!AD84,'Día 3'!AD84,'Día 4'!AD84,'Día 5'!AD84,'Día 6'!AD84,'Día 7'!AD84)</f>
        <v>0.45807622754999999</v>
      </c>
      <c r="F27" s="1">
        <f>125+95+95</f>
        <v>315</v>
      </c>
      <c r="G27" s="9">
        <f>125*(1-0.936)+95*0.1+95*0.1</f>
        <v>26.999999999999993</v>
      </c>
      <c r="H27" s="1" t="s">
        <v>634</v>
      </c>
      <c r="I27" s="1">
        <f>-(33+46+46)</f>
        <v>-125</v>
      </c>
      <c r="J27" s="1">
        <f>38+40+44</f>
        <v>122</v>
      </c>
    </row>
  </sheetData>
  <mergeCells count="1">
    <mergeCell ref="A1:C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27008-A913-45F0-BE96-C54985BCB2FE}">
  <dimension ref="B2:K27"/>
  <sheetViews>
    <sheetView topLeftCell="C1" workbookViewId="0">
      <selection activeCell="I2" sqref="I2:K2"/>
    </sheetView>
  </sheetViews>
  <sheetFormatPr baseColWidth="10" defaultRowHeight="15" x14ac:dyDescent="0.25"/>
  <cols>
    <col min="3" max="3" width="19.85546875" customWidth="1"/>
    <col min="6" max="6" width="15.140625" customWidth="1"/>
    <col min="7" max="7" width="16.85546875" customWidth="1"/>
    <col min="8" max="8" width="19.5703125" customWidth="1"/>
  </cols>
  <sheetData>
    <row r="2" spans="2:11" ht="45" x14ac:dyDescent="0.25">
      <c r="B2" s="2" t="s">
        <v>601</v>
      </c>
      <c r="C2" s="2" t="s">
        <v>602</v>
      </c>
      <c r="D2" s="2" t="s">
        <v>603</v>
      </c>
      <c r="E2" s="2" t="s">
        <v>629</v>
      </c>
      <c r="F2" s="2" t="s">
        <v>630</v>
      </c>
      <c r="G2" s="2" t="s">
        <v>631</v>
      </c>
      <c r="H2" s="2" t="s">
        <v>632</v>
      </c>
      <c r="I2" s="2" t="s">
        <v>633</v>
      </c>
      <c r="J2" s="1" t="s">
        <v>635</v>
      </c>
      <c r="K2" s="1" t="s">
        <v>636</v>
      </c>
    </row>
    <row r="3" spans="2:11" x14ac:dyDescent="0.25">
      <c r="B3" s="1">
        <v>1</v>
      </c>
      <c r="C3" s="1" t="s">
        <v>604</v>
      </c>
      <c r="D3" s="1">
        <v>230</v>
      </c>
      <c r="E3" s="1">
        <v>0</v>
      </c>
      <c r="F3" s="1">
        <v>0</v>
      </c>
      <c r="G3" s="1">
        <v>135</v>
      </c>
      <c r="H3" s="1">
        <v>20.25</v>
      </c>
      <c r="I3" s="1">
        <v>0.85</v>
      </c>
      <c r="J3">
        <v>0</v>
      </c>
      <c r="K3">
        <v>0</v>
      </c>
    </row>
    <row r="4" spans="2:11" x14ac:dyDescent="0.25">
      <c r="B4" s="1">
        <v>2</v>
      </c>
      <c r="C4" s="1" t="s">
        <v>605</v>
      </c>
      <c r="D4" s="1">
        <v>230</v>
      </c>
      <c r="E4" s="1">
        <v>0</v>
      </c>
      <c r="F4" s="1">
        <v>0</v>
      </c>
      <c r="G4" s="1">
        <v>0</v>
      </c>
      <c r="H4" s="1">
        <v>132</v>
      </c>
      <c r="I4" s="1">
        <v>1</v>
      </c>
      <c r="J4">
        <v>0</v>
      </c>
      <c r="K4">
        <v>0</v>
      </c>
    </row>
    <row r="5" spans="2:11" x14ac:dyDescent="0.25">
      <c r="B5" s="1">
        <v>3</v>
      </c>
      <c r="C5" s="1" t="s">
        <v>606</v>
      </c>
      <c r="D5" s="1">
        <v>230</v>
      </c>
      <c r="E5" s="1">
        <v>0</v>
      </c>
      <c r="F5" s="1">
        <v>0</v>
      </c>
      <c r="G5" s="1">
        <v>375</v>
      </c>
      <c r="H5" s="1">
        <v>37.5</v>
      </c>
      <c r="I5" s="1">
        <v>0.9</v>
      </c>
      <c r="J5">
        <v>-110</v>
      </c>
      <c r="K5">
        <v>124</v>
      </c>
    </row>
    <row r="6" spans="2:11" x14ac:dyDescent="0.25">
      <c r="B6" s="1">
        <v>4</v>
      </c>
      <c r="C6" s="1" t="s">
        <v>607</v>
      </c>
      <c r="D6" s="1">
        <v>115</v>
      </c>
      <c r="E6" s="1">
        <v>32.477917917500001</v>
      </c>
      <c r="F6" s="1">
        <v>6.6385480986000003</v>
      </c>
      <c r="G6" s="1">
        <v>0</v>
      </c>
      <c r="H6" s="1">
        <v>0</v>
      </c>
      <c r="I6" s="1">
        <v>0</v>
      </c>
      <c r="J6">
        <v>0</v>
      </c>
      <c r="K6">
        <v>0</v>
      </c>
    </row>
    <row r="7" spans="2:11" x14ac:dyDescent="0.25">
      <c r="B7" s="1">
        <v>5</v>
      </c>
      <c r="C7" s="1" t="s">
        <v>608</v>
      </c>
      <c r="D7" s="1">
        <v>115</v>
      </c>
      <c r="E7" s="1">
        <v>3.6104194925000002</v>
      </c>
      <c r="F7" s="1">
        <v>0.83930603395000003</v>
      </c>
      <c r="G7" s="1">
        <v>0</v>
      </c>
      <c r="H7" s="1">
        <v>0</v>
      </c>
      <c r="I7" s="1">
        <v>0</v>
      </c>
      <c r="J7">
        <v>0</v>
      </c>
      <c r="K7">
        <v>0</v>
      </c>
    </row>
    <row r="8" spans="2:11" x14ac:dyDescent="0.25">
      <c r="B8" s="1">
        <v>6</v>
      </c>
      <c r="C8" s="1" t="s">
        <v>609</v>
      </c>
      <c r="D8" s="1">
        <v>115</v>
      </c>
      <c r="E8" s="1">
        <v>57.220508694999999</v>
      </c>
      <c r="F8" s="1">
        <v>17.812623132349998</v>
      </c>
      <c r="G8" s="1">
        <v>0</v>
      </c>
      <c r="H8" s="1">
        <v>0</v>
      </c>
      <c r="I8" s="1">
        <v>0</v>
      </c>
      <c r="J8">
        <v>0</v>
      </c>
      <c r="K8">
        <v>0</v>
      </c>
    </row>
    <row r="9" spans="2:11" x14ac:dyDescent="0.25">
      <c r="B9" s="1">
        <v>7</v>
      </c>
      <c r="C9" s="1" t="s">
        <v>610</v>
      </c>
      <c r="D9" s="1">
        <v>115</v>
      </c>
      <c r="E9" s="1">
        <v>5.8664063625000002</v>
      </c>
      <c r="F9" s="1">
        <v>1.59112302925</v>
      </c>
      <c r="G9" s="1">
        <v>0</v>
      </c>
      <c r="H9" s="1">
        <v>0</v>
      </c>
      <c r="I9" s="1">
        <v>0</v>
      </c>
      <c r="J9">
        <v>0</v>
      </c>
      <c r="K9">
        <v>0</v>
      </c>
    </row>
    <row r="10" spans="2:11" x14ac:dyDescent="0.25">
      <c r="B10" s="1">
        <v>8</v>
      </c>
      <c r="C10" s="1" t="s">
        <v>611</v>
      </c>
      <c r="D10" s="1">
        <v>115</v>
      </c>
      <c r="E10" s="1">
        <v>2.1756571650000001</v>
      </c>
      <c r="F10" s="1">
        <v>0.19507108905000001</v>
      </c>
      <c r="G10" s="1">
        <v>74</v>
      </c>
      <c r="H10" s="1">
        <v>14.8</v>
      </c>
      <c r="I10" s="1">
        <v>0.8</v>
      </c>
      <c r="J10">
        <v>-25.2</v>
      </c>
      <c r="K10">
        <v>29.200000000000003</v>
      </c>
    </row>
    <row r="11" spans="2:11" x14ac:dyDescent="0.25">
      <c r="B11" s="1">
        <v>9</v>
      </c>
      <c r="C11" s="1" t="s">
        <v>612</v>
      </c>
      <c r="D11" s="1">
        <v>115</v>
      </c>
      <c r="E11" s="1">
        <v>32.445111999999995</v>
      </c>
      <c r="F11" s="1">
        <v>7.1181658372500003</v>
      </c>
      <c r="G11" s="1">
        <v>0</v>
      </c>
      <c r="H11" s="1">
        <v>0</v>
      </c>
      <c r="I11" s="1">
        <v>0</v>
      </c>
      <c r="J11">
        <v>0</v>
      </c>
      <c r="K11">
        <v>0</v>
      </c>
    </row>
    <row r="12" spans="2:11" x14ac:dyDescent="0.25">
      <c r="B12" s="1">
        <v>10</v>
      </c>
      <c r="C12" s="1" t="s">
        <v>613</v>
      </c>
      <c r="D12" s="1">
        <v>115</v>
      </c>
      <c r="E12" s="1">
        <v>25.042163752499999</v>
      </c>
      <c r="F12" s="1">
        <v>8.2633369171000002</v>
      </c>
      <c r="G12" s="1">
        <v>0</v>
      </c>
      <c r="H12" s="1">
        <v>0</v>
      </c>
      <c r="I12" s="1">
        <v>0</v>
      </c>
      <c r="J12">
        <v>0</v>
      </c>
      <c r="K12">
        <v>0</v>
      </c>
    </row>
    <row r="13" spans="2:11" x14ac:dyDescent="0.25">
      <c r="B13" s="1">
        <v>11</v>
      </c>
      <c r="C13" s="1" t="s">
        <v>614</v>
      </c>
      <c r="D13" s="1">
        <v>115</v>
      </c>
      <c r="E13" s="1">
        <v>0.55472983750000004</v>
      </c>
      <c r="F13" s="1">
        <v>0.14625990259999999</v>
      </c>
      <c r="G13" s="1">
        <v>0</v>
      </c>
      <c r="H13" s="1">
        <v>0</v>
      </c>
      <c r="I13" s="1">
        <v>0</v>
      </c>
      <c r="J13">
        <v>0</v>
      </c>
      <c r="K13">
        <v>0</v>
      </c>
    </row>
    <row r="14" spans="2:11" x14ac:dyDescent="0.25">
      <c r="B14" s="1">
        <v>12</v>
      </c>
      <c r="C14" s="1" t="s">
        <v>615</v>
      </c>
      <c r="D14" s="1">
        <v>115</v>
      </c>
      <c r="E14" s="1">
        <v>1.8197643525</v>
      </c>
      <c r="F14" s="1">
        <v>0.1848086803</v>
      </c>
      <c r="G14" s="1">
        <v>0</v>
      </c>
      <c r="H14" s="1">
        <v>0</v>
      </c>
      <c r="I14" s="1">
        <v>0</v>
      </c>
      <c r="J14">
        <v>0</v>
      </c>
      <c r="K14">
        <v>0</v>
      </c>
    </row>
    <row r="15" spans="2:11" x14ac:dyDescent="0.25">
      <c r="B15" s="1">
        <v>13</v>
      </c>
      <c r="C15" s="1" t="s">
        <v>616</v>
      </c>
      <c r="D15" s="1">
        <v>115</v>
      </c>
      <c r="E15" s="1">
        <v>39.500989587500001</v>
      </c>
      <c r="F15" s="1">
        <v>11.876327420399999</v>
      </c>
      <c r="G15" s="1">
        <v>0</v>
      </c>
      <c r="H15" s="1">
        <v>0</v>
      </c>
      <c r="I15" s="1">
        <v>0</v>
      </c>
      <c r="J15">
        <v>0</v>
      </c>
      <c r="K15">
        <v>0</v>
      </c>
    </row>
    <row r="16" spans="2:11" x14ac:dyDescent="0.25">
      <c r="B16" s="1">
        <v>14</v>
      </c>
      <c r="C16" s="1" t="s">
        <v>617</v>
      </c>
      <c r="D16" s="1">
        <v>230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>
        <v>0</v>
      </c>
      <c r="K16">
        <v>0</v>
      </c>
    </row>
    <row r="17" spans="2:11" x14ac:dyDescent="0.25">
      <c r="B17" s="1">
        <v>15</v>
      </c>
      <c r="C17" s="1" t="s">
        <v>618</v>
      </c>
      <c r="D17" s="1">
        <v>115</v>
      </c>
      <c r="E17" s="1">
        <v>21.374461584999999</v>
      </c>
      <c r="F17" s="1">
        <v>5.4257500947999997</v>
      </c>
      <c r="G17" s="1">
        <v>0</v>
      </c>
      <c r="H17" s="1">
        <v>0</v>
      </c>
      <c r="I17" s="1">
        <v>0</v>
      </c>
      <c r="J17">
        <v>0</v>
      </c>
      <c r="K17">
        <v>0</v>
      </c>
    </row>
    <row r="18" spans="2:11" x14ac:dyDescent="0.25">
      <c r="B18" s="1">
        <v>16</v>
      </c>
      <c r="C18" s="1" t="s">
        <v>619</v>
      </c>
      <c r="D18" s="1">
        <v>115</v>
      </c>
      <c r="E18" s="1">
        <v>10.889800165</v>
      </c>
      <c r="F18" s="1">
        <v>1.7918643742</v>
      </c>
      <c r="G18" s="1">
        <v>0</v>
      </c>
      <c r="H18" s="1">
        <v>0</v>
      </c>
      <c r="I18" s="1">
        <v>0</v>
      </c>
      <c r="J18">
        <v>0</v>
      </c>
      <c r="K18">
        <v>0</v>
      </c>
    </row>
    <row r="19" spans="2:11" x14ac:dyDescent="0.25">
      <c r="B19" s="1">
        <v>17</v>
      </c>
      <c r="C19" s="1" t="s">
        <v>620</v>
      </c>
      <c r="D19" s="1">
        <v>115</v>
      </c>
      <c r="E19" s="1">
        <v>17.566091324999999</v>
      </c>
      <c r="F19" s="1">
        <v>3.9444455678500003</v>
      </c>
      <c r="G19" s="1">
        <v>0</v>
      </c>
      <c r="H19" s="1">
        <v>0</v>
      </c>
      <c r="I19" s="1">
        <v>0</v>
      </c>
      <c r="J19">
        <v>0</v>
      </c>
      <c r="K19">
        <v>0</v>
      </c>
    </row>
    <row r="20" spans="2:11" x14ac:dyDescent="0.25">
      <c r="B20" s="1">
        <v>18</v>
      </c>
      <c r="C20" s="1" t="s">
        <v>621</v>
      </c>
      <c r="D20" s="1">
        <v>115</v>
      </c>
      <c r="E20" s="1">
        <v>12.54810412</v>
      </c>
      <c r="F20" s="1">
        <v>4.6559769294999995</v>
      </c>
      <c r="G20" s="1">
        <v>0</v>
      </c>
      <c r="H20" s="1">
        <v>0</v>
      </c>
      <c r="I20" s="1">
        <v>0</v>
      </c>
      <c r="J20">
        <v>0</v>
      </c>
      <c r="K20">
        <v>0</v>
      </c>
    </row>
    <row r="21" spans="2:11" x14ac:dyDescent="0.25">
      <c r="B21" s="1">
        <v>19</v>
      </c>
      <c r="C21" s="1" t="s">
        <v>622</v>
      </c>
      <c r="D21" s="1">
        <v>230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>
        <v>0</v>
      </c>
      <c r="K21">
        <v>0</v>
      </c>
    </row>
    <row r="22" spans="2:11" x14ac:dyDescent="0.25">
      <c r="B22" s="1">
        <v>20</v>
      </c>
      <c r="C22" s="1" t="s">
        <v>623</v>
      </c>
      <c r="D22" s="1">
        <v>115</v>
      </c>
      <c r="E22" s="1">
        <v>16.4836007</v>
      </c>
      <c r="F22" s="1">
        <v>4.8509885300000004</v>
      </c>
      <c r="G22" s="1">
        <v>0</v>
      </c>
      <c r="H22" s="1">
        <v>0</v>
      </c>
      <c r="I22" s="1">
        <v>0</v>
      </c>
      <c r="J22">
        <v>0</v>
      </c>
      <c r="K22">
        <v>0</v>
      </c>
    </row>
    <row r="23" spans="2:11" x14ac:dyDescent="0.25">
      <c r="B23" s="1">
        <v>21</v>
      </c>
      <c r="C23" s="1" t="s">
        <v>624</v>
      </c>
      <c r="D23" s="1">
        <v>115</v>
      </c>
      <c r="E23" s="1">
        <v>37.171568167500006</v>
      </c>
      <c r="F23" s="1">
        <v>9.2916111378500013</v>
      </c>
      <c r="G23" s="1">
        <v>0</v>
      </c>
      <c r="H23" s="1">
        <v>0</v>
      </c>
      <c r="I23" s="1">
        <v>0</v>
      </c>
      <c r="J23">
        <v>0</v>
      </c>
      <c r="K23">
        <v>0</v>
      </c>
    </row>
    <row r="24" spans="2:11" x14ac:dyDescent="0.25">
      <c r="B24" s="1">
        <v>22</v>
      </c>
      <c r="C24" s="1" t="s">
        <v>625</v>
      </c>
      <c r="D24" s="1">
        <v>115</v>
      </c>
      <c r="E24" s="1">
        <v>30.674319385</v>
      </c>
      <c r="F24" s="1">
        <v>13.1068719455875</v>
      </c>
      <c r="G24" s="1">
        <v>0</v>
      </c>
      <c r="H24" s="1">
        <v>0</v>
      </c>
      <c r="I24" s="1">
        <v>0</v>
      </c>
      <c r="J24">
        <v>0</v>
      </c>
      <c r="K24">
        <v>0</v>
      </c>
    </row>
    <row r="25" spans="2:11" x14ac:dyDescent="0.25">
      <c r="B25" s="1">
        <v>23</v>
      </c>
      <c r="C25" s="1" t="s">
        <v>626</v>
      </c>
      <c r="D25" s="1">
        <v>115</v>
      </c>
      <c r="E25" s="1">
        <v>2.2347655375</v>
      </c>
      <c r="F25" s="1">
        <v>0.86518713520000001</v>
      </c>
      <c r="G25" s="1">
        <v>0</v>
      </c>
      <c r="H25" s="1">
        <v>0</v>
      </c>
      <c r="I25" s="1">
        <v>0</v>
      </c>
      <c r="J25">
        <v>0</v>
      </c>
      <c r="K25">
        <v>0</v>
      </c>
    </row>
    <row r="26" spans="2:11" x14ac:dyDescent="0.25">
      <c r="B26" s="1">
        <v>24</v>
      </c>
      <c r="C26" s="1" t="s">
        <v>627</v>
      </c>
      <c r="D26" s="1">
        <v>115</v>
      </c>
      <c r="E26" s="1">
        <v>34.225778747500001</v>
      </c>
      <c r="F26" s="1">
        <v>10.37634970235</v>
      </c>
      <c r="G26" s="1">
        <v>0</v>
      </c>
      <c r="H26" s="1">
        <v>0</v>
      </c>
      <c r="I26" s="1">
        <v>0</v>
      </c>
      <c r="J26">
        <v>0</v>
      </c>
      <c r="K26">
        <v>0</v>
      </c>
    </row>
    <row r="27" spans="2:11" x14ac:dyDescent="0.25">
      <c r="B27" s="1">
        <v>25</v>
      </c>
      <c r="C27" s="1" t="s">
        <v>628</v>
      </c>
      <c r="D27" s="1">
        <v>230</v>
      </c>
      <c r="E27" s="1">
        <v>2.2040499999999996</v>
      </c>
      <c r="F27" s="1">
        <v>0.45807622754999999</v>
      </c>
      <c r="G27" s="1">
        <v>315</v>
      </c>
      <c r="H27" s="1">
        <v>26.999999999999993</v>
      </c>
      <c r="I27" s="1" t="s">
        <v>634</v>
      </c>
      <c r="J27">
        <v>-125</v>
      </c>
      <c r="K27">
        <v>122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EC176-CC26-4A69-B613-0F45462772E9}">
  <dimension ref="A1:AD94"/>
  <sheetViews>
    <sheetView topLeftCell="A84" workbookViewId="0">
      <selection activeCell="B80" sqref="B80"/>
    </sheetView>
  </sheetViews>
  <sheetFormatPr baseColWidth="10" defaultRowHeight="15" x14ac:dyDescent="0.25"/>
  <sheetData>
    <row r="1" spans="1:30" ht="30" x14ac:dyDescent="0.25">
      <c r="A1" s="1" t="s">
        <v>569</v>
      </c>
      <c r="B1" s="1" t="s">
        <v>570</v>
      </c>
      <c r="C1" s="2" t="s">
        <v>571</v>
      </c>
      <c r="D1" s="1" t="s">
        <v>572</v>
      </c>
      <c r="E1" s="1" t="s">
        <v>573</v>
      </c>
      <c r="F1" s="1" t="s">
        <v>574</v>
      </c>
      <c r="G1" s="1" t="s">
        <v>575</v>
      </c>
      <c r="H1" s="1" t="s">
        <v>576</v>
      </c>
      <c r="I1" s="1" t="s">
        <v>577</v>
      </c>
      <c r="J1" s="1" t="s">
        <v>578</v>
      </c>
      <c r="K1" s="1" t="s">
        <v>579</v>
      </c>
      <c r="L1" s="1" t="s">
        <v>580</v>
      </c>
      <c r="M1" s="1" t="s">
        <v>581</v>
      </c>
      <c r="N1" s="1" t="s">
        <v>582</v>
      </c>
      <c r="O1" s="1" t="s">
        <v>583</v>
      </c>
      <c r="P1" s="1" t="s">
        <v>584</v>
      </c>
      <c r="Q1" s="1" t="s">
        <v>585</v>
      </c>
      <c r="R1" s="1" t="s">
        <v>586</v>
      </c>
      <c r="S1" s="1" t="s">
        <v>587</v>
      </c>
      <c r="T1" s="1" t="s">
        <v>588</v>
      </c>
      <c r="U1" s="1" t="s">
        <v>589</v>
      </c>
      <c r="V1" s="1" t="s">
        <v>590</v>
      </c>
      <c r="W1" s="1" t="s">
        <v>591</v>
      </c>
      <c r="X1" s="1" t="s">
        <v>592</v>
      </c>
      <c r="Y1" s="1" t="s">
        <v>593</v>
      </c>
      <c r="Z1" s="1" t="s">
        <v>594</v>
      </c>
      <c r="AA1" s="1" t="s">
        <v>595</v>
      </c>
      <c r="AB1" s="1" t="s">
        <v>596</v>
      </c>
      <c r="AC1" s="1" t="s">
        <v>597</v>
      </c>
      <c r="AD1" s="1" t="s">
        <v>599</v>
      </c>
    </row>
    <row r="2" spans="1:30" x14ac:dyDescent="0.25">
      <c r="A2" t="s">
        <v>112</v>
      </c>
      <c r="B2" t="s">
        <v>113</v>
      </c>
      <c r="C2">
        <v>115</v>
      </c>
      <c r="D2" t="s">
        <v>2</v>
      </c>
      <c r="E2">
        <v>26.952739194999999</v>
      </c>
      <c r="F2">
        <v>25.318173065</v>
      </c>
      <c r="G2">
        <v>23.912148604999999</v>
      </c>
      <c r="H2">
        <v>22.949889299999999</v>
      </c>
      <c r="I2">
        <v>24.09969753</v>
      </c>
      <c r="J2">
        <v>25.271332375</v>
      </c>
      <c r="K2">
        <v>25.238600824999999</v>
      </c>
      <c r="L2">
        <v>25.297888960000002</v>
      </c>
      <c r="M2">
        <v>26.39161129</v>
      </c>
      <c r="N2">
        <v>28.149807724999999</v>
      </c>
      <c r="O2">
        <v>29.447815115000001</v>
      </c>
      <c r="P2">
        <v>31.796814550000001</v>
      </c>
      <c r="Q2">
        <v>32.889336165000003</v>
      </c>
      <c r="R2">
        <v>33.298835140000001</v>
      </c>
      <c r="S2">
        <v>33.046085124999998</v>
      </c>
      <c r="T2">
        <v>33.699446459999997</v>
      </c>
      <c r="U2">
        <v>33.40894041</v>
      </c>
      <c r="V2">
        <v>33.860063515</v>
      </c>
      <c r="W2">
        <v>38.641353000000002</v>
      </c>
      <c r="X2">
        <v>39.863718300000002</v>
      </c>
      <c r="Y2">
        <v>40.303540499999997</v>
      </c>
      <c r="Z2">
        <v>37.526940744999997</v>
      </c>
      <c r="AA2">
        <v>33.727843024999999</v>
      </c>
      <c r="AB2">
        <v>30.031643330000001</v>
      </c>
      <c r="AC2">
        <v>30.630177677083335</v>
      </c>
      <c r="AD2">
        <f>MEDIAN(E2:AB2)</f>
        <v>30.914228940000001</v>
      </c>
    </row>
    <row r="3" spans="1:30" x14ac:dyDescent="0.25">
      <c r="A3" t="s">
        <v>112</v>
      </c>
      <c r="B3" t="s">
        <v>113</v>
      </c>
      <c r="C3">
        <v>115</v>
      </c>
      <c r="D3" t="s">
        <v>3</v>
      </c>
      <c r="E3">
        <v>12.8853910191</v>
      </c>
      <c r="F3">
        <v>11.6383171908</v>
      </c>
      <c r="G3">
        <v>10.985056586800001</v>
      </c>
      <c r="H3">
        <v>10.5363432123</v>
      </c>
      <c r="I3">
        <v>11.057228025100001</v>
      </c>
      <c r="J3">
        <v>11.6241133769</v>
      </c>
      <c r="K3">
        <v>11.2848886657</v>
      </c>
      <c r="L3">
        <v>11.570227278000001</v>
      </c>
      <c r="M3">
        <v>12.192916799200001</v>
      </c>
      <c r="N3">
        <v>12.890941655100001</v>
      </c>
      <c r="O3">
        <v>13.3309177112</v>
      </c>
      <c r="P3">
        <v>14.010854782099999</v>
      </c>
      <c r="Q3">
        <v>14.414230590900001</v>
      </c>
      <c r="R3">
        <v>14.564017129</v>
      </c>
      <c r="S3">
        <v>14.6492739325</v>
      </c>
      <c r="T3">
        <v>14.8492249072</v>
      </c>
      <c r="U3">
        <v>14.641954719099999</v>
      </c>
      <c r="V3">
        <v>14.3323008358</v>
      </c>
      <c r="W3">
        <v>14.7065571071</v>
      </c>
      <c r="X3">
        <v>14.4023815325</v>
      </c>
      <c r="Y3">
        <v>14.588087851099999</v>
      </c>
      <c r="Z3">
        <v>13.719812253300001</v>
      </c>
      <c r="AA3">
        <v>13.041764283299999</v>
      </c>
      <c r="AB3">
        <v>12.64812525</v>
      </c>
      <c r="AC3">
        <v>13.1068719455875</v>
      </c>
      <c r="AD3">
        <f>MEDIAN(E3:AC3)</f>
        <v>13.1068719455875</v>
      </c>
    </row>
    <row r="4" spans="1:30" x14ac:dyDescent="0.25">
      <c r="A4" t="s">
        <v>112</v>
      </c>
      <c r="B4" t="s">
        <v>113</v>
      </c>
      <c r="C4">
        <v>115</v>
      </c>
      <c r="D4" t="s">
        <v>4</v>
      </c>
      <c r="E4">
        <v>0.410447805</v>
      </c>
      <c r="F4">
        <v>0.38555593500000002</v>
      </c>
      <c r="G4">
        <v>0.36414439500000001</v>
      </c>
      <c r="H4">
        <v>0.34949069999999999</v>
      </c>
      <c r="I4">
        <v>0.36700047000000002</v>
      </c>
      <c r="J4">
        <v>0.38484262499999999</v>
      </c>
      <c r="K4">
        <v>0.38434417500000001</v>
      </c>
      <c r="L4">
        <v>0.38524703999999999</v>
      </c>
      <c r="M4">
        <v>0.40190271</v>
      </c>
      <c r="N4">
        <v>0.42867727500000002</v>
      </c>
      <c r="O4">
        <v>0.44844388499999999</v>
      </c>
      <c r="P4">
        <v>0.48421544999999999</v>
      </c>
      <c r="Q4">
        <v>0.500852835</v>
      </c>
      <c r="R4">
        <v>0.50708885999999997</v>
      </c>
      <c r="S4">
        <v>0.503239875</v>
      </c>
      <c r="T4">
        <v>0.51318954000000006</v>
      </c>
      <c r="U4">
        <v>0.50876558999999999</v>
      </c>
      <c r="V4">
        <v>0.515635485</v>
      </c>
      <c r="W4">
        <v>0.58844700000000005</v>
      </c>
      <c r="X4">
        <v>0.60706170000000004</v>
      </c>
      <c r="Y4">
        <v>0.61375950000000001</v>
      </c>
      <c r="Z4">
        <v>0.57147625499999999</v>
      </c>
      <c r="AA4">
        <v>0.51362197499999995</v>
      </c>
      <c r="AB4">
        <v>0.45733467</v>
      </c>
      <c r="AC4">
        <v>0.46644940624999998</v>
      </c>
      <c r="AD4">
        <f t="shared" ref="AD4:AD66" si="0">MEDIAN(E4:AB4)</f>
        <v>0.47077506000000002</v>
      </c>
    </row>
    <row r="5" spans="1:30" x14ac:dyDescent="0.25">
      <c r="A5" t="s">
        <v>112</v>
      </c>
      <c r="B5" t="s">
        <v>114</v>
      </c>
      <c r="C5">
        <v>115</v>
      </c>
      <c r="D5" t="s">
        <v>2</v>
      </c>
      <c r="E5">
        <v>16.586915380000001</v>
      </c>
      <c r="F5">
        <v>15.8079695</v>
      </c>
      <c r="G5">
        <v>14.8270868</v>
      </c>
      <c r="H5">
        <v>14.192838405</v>
      </c>
      <c r="I5">
        <v>14.759018375</v>
      </c>
      <c r="J5">
        <v>15.52674412</v>
      </c>
      <c r="K5">
        <v>16.359807870000001</v>
      </c>
      <c r="L5">
        <v>18.251590005000001</v>
      </c>
      <c r="M5">
        <v>19.96622777</v>
      </c>
      <c r="N5">
        <v>21.783502535</v>
      </c>
      <c r="O5">
        <v>23.108275330000001</v>
      </c>
      <c r="P5">
        <v>24.786111524999999</v>
      </c>
      <c r="Q5">
        <v>24.536777489999999</v>
      </c>
      <c r="R5">
        <v>24.000314970000002</v>
      </c>
      <c r="S5">
        <v>24.80485509</v>
      </c>
      <c r="T5">
        <v>25.295276739999998</v>
      </c>
      <c r="U5">
        <v>24.511019739999998</v>
      </c>
      <c r="V5">
        <v>23.052673065</v>
      </c>
      <c r="W5">
        <v>24.309248400000001</v>
      </c>
      <c r="X5">
        <v>24.097828</v>
      </c>
      <c r="Y5">
        <v>23.958401250000001</v>
      </c>
      <c r="Z5">
        <v>21.749033444999998</v>
      </c>
      <c r="AA5">
        <v>19.670283534999999</v>
      </c>
      <c r="AB5">
        <v>17.968615265</v>
      </c>
      <c r="AC5">
        <v>20.579600608541664</v>
      </c>
      <c r="AD5">
        <f t="shared" si="0"/>
        <v>21.766267989999999</v>
      </c>
    </row>
    <row r="6" spans="1:30" x14ac:dyDescent="0.25">
      <c r="A6" t="s">
        <v>112</v>
      </c>
      <c r="B6" t="s">
        <v>114</v>
      </c>
      <c r="C6">
        <v>115</v>
      </c>
      <c r="D6" t="s">
        <v>3</v>
      </c>
      <c r="E6">
        <v>3.8964685525</v>
      </c>
      <c r="F6">
        <v>3.8428861883000001</v>
      </c>
      <c r="G6">
        <v>3.7030352739999999</v>
      </c>
      <c r="H6">
        <v>3.6369882465000001</v>
      </c>
      <c r="I6">
        <v>3.6011025498999998</v>
      </c>
      <c r="J6">
        <v>3.4793551062999999</v>
      </c>
      <c r="K6">
        <v>3.9549810314</v>
      </c>
      <c r="L6">
        <v>4.9075434323999998</v>
      </c>
      <c r="M6">
        <v>5.8312165811999996</v>
      </c>
      <c r="N6">
        <v>6.5124037162999997</v>
      </c>
      <c r="O6">
        <v>7.0653197871</v>
      </c>
      <c r="P6">
        <v>7.5875810391999998</v>
      </c>
      <c r="Q6">
        <v>7.3820722871999997</v>
      </c>
      <c r="R6">
        <v>7.4185143134000002</v>
      </c>
      <c r="S6">
        <v>7.5561784681999997</v>
      </c>
      <c r="T6">
        <v>7.7055731531999996</v>
      </c>
      <c r="U6">
        <v>7.4942067419000002</v>
      </c>
      <c r="V6">
        <v>6.5522775819000003</v>
      </c>
      <c r="W6">
        <v>6.0605202021000002</v>
      </c>
      <c r="X6">
        <v>5.5938241963999999</v>
      </c>
      <c r="Y6">
        <v>5.2643528168999998</v>
      </c>
      <c r="Z6">
        <v>4.5510843173</v>
      </c>
      <c r="AA6">
        <v>4.1956209882</v>
      </c>
      <c r="AB6">
        <v>4.0092568797999997</v>
      </c>
      <c r="AC6">
        <v>5.491765143816667</v>
      </c>
      <c r="AD6">
        <f t="shared" si="0"/>
        <v>5.4290885066500003</v>
      </c>
    </row>
    <row r="7" spans="1:30" x14ac:dyDescent="0.25">
      <c r="A7" t="s">
        <v>112</v>
      </c>
      <c r="B7" t="s">
        <v>114</v>
      </c>
      <c r="C7">
        <v>115</v>
      </c>
      <c r="D7" t="s">
        <v>4</v>
      </c>
      <c r="E7">
        <v>0.25259261999999999</v>
      </c>
      <c r="F7">
        <v>0.24073049999999999</v>
      </c>
      <c r="G7">
        <v>0.2257932</v>
      </c>
      <c r="H7">
        <v>0.21613459500000001</v>
      </c>
      <c r="I7">
        <v>0.22475662499999999</v>
      </c>
      <c r="J7">
        <v>0.23644788</v>
      </c>
      <c r="K7">
        <v>0.24913413000000001</v>
      </c>
      <c r="L7">
        <v>0.27794299500000003</v>
      </c>
      <c r="M7">
        <v>0.30405422999999998</v>
      </c>
      <c r="N7">
        <v>0.33172846499999997</v>
      </c>
      <c r="O7">
        <v>0.35190266999999997</v>
      </c>
      <c r="P7">
        <v>0.37745347499999998</v>
      </c>
      <c r="Q7">
        <v>0.37365651</v>
      </c>
      <c r="R7">
        <v>0.36548702999999999</v>
      </c>
      <c r="S7">
        <v>0.37773890999999998</v>
      </c>
      <c r="T7">
        <v>0.38520726</v>
      </c>
      <c r="U7">
        <v>0.37326426000000001</v>
      </c>
      <c r="V7">
        <v>0.35105593499999999</v>
      </c>
      <c r="W7">
        <v>0.37019160000000001</v>
      </c>
      <c r="X7">
        <v>0.36697200000000002</v>
      </c>
      <c r="Y7">
        <v>0.36484875</v>
      </c>
      <c r="Z7">
        <v>0.33120355499999998</v>
      </c>
      <c r="AA7">
        <v>0.29954746500000001</v>
      </c>
      <c r="AB7">
        <v>0.27363373499999999</v>
      </c>
      <c r="AC7">
        <v>0.31339493312499994</v>
      </c>
      <c r="AD7">
        <f t="shared" si="0"/>
        <v>0.33146600999999998</v>
      </c>
    </row>
    <row r="8" spans="1:30" x14ac:dyDescent="0.25">
      <c r="A8" t="s">
        <v>112</v>
      </c>
      <c r="B8" t="s">
        <v>116</v>
      </c>
      <c r="C8">
        <v>115</v>
      </c>
      <c r="D8" t="s">
        <v>2</v>
      </c>
      <c r="E8">
        <v>2.9588119499999999</v>
      </c>
      <c r="F8">
        <v>2.8195496950000001</v>
      </c>
      <c r="G8">
        <v>2.68035245</v>
      </c>
      <c r="H8">
        <v>2.5811787100000001</v>
      </c>
      <c r="I8">
        <v>2.657070005</v>
      </c>
      <c r="J8">
        <v>2.8241191099999998</v>
      </c>
      <c r="K8">
        <v>2.9154867250000001</v>
      </c>
      <c r="L8">
        <v>3.0638050699999999</v>
      </c>
      <c r="M8">
        <v>3.2816998750000002</v>
      </c>
      <c r="N8">
        <v>3.5118776299999999</v>
      </c>
      <c r="O8">
        <v>3.7080324999999998</v>
      </c>
      <c r="P8">
        <v>3.9723277000000001</v>
      </c>
      <c r="Q8">
        <v>4.0339404349999999</v>
      </c>
      <c r="R8">
        <v>4.0173510649999997</v>
      </c>
      <c r="S8">
        <v>4.0644251999999996</v>
      </c>
      <c r="T8">
        <v>4.1447834700000001</v>
      </c>
      <c r="U8">
        <v>3.975929845</v>
      </c>
      <c r="V8">
        <v>3.75707565</v>
      </c>
      <c r="W8">
        <v>4.0277437999999997</v>
      </c>
      <c r="X8">
        <v>4.0295660499999997</v>
      </c>
      <c r="Y8">
        <v>4.0292409999999999</v>
      </c>
      <c r="Z8">
        <v>3.8254129799999999</v>
      </c>
      <c r="AA8">
        <v>3.54832854</v>
      </c>
      <c r="AB8">
        <v>3.2133339799999998</v>
      </c>
      <c r="AC8">
        <v>3.4850601431250001</v>
      </c>
      <c r="AD8">
        <f t="shared" si="0"/>
        <v>3.6281805199999999</v>
      </c>
    </row>
    <row r="9" spans="1:30" x14ac:dyDescent="0.25">
      <c r="A9" t="s">
        <v>112</v>
      </c>
      <c r="B9" t="s">
        <v>116</v>
      </c>
      <c r="C9">
        <v>115</v>
      </c>
      <c r="D9" t="s">
        <v>3</v>
      </c>
      <c r="E9">
        <v>0.80287898310000005</v>
      </c>
      <c r="F9">
        <v>0.80696067930000004</v>
      </c>
      <c r="G9">
        <v>0.77760616159999996</v>
      </c>
      <c r="H9">
        <v>0.76674984189999995</v>
      </c>
      <c r="I9">
        <v>0.7635879914</v>
      </c>
      <c r="J9">
        <v>0.73214177589999996</v>
      </c>
      <c r="K9">
        <v>0.78151407299999998</v>
      </c>
      <c r="L9">
        <v>0.81745959020000003</v>
      </c>
      <c r="M9">
        <v>0.93405647250000001</v>
      </c>
      <c r="N9">
        <v>0.9954038905</v>
      </c>
      <c r="O9">
        <v>1.0554017395999999</v>
      </c>
      <c r="P9">
        <v>1.0908647749</v>
      </c>
      <c r="Q9">
        <v>1.1321471929</v>
      </c>
      <c r="R9">
        <v>1.1466111718000001</v>
      </c>
      <c r="S9">
        <v>1.1145046769</v>
      </c>
      <c r="T9">
        <v>1.1246945036</v>
      </c>
      <c r="U9">
        <v>1.1063104294999999</v>
      </c>
      <c r="V9">
        <v>1.0164050120999999</v>
      </c>
      <c r="W9">
        <v>0.94616610099999998</v>
      </c>
      <c r="X9">
        <v>0.85747447050000003</v>
      </c>
      <c r="Y9">
        <v>0.82237926920000004</v>
      </c>
      <c r="Z9">
        <v>0.81018130190000004</v>
      </c>
      <c r="AA9">
        <v>0.81869870359999997</v>
      </c>
      <c r="AB9">
        <v>0.80674121529999998</v>
      </c>
      <c r="AC9">
        <v>0.91778916759166673</v>
      </c>
      <c r="AD9">
        <f t="shared" si="0"/>
        <v>0.83992686984999998</v>
      </c>
    </row>
    <row r="10" spans="1:30" x14ac:dyDescent="0.25">
      <c r="A10" t="s">
        <v>112</v>
      </c>
      <c r="B10" t="s">
        <v>116</v>
      </c>
      <c r="C10">
        <v>115</v>
      </c>
      <c r="D10" t="s">
        <v>4</v>
      </c>
      <c r="E10">
        <v>4.5058050000000002E-2</v>
      </c>
      <c r="F10">
        <v>4.2937305000000002E-2</v>
      </c>
      <c r="G10">
        <v>4.0817550000000001E-2</v>
      </c>
      <c r="H10">
        <v>3.9307290000000002E-2</v>
      </c>
      <c r="I10">
        <v>4.0462995000000002E-2</v>
      </c>
      <c r="J10">
        <v>4.3006889999999999E-2</v>
      </c>
      <c r="K10">
        <v>4.4398275000000001E-2</v>
      </c>
      <c r="L10">
        <v>4.6656929999999999E-2</v>
      </c>
      <c r="M10">
        <v>4.9975125000000002E-2</v>
      </c>
      <c r="N10">
        <v>5.3480369999999999E-2</v>
      </c>
      <c r="O10">
        <v>5.6467499999999997E-2</v>
      </c>
      <c r="P10">
        <v>6.0492299999999999E-2</v>
      </c>
      <c r="Q10">
        <v>6.1430564999999999E-2</v>
      </c>
      <c r="R10">
        <v>6.1177935000000003E-2</v>
      </c>
      <c r="S10">
        <v>6.18948E-2</v>
      </c>
      <c r="T10">
        <v>6.3118530000000006E-2</v>
      </c>
      <c r="U10">
        <v>6.0547154999999998E-2</v>
      </c>
      <c r="V10">
        <v>5.7214349999999997E-2</v>
      </c>
      <c r="W10">
        <v>6.13362E-2</v>
      </c>
      <c r="X10">
        <v>6.136395E-2</v>
      </c>
      <c r="Y10">
        <v>6.1358999999999997E-2</v>
      </c>
      <c r="Z10">
        <v>5.8255019999999998E-2</v>
      </c>
      <c r="AA10">
        <v>5.403546E-2</v>
      </c>
      <c r="AB10">
        <v>4.8934020000000002E-2</v>
      </c>
      <c r="AC10">
        <v>5.3071981874999986E-2</v>
      </c>
      <c r="AD10">
        <f t="shared" si="0"/>
        <v>5.5251479999999999E-2</v>
      </c>
    </row>
    <row r="11" spans="1:30" x14ac:dyDescent="0.25">
      <c r="A11" t="s">
        <v>112</v>
      </c>
      <c r="B11" t="s">
        <v>117</v>
      </c>
      <c r="C11">
        <v>115</v>
      </c>
      <c r="D11" t="s">
        <v>2</v>
      </c>
      <c r="E11">
        <v>19.701453860000001</v>
      </c>
      <c r="F11">
        <v>19.024259465</v>
      </c>
      <c r="G11">
        <v>18.747657674999999</v>
      </c>
      <c r="H11">
        <v>18.246894510000001</v>
      </c>
      <c r="I11">
        <v>18.912085694999998</v>
      </c>
      <c r="J11">
        <v>19.276480535000001</v>
      </c>
      <c r="K11">
        <v>21.285118144999998</v>
      </c>
      <c r="L11">
        <v>25.365772204999999</v>
      </c>
      <c r="M11">
        <v>29.627305754999998</v>
      </c>
      <c r="N11">
        <v>32.089027604999998</v>
      </c>
      <c r="O11">
        <v>33.719741399999997</v>
      </c>
      <c r="P11">
        <v>35.799465474999998</v>
      </c>
      <c r="Q11">
        <v>35.227325270000001</v>
      </c>
      <c r="R11">
        <v>35.570042229999999</v>
      </c>
      <c r="S11">
        <v>37.372731115000001</v>
      </c>
      <c r="T11">
        <v>38.111635759999999</v>
      </c>
      <c r="U11">
        <v>37.267385365000003</v>
      </c>
      <c r="V11">
        <v>32.943985935000001</v>
      </c>
      <c r="W11">
        <v>30.591814800000002</v>
      </c>
      <c r="X11">
        <v>26.996387500000001</v>
      </c>
      <c r="Y11">
        <v>26.101022499999999</v>
      </c>
      <c r="Z11">
        <v>24.068862105000001</v>
      </c>
      <c r="AA11">
        <v>22.287059159999998</v>
      </c>
      <c r="AB11">
        <v>20.891011764999998</v>
      </c>
      <c r="AC11">
        <v>27.467688576250001</v>
      </c>
      <c r="AD11">
        <f t="shared" si="0"/>
        <v>26.548704999999998</v>
      </c>
    </row>
    <row r="12" spans="1:30" x14ac:dyDescent="0.25">
      <c r="A12" t="s">
        <v>112</v>
      </c>
      <c r="B12" t="s">
        <v>117</v>
      </c>
      <c r="C12">
        <v>115</v>
      </c>
      <c r="D12" t="s">
        <v>3</v>
      </c>
      <c r="E12">
        <v>8.9417860843000003</v>
      </c>
      <c r="F12">
        <v>9.1382999501000004</v>
      </c>
      <c r="G12">
        <v>9.0054343250999995</v>
      </c>
      <c r="H12">
        <v>8.4511647643999996</v>
      </c>
      <c r="I12">
        <v>8.9712171177000002</v>
      </c>
      <c r="J12">
        <v>8.6360484802999995</v>
      </c>
      <c r="K12">
        <v>7.4540111615000004</v>
      </c>
      <c r="L12">
        <v>5.2559737999999996</v>
      </c>
      <c r="M12">
        <v>6.6248773634000004</v>
      </c>
      <c r="N12">
        <v>7.3434960552000001</v>
      </c>
      <c r="O12">
        <v>7.9986523209999998</v>
      </c>
      <c r="P12">
        <v>8.7348320283999996</v>
      </c>
      <c r="Q12">
        <v>10.9799889813</v>
      </c>
      <c r="R12">
        <v>11.0605578512</v>
      </c>
      <c r="S12">
        <v>13.3526543994</v>
      </c>
      <c r="T12">
        <v>13.242795450499999</v>
      </c>
      <c r="U12">
        <v>13.501515504</v>
      </c>
      <c r="V12">
        <v>14.2615150272</v>
      </c>
      <c r="W12">
        <v>14.168792786999999</v>
      </c>
      <c r="X12">
        <v>12.5113482802</v>
      </c>
      <c r="Y12">
        <v>12.254269599800001</v>
      </c>
      <c r="Z12">
        <v>11.341618968100001</v>
      </c>
      <c r="AA12">
        <v>9.2438473199000004</v>
      </c>
      <c r="AB12">
        <v>8.2369275681000005</v>
      </c>
      <c r="AC12">
        <v>10.029651049504167</v>
      </c>
      <c r="AD12">
        <f t="shared" si="0"/>
        <v>9.0718671376</v>
      </c>
    </row>
    <row r="13" spans="1:30" x14ac:dyDescent="0.25">
      <c r="A13" t="s">
        <v>112</v>
      </c>
      <c r="B13" t="s">
        <v>117</v>
      </c>
      <c r="C13">
        <v>115</v>
      </c>
      <c r="D13" t="s">
        <v>4</v>
      </c>
      <c r="E13">
        <v>0.30002213999999999</v>
      </c>
      <c r="F13">
        <v>0.28970953500000002</v>
      </c>
      <c r="G13">
        <v>0.28549732500000002</v>
      </c>
      <c r="H13">
        <v>0.27787149</v>
      </c>
      <c r="I13">
        <v>0.28800130499999999</v>
      </c>
      <c r="J13">
        <v>0.29355046499999998</v>
      </c>
      <c r="K13">
        <v>0.324138855</v>
      </c>
      <c r="L13">
        <v>0.38628079500000001</v>
      </c>
      <c r="M13">
        <v>0.451177245</v>
      </c>
      <c r="N13">
        <v>0.488665395</v>
      </c>
      <c r="O13">
        <v>0.51349860000000003</v>
      </c>
      <c r="P13">
        <v>0.54516952500000004</v>
      </c>
      <c r="Q13">
        <v>0.53645673000000005</v>
      </c>
      <c r="R13">
        <v>0.54167577</v>
      </c>
      <c r="S13">
        <v>0.569127885</v>
      </c>
      <c r="T13">
        <v>0.58038023999999999</v>
      </c>
      <c r="U13">
        <v>0.56752363500000003</v>
      </c>
      <c r="V13">
        <v>0.50168506499999999</v>
      </c>
      <c r="W13">
        <v>0.46586519999999998</v>
      </c>
      <c r="X13">
        <v>0.41111249999999999</v>
      </c>
      <c r="Y13">
        <v>0.39747749999999998</v>
      </c>
      <c r="Z13">
        <v>0.36653089500000002</v>
      </c>
      <c r="AA13">
        <v>0.33939683999999998</v>
      </c>
      <c r="AB13">
        <v>0.31813723500000002</v>
      </c>
      <c r="AC13">
        <v>0.41828967375000009</v>
      </c>
      <c r="AD13">
        <f t="shared" si="0"/>
        <v>0.40429499999999996</v>
      </c>
    </row>
    <row r="14" spans="1:30" x14ac:dyDescent="0.25">
      <c r="A14" t="s">
        <v>112</v>
      </c>
      <c r="B14" t="s">
        <v>118</v>
      </c>
      <c r="C14">
        <v>115</v>
      </c>
      <c r="D14" t="s">
        <v>2</v>
      </c>
      <c r="E14">
        <v>20.591892874999999</v>
      </c>
      <c r="F14">
        <v>19.794627965</v>
      </c>
      <c r="G14">
        <v>18.951892869999998</v>
      </c>
      <c r="H14">
        <v>18.272579740000001</v>
      </c>
      <c r="I14">
        <v>19.10264712</v>
      </c>
      <c r="J14">
        <v>20.515773429999999</v>
      </c>
      <c r="K14">
        <v>23.964884519999998</v>
      </c>
      <c r="L14">
        <v>29.719361885000001</v>
      </c>
      <c r="M14">
        <v>36.303161969999998</v>
      </c>
      <c r="N14">
        <v>40.542734944999999</v>
      </c>
      <c r="O14">
        <v>43.619219919999999</v>
      </c>
      <c r="P14">
        <v>46.485329579999998</v>
      </c>
      <c r="Q14">
        <v>45.451487370000002</v>
      </c>
      <c r="R14">
        <v>45.656158550000001</v>
      </c>
      <c r="S14">
        <v>47.199773720000003</v>
      </c>
      <c r="T14">
        <v>48.1329706</v>
      </c>
      <c r="U14">
        <v>45.701550304999998</v>
      </c>
      <c r="V14">
        <v>39.936320680000001</v>
      </c>
      <c r="W14">
        <v>36.624506400000001</v>
      </c>
      <c r="X14">
        <v>32.299046349999998</v>
      </c>
      <c r="Y14">
        <v>29.4846945</v>
      </c>
      <c r="Z14">
        <v>26.117275984999999</v>
      </c>
      <c r="AA14">
        <v>23.527569145000001</v>
      </c>
      <c r="AB14">
        <v>21.976597009999999</v>
      </c>
      <c r="AC14">
        <v>32.498835726458331</v>
      </c>
      <c r="AD14">
        <f t="shared" si="0"/>
        <v>31.009204117499998</v>
      </c>
    </row>
    <row r="15" spans="1:30" x14ac:dyDescent="0.25">
      <c r="A15" t="s">
        <v>112</v>
      </c>
      <c r="B15" t="s">
        <v>118</v>
      </c>
      <c r="C15">
        <v>115</v>
      </c>
      <c r="D15" t="s">
        <v>3</v>
      </c>
      <c r="E15">
        <v>6.5688362907000002</v>
      </c>
      <c r="F15">
        <v>6.0001906028000001</v>
      </c>
      <c r="G15">
        <v>5.7874212822000004</v>
      </c>
      <c r="H15">
        <v>5.6344979340999997</v>
      </c>
      <c r="I15">
        <v>5.7616214568000004</v>
      </c>
      <c r="J15">
        <v>5.8149750196000003</v>
      </c>
      <c r="K15">
        <v>6.6779036024999998</v>
      </c>
      <c r="L15">
        <v>8.2095771009000007</v>
      </c>
      <c r="M15">
        <v>10.2609446398</v>
      </c>
      <c r="N15">
        <v>11.5074545924</v>
      </c>
      <c r="O15">
        <v>12.705360346899999</v>
      </c>
      <c r="P15">
        <v>13.8086599635</v>
      </c>
      <c r="Q15">
        <v>14.2670419747</v>
      </c>
      <c r="R15">
        <v>14.6469531694</v>
      </c>
      <c r="S15">
        <v>14.2361017985</v>
      </c>
      <c r="T15">
        <v>14.5357432161</v>
      </c>
      <c r="U15">
        <v>13.7323447955</v>
      </c>
      <c r="V15">
        <v>12.1955265273</v>
      </c>
      <c r="W15">
        <v>10.879461537099999</v>
      </c>
      <c r="X15">
        <v>9.3578116920000003</v>
      </c>
      <c r="Y15">
        <v>8.5079184872999996</v>
      </c>
      <c r="Z15">
        <v>7.5972760179999996</v>
      </c>
      <c r="AA15">
        <v>7.0516895811999998</v>
      </c>
      <c r="AB15">
        <v>6.6118229183999997</v>
      </c>
      <c r="AC15">
        <v>9.6815472728208345</v>
      </c>
      <c r="AD15">
        <f t="shared" si="0"/>
        <v>8.9328650896500008</v>
      </c>
    </row>
    <row r="16" spans="1:30" x14ac:dyDescent="0.25">
      <c r="A16" t="s">
        <v>112</v>
      </c>
      <c r="B16" t="s">
        <v>118</v>
      </c>
      <c r="C16">
        <v>115</v>
      </c>
      <c r="D16" t="s">
        <v>4</v>
      </c>
      <c r="E16">
        <v>0.31358212499999999</v>
      </c>
      <c r="F16">
        <v>0.30144103500000002</v>
      </c>
      <c r="G16">
        <v>0.28860750559999998</v>
      </c>
      <c r="H16">
        <v>0.27826263559999997</v>
      </c>
      <c r="I16">
        <v>0.29090325560000002</v>
      </c>
      <c r="J16">
        <v>0.3124229456</v>
      </c>
      <c r="K16">
        <v>0.36494747999999999</v>
      </c>
      <c r="L16">
        <v>0.45257911499999998</v>
      </c>
      <c r="M16">
        <v>0.55284003000000004</v>
      </c>
      <c r="N16">
        <v>0.61740205500000001</v>
      </c>
      <c r="O16">
        <v>0.66425208000000002</v>
      </c>
      <c r="P16">
        <v>0.70789842000000003</v>
      </c>
      <c r="Q16">
        <v>0.69215462999999999</v>
      </c>
      <c r="R16">
        <v>0.69527145000000001</v>
      </c>
      <c r="S16">
        <v>0.71877827999999999</v>
      </c>
      <c r="T16">
        <v>0.73298940000000001</v>
      </c>
      <c r="U16">
        <v>0.69596269499999996</v>
      </c>
      <c r="V16">
        <v>0.60816731999999996</v>
      </c>
      <c r="W16">
        <v>0.55773360000000005</v>
      </c>
      <c r="X16">
        <v>0.49186364999999999</v>
      </c>
      <c r="Y16">
        <v>0.4490055</v>
      </c>
      <c r="Z16">
        <v>0.39772501500000002</v>
      </c>
      <c r="AA16">
        <v>0.35828785499999999</v>
      </c>
      <c r="AB16">
        <v>0.33466899</v>
      </c>
      <c r="AC16">
        <v>0.49490612780833337</v>
      </c>
      <c r="AD16">
        <f t="shared" si="0"/>
        <v>0.47222138250000001</v>
      </c>
    </row>
    <row r="17" spans="1:30" x14ac:dyDescent="0.25">
      <c r="A17" t="s">
        <v>112</v>
      </c>
      <c r="B17" t="s">
        <v>122</v>
      </c>
      <c r="C17">
        <v>115</v>
      </c>
      <c r="D17" t="s">
        <v>2</v>
      </c>
      <c r="E17">
        <v>33.437368495000001</v>
      </c>
      <c r="F17">
        <v>31.9240864</v>
      </c>
      <c r="G17">
        <v>30.524177805000001</v>
      </c>
      <c r="H17">
        <v>29.435648395000001</v>
      </c>
      <c r="I17">
        <v>31.24848081</v>
      </c>
      <c r="J17">
        <v>32.03031077</v>
      </c>
      <c r="K17">
        <v>31.966964435000001</v>
      </c>
      <c r="L17">
        <v>32.828422779999997</v>
      </c>
      <c r="M17">
        <v>34.166479285000001</v>
      </c>
      <c r="N17">
        <v>36.126864699999999</v>
      </c>
      <c r="O17">
        <v>37.564476139999996</v>
      </c>
      <c r="P17">
        <v>40.432836524999999</v>
      </c>
      <c r="Q17">
        <v>41.078357259999997</v>
      </c>
      <c r="R17">
        <v>41.852496340000002</v>
      </c>
      <c r="S17">
        <v>41.649429724999997</v>
      </c>
      <c r="T17">
        <v>42.472889725000002</v>
      </c>
      <c r="U17">
        <v>42.121358985000001</v>
      </c>
      <c r="V17">
        <v>41.919222210000001</v>
      </c>
      <c r="W17">
        <v>46.720638200000003</v>
      </c>
      <c r="X17">
        <v>47.780764150000003</v>
      </c>
      <c r="Y17">
        <v>47.838889000000002</v>
      </c>
      <c r="Z17">
        <v>44.599089055</v>
      </c>
      <c r="AA17">
        <v>40.805774270000001</v>
      </c>
      <c r="AB17">
        <v>36.414887565000001</v>
      </c>
      <c r="AC17">
        <v>38.205829709375003</v>
      </c>
      <c r="AD17">
        <f t="shared" si="0"/>
        <v>38.998656332499998</v>
      </c>
    </row>
    <row r="18" spans="1:30" x14ac:dyDescent="0.25">
      <c r="A18" t="s">
        <v>112</v>
      </c>
      <c r="B18" t="s">
        <v>122</v>
      </c>
      <c r="C18">
        <v>115</v>
      </c>
      <c r="D18" t="s">
        <v>3</v>
      </c>
      <c r="E18">
        <v>7.9163558308999997</v>
      </c>
      <c r="F18">
        <v>7.7320116316999998</v>
      </c>
      <c r="G18">
        <v>7.5696638155000002</v>
      </c>
      <c r="H18">
        <v>7.3901284183999998</v>
      </c>
      <c r="I18">
        <v>7.5543154203</v>
      </c>
      <c r="J18">
        <v>7.2997853666000001</v>
      </c>
      <c r="K18">
        <v>7.2245986346000004</v>
      </c>
      <c r="L18">
        <v>7.1973019887999996</v>
      </c>
      <c r="M18">
        <v>7.5406767067000002</v>
      </c>
      <c r="N18">
        <v>8.1991335176</v>
      </c>
      <c r="O18">
        <v>8.3634686529</v>
      </c>
      <c r="P18">
        <v>8.7049494356999997</v>
      </c>
      <c r="Q18">
        <v>9.1854143400999995</v>
      </c>
      <c r="R18">
        <v>9.3181664474999994</v>
      </c>
      <c r="S18">
        <v>9.3131102256999991</v>
      </c>
      <c r="T18">
        <v>9.4767862088000001</v>
      </c>
      <c r="U18">
        <v>9.5596074867999992</v>
      </c>
      <c r="V18">
        <v>9.3532488487999998</v>
      </c>
      <c r="W18">
        <v>9.4134402576999996</v>
      </c>
      <c r="X18">
        <v>9.1902998381999996</v>
      </c>
      <c r="Y18">
        <v>9.0693079431000001</v>
      </c>
      <c r="Z18">
        <v>8.6271741803000008</v>
      </c>
      <c r="AA18">
        <v>8.2431660379</v>
      </c>
      <c r="AB18">
        <v>7.8760438053000001</v>
      </c>
      <c r="AC18">
        <v>8.3882564599958318</v>
      </c>
      <c r="AD18">
        <f t="shared" si="0"/>
        <v>8.3033173454</v>
      </c>
    </row>
    <row r="19" spans="1:30" x14ac:dyDescent="0.25">
      <c r="A19" t="s">
        <v>112</v>
      </c>
      <c r="B19" t="s">
        <v>122</v>
      </c>
      <c r="C19">
        <v>115</v>
      </c>
      <c r="D19" t="s">
        <v>4</v>
      </c>
      <c r="E19">
        <v>0.50919850499999997</v>
      </c>
      <c r="F19">
        <v>0.48615360000000002</v>
      </c>
      <c r="G19">
        <v>0.46483519499999998</v>
      </c>
      <c r="H19">
        <v>0.44825860499999998</v>
      </c>
      <c r="I19">
        <v>0.47586518999999999</v>
      </c>
      <c r="J19">
        <v>0.48777123</v>
      </c>
      <c r="K19">
        <v>0.48680656500000002</v>
      </c>
      <c r="L19">
        <v>0.49992522</v>
      </c>
      <c r="M19">
        <v>0.520301715</v>
      </c>
      <c r="N19">
        <v>0.55015530000000001</v>
      </c>
      <c r="O19">
        <v>0.57204785999999996</v>
      </c>
      <c r="P19">
        <v>0.61572847500000005</v>
      </c>
      <c r="Q19">
        <v>0.62555874</v>
      </c>
      <c r="R19">
        <v>0.63734765999999998</v>
      </c>
      <c r="S19">
        <v>0.63425527500000001</v>
      </c>
      <c r="T19">
        <v>0.646795275</v>
      </c>
      <c r="U19">
        <v>0.64144201499999998</v>
      </c>
      <c r="V19">
        <v>0.63836378999999999</v>
      </c>
      <c r="W19">
        <v>0.71148180000000005</v>
      </c>
      <c r="X19">
        <v>0.72762585000000002</v>
      </c>
      <c r="Y19">
        <v>0.72851100000000002</v>
      </c>
      <c r="Z19">
        <v>0.67917394499999995</v>
      </c>
      <c r="AA19">
        <v>0.62140773000000005</v>
      </c>
      <c r="AB19">
        <v>0.55454143499999997</v>
      </c>
      <c r="AC19">
        <v>0.58181466562499995</v>
      </c>
      <c r="AD19">
        <f t="shared" si="0"/>
        <v>0.59388816750000006</v>
      </c>
    </row>
    <row r="20" spans="1:30" x14ac:dyDescent="0.25">
      <c r="A20" t="s">
        <v>112</v>
      </c>
      <c r="B20" t="s">
        <v>123</v>
      </c>
      <c r="C20">
        <v>115</v>
      </c>
      <c r="D20" t="s">
        <v>2</v>
      </c>
      <c r="E20">
        <v>8.7047365600000006</v>
      </c>
      <c r="F20">
        <v>8.2044284649999994</v>
      </c>
      <c r="G20">
        <v>7.8152264000000002</v>
      </c>
      <c r="H20">
        <v>7.5758329849999999</v>
      </c>
      <c r="I20">
        <v>8.1721647900000001</v>
      </c>
      <c r="J20">
        <v>8.9213784450000002</v>
      </c>
      <c r="K20">
        <v>9.2385770100000002</v>
      </c>
      <c r="L20">
        <v>9.7525854699999996</v>
      </c>
      <c r="M20">
        <v>10.51472922</v>
      </c>
      <c r="N20">
        <v>11.894361590000001</v>
      </c>
      <c r="O20">
        <v>13.117662640000001</v>
      </c>
      <c r="P20">
        <v>14.373154475</v>
      </c>
      <c r="Q20">
        <v>14.760830775000001</v>
      </c>
      <c r="R20">
        <v>14.701795785</v>
      </c>
      <c r="S20">
        <v>14.384692765</v>
      </c>
      <c r="T20">
        <v>14.669095755000001</v>
      </c>
      <c r="U20">
        <v>14.543370355</v>
      </c>
      <c r="V20">
        <v>14.57026381</v>
      </c>
      <c r="W20">
        <v>16.069329400000001</v>
      </c>
      <c r="X20">
        <v>15.811357900000001</v>
      </c>
      <c r="Y20">
        <v>15.048436000000001</v>
      </c>
      <c r="Z20">
        <v>13.109848635000001</v>
      </c>
      <c r="AA20">
        <v>11.0990588</v>
      </c>
      <c r="AB20">
        <v>9.6834246799999999</v>
      </c>
      <c r="AC20">
        <v>11.947347612916667</v>
      </c>
      <c r="AD20">
        <f t="shared" si="0"/>
        <v>12.502105112500001</v>
      </c>
    </row>
    <row r="21" spans="1:30" x14ac:dyDescent="0.25">
      <c r="A21" t="s">
        <v>112</v>
      </c>
      <c r="B21" t="s">
        <v>123</v>
      </c>
      <c r="C21">
        <v>115</v>
      </c>
      <c r="D21" t="s">
        <v>3</v>
      </c>
      <c r="E21">
        <v>4.1067958170000001</v>
      </c>
      <c r="F21">
        <v>3.7619074755000002</v>
      </c>
      <c r="G21">
        <v>3.5811802955999998</v>
      </c>
      <c r="H21">
        <v>3.4692819911999999</v>
      </c>
      <c r="I21">
        <v>3.9138760834999999</v>
      </c>
      <c r="J21">
        <v>3.7220555907000001</v>
      </c>
      <c r="K21">
        <v>3.7120497881999999</v>
      </c>
      <c r="L21">
        <v>3.9337514057999998</v>
      </c>
      <c r="M21">
        <v>4.2607487694000001</v>
      </c>
      <c r="N21">
        <v>4.7568786370999998</v>
      </c>
      <c r="O21">
        <v>5.1306228769000004</v>
      </c>
      <c r="P21">
        <v>5.4192598433999999</v>
      </c>
      <c r="Q21">
        <v>5.6935414379999996</v>
      </c>
      <c r="R21">
        <v>5.7688104657999997</v>
      </c>
      <c r="S21">
        <v>5.7303370150999999</v>
      </c>
      <c r="T21">
        <v>5.7467064012</v>
      </c>
      <c r="U21">
        <v>5.5864208808000004</v>
      </c>
      <c r="V21">
        <v>5.5359294734000004</v>
      </c>
      <c r="W21">
        <v>5.5616940208000001</v>
      </c>
      <c r="X21">
        <v>5.1800904692999996</v>
      </c>
      <c r="Y21">
        <v>4.9515196903999996</v>
      </c>
      <c r="Z21">
        <v>4.5194215950999999</v>
      </c>
      <c r="AA21">
        <v>4.1919761723000004</v>
      </c>
      <c r="AB21">
        <v>4.1658819616000002</v>
      </c>
      <c r="AC21">
        <v>4.6833640899208335</v>
      </c>
      <c r="AD21">
        <f t="shared" si="0"/>
        <v>4.6381501161000003</v>
      </c>
    </row>
    <row r="22" spans="1:30" x14ac:dyDescent="0.25">
      <c r="A22" t="s">
        <v>112</v>
      </c>
      <c r="B22" t="s">
        <v>123</v>
      </c>
      <c r="C22">
        <v>115</v>
      </c>
      <c r="D22" t="s">
        <v>4</v>
      </c>
      <c r="E22">
        <v>0.13255944</v>
      </c>
      <c r="F22">
        <v>0.12494053500000001</v>
      </c>
      <c r="G22">
        <v>0.1190136</v>
      </c>
      <c r="H22">
        <v>0.115368015</v>
      </c>
      <c r="I22">
        <v>0.12444921</v>
      </c>
      <c r="J22">
        <v>0.13585855499999999</v>
      </c>
      <c r="K22">
        <v>0.14068899000000001</v>
      </c>
      <c r="L22">
        <v>0.14851653000000001</v>
      </c>
      <c r="M22">
        <v>0.16012277999999999</v>
      </c>
      <c r="N22">
        <v>0.18113240999999999</v>
      </c>
      <c r="O22">
        <v>0.19976136</v>
      </c>
      <c r="P22">
        <v>0.21888052499999999</v>
      </c>
      <c r="Q22">
        <v>0.224784225</v>
      </c>
      <c r="R22">
        <v>0.223885215</v>
      </c>
      <c r="S22">
        <v>0.21905623499999999</v>
      </c>
      <c r="T22">
        <v>0.22338724500000001</v>
      </c>
      <c r="U22">
        <v>0.221472645</v>
      </c>
      <c r="V22">
        <v>0.22188219000000001</v>
      </c>
      <c r="W22">
        <v>0.2447106</v>
      </c>
      <c r="X22">
        <v>0.2407821</v>
      </c>
      <c r="Y22">
        <v>0.22916400000000001</v>
      </c>
      <c r="Z22">
        <v>0.19964236499999999</v>
      </c>
      <c r="AA22">
        <v>0.16902120000000001</v>
      </c>
      <c r="AB22">
        <v>0.14746332000000001</v>
      </c>
      <c r="AC22">
        <v>0.18193930375000003</v>
      </c>
      <c r="AD22">
        <f t="shared" si="0"/>
        <v>0.1903873875</v>
      </c>
    </row>
    <row r="23" spans="1:30" x14ac:dyDescent="0.25">
      <c r="A23" t="s">
        <v>112</v>
      </c>
      <c r="B23" t="s">
        <v>124</v>
      </c>
      <c r="C23">
        <v>115</v>
      </c>
      <c r="D23" t="s">
        <v>2</v>
      </c>
      <c r="E23">
        <v>37.849631670000001</v>
      </c>
      <c r="F23">
        <v>35.999337734999997</v>
      </c>
      <c r="G23">
        <v>33.993002130000001</v>
      </c>
      <c r="H23">
        <v>32.555916680000003</v>
      </c>
      <c r="I23">
        <v>33.488805255000003</v>
      </c>
      <c r="J23">
        <v>34.804796775</v>
      </c>
      <c r="K23">
        <v>36.267824109999999</v>
      </c>
      <c r="L23">
        <v>38.041870179999997</v>
      </c>
      <c r="M23">
        <v>41.072361565000001</v>
      </c>
      <c r="N23">
        <v>44.082006409999998</v>
      </c>
      <c r="O23">
        <v>46.774750160000004</v>
      </c>
      <c r="P23">
        <v>49.990681584999997</v>
      </c>
      <c r="Q23">
        <v>51.478170470000002</v>
      </c>
      <c r="R23">
        <v>52.311041160000002</v>
      </c>
      <c r="S23">
        <v>53.336992535</v>
      </c>
      <c r="T23">
        <v>54.391530580000001</v>
      </c>
      <c r="U23">
        <v>53.245304795000003</v>
      </c>
      <c r="V23">
        <v>52.367138879999999</v>
      </c>
      <c r="W23">
        <v>55.7994226</v>
      </c>
      <c r="X23">
        <v>54.993062199999997</v>
      </c>
      <c r="Y23">
        <v>53.331790750000003</v>
      </c>
      <c r="Z23">
        <v>48.992936669999999</v>
      </c>
      <c r="AA23">
        <v>44.723915150000003</v>
      </c>
      <c r="AB23">
        <v>40.839735099999999</v>
      </c>
      <c r="AC23">
        <v>45.030501047708334</v>
      </c>
      <c r="AD23">
        <f t="shared" si="0"/>
        <v>45.749332655000003</v>
      </c>
    </row>
    <row r="24" spans="1:30" x14ac:dyDescent="0.25">
      <c r="A24" t="s">
        <v>112</v>
      </c>
      <c r="B24" t="s">
        <v>124</v>
      </c>
      <c r="C24">
        <v>115</v>
      </c>
      <c r="D24" t="s">
        <v>3</v>
      </c>
      <c r="E24">
        <v>12.1971154058</v>
      </c>
      <c r="F24">
        <v>11.934296934400001</v>
      </c>
      <c r="G24">
        <v>11.5308269096</v>
      </c>
      <c r="H24">
        <v>11.155963631400001</v>
      </c>
      <c r="I24">
        <v>11.184488780300001</v>
      </c>
      <c r="J24">
        <v>10.7323409347</v>
      </c>
      <c r="K24">
        <v>11.424184887499999</v>
      </c>
      <c r="L24">
        <v>11.9690764097</v>
      </c>
      <c r="M24">
        <v>13.1912483474</v>
      </c>
      <c r="N24">
        <v>14.2055099555</v>
      </c>
      <c r="O24">
        <v>14.870262202899999</v>
      </c>
      <c r="P24">
        <v>15.6735325158</v>
      </c>
      <c r="Q24">
        <v>17.426238597299999</v>
      </c>
      <c r="R24">
        <v>17.452319384799999</v>
      </c>
      <c r="S24">
        <v>17.53102166</v>
      </c>
      <c r="T24">
        <v>17.4689781776</v>
      </c>
      <c r="U24">
        <v>16.752518173599999</v>
      </c>
      <c r="V24">
        <v>16.244923097400001</v>
      </c>
      <c r="W24">
        <v>15.9699047175</v>
      </c>
      <c r="X24">
        <v>15.213316285499999</v>
      </c>
      <c r="Y24">
        <v>14.689029589</v>
      </c>
      <c r="Z24">
        <v>13.434336805399999</v>
      </c>
      <c r="AA24">
        <v>12.852745497500001</v>
      </c>
      <c r="AB24">
        <v>12.4408034594</v>
      </c>
      <c r="AC24">
        <v>14.064374265</v>
      </c>
      <c r="AD24">
        <f t="shared" si="0"/>
        <v>13.81992338045</v>
      </c>
    </row>
    <row r="25" spans="1:30" x14ac:dyDescent="0.25">
      <c r="A25" t="s">
        <v>112</v>
      </c>
      <c r="B25" t="s">
        <v>124</v>
      </c>
      <c r="C25">
        <v>115</v>
      </c>
      <c r="D25" t="s">
        <v>4</v>
      </c>
      <c r="E25">
        <v>0.57639032999999995</v>
      </c>
      <c r="F25">
        <v>0.54821326500000001</v>
      </c>
      <c r="G25">
        <v>0.51765993089999995</v>
      </c>
      <c r="H25">
        <v>0.49577538090000001</v>
      </c>
      <c r="I25">
        <v>0.50998180589999997</v>
      </c>
      <c r="J25">
        <v>0.5300222859</v>
      </c>
      <c r="K25">
        <v>0.55230188999999996</v>
      </c>
      <c r="L25">
        <v>0.57931781999999998</v>
      </c>
      <c r="M25">
        <v>0.62546743500000002</v>
      </c>
      <c r="N25">
        <v>0.67129958999999995</v>
      </c>
      <c r="O25">
        <v>0.71230583999999997</v>
      </c>
      <c r="P25">
        <v>0.76127941499999996</v>
      </c>
      <c r="Q25">
        <v>0.78393153000000004</v>
      </c>
      <c r="R25">
        <v>0.79661484000000005</v>
      </c>
      <c r="S25">
        <v>0.81223846499999997</v>
      </c>
      <c r="T25">
        <v>0.82829741999999995</v>
      </c>
      <c r="U25">
        <v>0.81084220500000004</v>
      </c>
      <c r="V25">
        <v>0.79746912000000003</v>
      </c>
      <c r="W25">
        <v>0.84973739999999998</v>
      </c>
      <c r="X25">
        <v>0.83745780000000003</v>
      </c>
      <c r="Y25">
        <v>0.81215925</v>
      </c>
      <c r="Z25">
        <v>0.74608532999999999</v>
      </c>
      <c r="AA25">
        <v>0.68107485000000001</v>
      </c>
      <c r="AB25">
        <v>0.6219249</v>
      </c>
      <c r="AC25">
        <v>0.68574367077499998</v>
      </c>
      <c r="AD25">
        <f t="shared" si="0"/>
        <v>0.69669034499999993</v>
      </c>
    </row>
    <row r="26" spans="1:30" x14ac:dyDescent="0.25">
      <c r="A26" t="s">
        <v>112</v>
      </c>
      <c r="B26" t="s">
        <v>125</v>
      </c>
      <c r="C26">
        <v>115</v>
      </c>
      <c r="D26" t="s">
        <v>2</v>
      </c>
      <c r="E26">
        <v>18.663274694999998</v>
      </c>
      <c r="F26">
        <v>17.887965435000002</v>
      </c>
      <c r="G26">
        <v>17.048373105</v>
      </c>
      <c r="H26">
        <v>16.365696199999999</v>
      </c>
      <c r="I26">
        <v>17.05139213</v>
      </c>
      <c r="J26">
        <v>17.842757875</v>
      </c>
      <c r="K26">
        <v>18.683926204999999</v>
      </c>
      <c r="L26">
        <v>20.785904384999998</v>
      </c>
      <c r="M26">
        <v>23.385942889999999</v>
      </c>
      <c r="N26">
        <v>25.399475949999999</v>
      </c>
      <c r="O26">
        <v>27.192238005</v>
      </c>
      <c r="P26">
        <v>28.922183655000001</v>
      </c>
      <c r="Q26">
        <v>29.255155025000001</v>
      </c>
      <c r="R26">
        <v>29.727177860000001</v>
      </c>
      <c r="S26">
        <v>31.19180785</v>
      </c>
      <c r="T26">
        <v>31.80850847</v>
      </c>
      <c r="U26">
        <v>30.867560624999999</v>
      </c>
      <c r="V26">
        <v>29.349253059999999</v>
      </c>
      <c r="W26">
        <v>30.984475199999999</v>
      </c>
      <c r="X26">
        <v>28.707105949999999</v>
      </c>
      <c r="Y26">
        <v>27.637031499999999</v>
      </c>
      <c r="Z26">
        <v>24.493907334999999</v>
      </c>
      <c r="AA26">
        <v>22.048318800000001</v>
      </c>
      <c r="AB26">
        <v>20.174524734999999</v>
      </c>
      <c r="AC26">
        <v>24.394748205833334</v>
      </c>
      <c r="AD26">
        <f t="shared" si="0"/>
        <v>24.946691642499999</v>
      </c>
    </row>
    <row r="27" spans="1:30" x14ac:dyDescent="0.25">
      <c r="A27" t="s">
        <v>112</v>
      </c>
      <c r="B27" t="s">
        <v>125</v>
      </c>
      <c r="C27">
        <v>115</v>
      </c>
      <c r="D27" t="s">
        <v>3</v>
      </c>
      <c r="E27">
        <v>6.3631377498999999</v>
      </c>
      <c r="F27">
        <v>6.2399989951999997</v>
      </c>
      <c r="G27">
        <v>6.1933867299000003</v>
      </c>
      <c r="H27">
        <v>5.7367951805999997</v>
      </c>
      <c r="I27">
        <v>5.8371352764999997</v>
      </c>
      <c r="J27">
        <v>5.7047855554</v>
      </c>
      <c r="K27">
        <v>5.9126414778000003</v>
      </c>
      <c r="L27">
        <v>6.7728066395999997</v>
      </c>
      <c r="M27">
        <v>8.0779950259</v>
      </c>
      <c r="N27">
        <v>8.7473618384999998</v>
      </c>
      <c r="O27">
        <v>9.5041898366000002</v>
      </c>
      <c r="P27">
        <v>10.206884840700001</v>
      </c>
      <c r="Q27">
        <v>10.6569751394</v>
      </c>
      <c r="R27">
        <v>10.838756915399999</v>
      </c>
      <c r="S27">
        <v>11.372772236499999</v>
      </c>
      <c r="T27">
        <v>11.0417589648</v>
      </c>
      <c r="U27">
        <v>11.059473094599999</v>
      </c>
      <c r="V27">
        <v>10.466313834999999</v>
      </c>
      <c r="W27">
        <v>9.7259041193000009</v>
      </c>
      <c r="X27">
        <v>8.6692991385999996</v>
      </c>
      <c r="Y27">
        <v>8.2096948397999991</v>
      </c>
      <c r="Z27">
        <v>7.3040581441999999</v>
      </c>
      <c r="AA27">
        <v>6.6417427053000004</v>
      </c>
      <c r="AB27">
        <v>6.3769909311999999</v>
      </c>
      <c r="AC27">
        <v>8.2358691337791665</v>
      </c>
      <c r="AD27">
        <f t="shared" si="0"/>
        <v>8.1438449328499996</v>
      </c>
    </row>
    <row r="28" spans="1:30" x14ac:dyDescent="0.25">
      <c r="A28" t="s">
        <v>112</v>
      </c>
      <c r="B28" t="s">
        <v>125</v>
      </c>
      <c r="C28">
        <v>115</v>
      </c>
      <c r="D28" t="s">
        <v>4</v>
      </c>
      <c r="E28">
        <v>0.284212305</v>
      </c>
      <c r="F28">
        <v>0.27240556500000002</v>
      </c>
      <c r="G28">
        <v>0.25961989499999999</v>
      </c>
      <c r="H28">
        <v>0.2492238</v>
      </c>
      <c r="I28">
        <v>0.25966587000000002</v>
      </c>
      <c r="J28">
        <v>0.271717125</v>
      </c>
      <c r="K28">
        <v>0.284526795</v>
      </c>
      <c r="L28">
        <v>0.31653661500000002</v>
      </c>
      <c r="M28">
        <v>0.35613110999999997</v>
      </c>
      <c r="N28">
        <v>0.38679405</v>
      </c>
      <c r="O28">
        <v>0.41409499500000002</v>
      </c>
      <c r="P28">
        <v>0.44043934499999998</v>
      </c>
      <c r="Q28">
        <v>0.445509975</v>
      </c>
      <c r="R28">
        <v>0.45269814000000003</v>
      </c>
      <c r="S28">
        <v>0.47500215000000001</v>
      </c>
      <c r="T28">
        <v>0.48439353000000002</v>
      </c>
      <c r="U28">
        <v>0.47006437499999998</v>
      </c>
      <c r="V28">
        <v>0.44694294000000001</v>
      </c>
      <c r="W28">
        <v>0.47184480000000001</v>
      </c>
      <c r="X28">
        <v>0.43716405000000003</v>
      </c>
      <c r="Y28">
        <v>0.42086849999999998</v>
      </c>
      <c r="Z28">
        <v>0.37300366499999998</v>
      </c>
      <c r="AA28">
        <v>0.33576119999999998</v>
      </c>
      <c r="AB28">
        <v>0.307226265</v>
      </c>
      <c r="AC28">
        <v>0.37149362750000003</v>
      </c>
      <c r="AD28">
        <f t="shared" si="0"/>
        <v>0.37989885749999996</v>
      </c>
    </row>
    <row r="29" spans="1:30" x14ac:dyDescent="0.25">
      <c r="A29" t="s">
        <v>112</v>
      </c>
      <c r="B29" t="s">
        <v>126</v>
      </c>
      <c r="C29">
        <v>115</v>
      </c>
      <c r="D29" t="s">
        <v>2</v>
      </c>
      <c r="E29">
        <v>32.882341680000003</v>
      </c>
      <c r="F29">
        <v>31.812382475</v>
      </c>
      <c r="G29">
        <v>30.33790041</v>
      </c>
      <c r="H29">
        <v>29.171196474999999</v>
      </c>
      <c r="I29">
        <v>30.27629851</v>
      </c>
      <c r="J29">
        <v>31.547981775</v>
      </c>
      <c r="K29">
        <v>33.650089094999998</v>
      </c>
      <c r="L29">
        <v>36.539383684999997</v>
      </c>
      <c r="M29">
        <v>40.387395519999998</v>
      </c>
      <c r="N29">
        <v>43.188970935</v>
      </c>
      <c r="O29">
        <v>44.735616950000001</v>
      </c>
      <c r="P29">
        <v>47.237343590000002</v>
      </c>
      <c r="Q29">
        <v>47.371546885000001</v>
      </c>
      <c r="R29">
        <v>48.15937057</v>
      </c>
      <c r="S29">
        <v>48.823045839999999</v>
      </c>
      <c r="T29">
        <v>49.78833796</v>
      </c>
      <c r="U29">
        <v>48.249113919999999</v>
      </c>
      <c r="V29">
        <v>45.838640634999997</v>
      </c>
      <c r="W29">
        <v>47.535705999999998</v>
      </c>
      <c r="X29">
        <v>45.615369700000002</v>
      </c>
      <c r="Y29">
        <v>44.944958999999997</v>
      </c>
      <c r="Z29">
        <v>41.562315339999998</v>
      </c>
      <c r="AA29">
        <v>37.777056870000003</v>
      </c>
      <c r="AB29">
        <v>35.351013690000002</v>
      </c>
      <c r="AC29">
        <v>40.532640729583335</v>
      </c>
      <c r="AD29">
        <f t="shared" si="0"/>
        <v>42.375643137499999</v>
      </c>
    </row>
    <row r="30" spans="1:30" x14ac:dyDescent="0.25">
      <c r="A30" t="s">
        <v>112</v>
      </c>
      <c r="B30" t="s">
        <v>126</v>
      </c>
      <c r="C30">
        <v>115</v>
      </c>
      <c r="D30" t="s">
        <v>3</v>
      </c>
      <c r="E30">
        <v>8.3412214850000002</v>
      </c>
      <c r="F30">
        <v>8.3012070740000006</v>
      </c>
      <c r="G30">
        <v>7.9548776760999997</v>
      </c>
      <c r="H30">
        <v>7.8074341696999996</v>
      </c>
      <c r="I30">
        <v>7.8618783150000002</v>
      </c>
      <c r="J30">
        <v>7.0997688840000004</v>
      </c>
      <c r="K30">
        <v>8.5940779104999994</v>
      </c>
      <c r="L30">
        <v>10.979308404699999</v>
      </c>
      <c r="M30">
        <v>12.438764411699999</v>
      </c>
      <c r="N30">
        <v>12.812949552999999</v>
      </c>
      <c r="O30">
        <v>13.3401152725</v>
      </c>
      <c r="P30">
        <v>14.354213233899999</v>
      </c>
      <c r="Q30">
        <v>13.5764467598</v>
      </c>
      <c r="R30">
        <v>14.287526937000001</v>
      </c>
      <c r="S30">
        <v>13.9924390502</v>
      </c>
      <c r="T30">
        <v>14.656182295900001</v>
      </c>
      <c r="U30">
        <v>13.7329429478</v>
      </c>
      <c r="V30">
        <v>12.1155805639</v>
      </c>
      <c r="W30">
        <v>11.1886319152</v>
      </c>
      <c r="X30">
        <v>10.8828872281</v>
      </c>
      <c r="Y30">
        <v>10.8451762325</v>
      </c>
      <c r="Z30">
        <v>10.3253176416</v>
      </c>
      <c r="AA30">
        <v>9.0300187141000006</v>
      </c>
      <c r="AB30">
        <v>9.6359621026000006</v>
      </c>
      <c r="AC30">
        <v>11.006455365783337</v>
      </c>
      <c r="AD30">
        <f t="shared" si="0"/>
        <v>10.931097816399999</v>
      </c>
    </row>
    <row r="31" spans="1:30" x14ac:dyDescent="0.25">
      <c r="A31" t="s">
        <v>112</v>
      </c>
      <c r="B31" t="s">
        <v>126</v>
      </c>
      <c r="C31">
        <v>115</v>
      </c>
      <c r="D31" t="s">
        <v>4</v>
      </c>
      <c r="E31">
        <v>0.50074631999999997</v>
      </c>
      <c r="F31">
        <v>0.48445252500000002</v>
      </c>
      <c r="G31">
        <v>0.46199848339999999</v>
      </c>
      <c r="H31">
        <v>0.44423141840000002</v>
      </c>
      <c r="I31">
        <v>0.4610603834</v>
      </c>
      <c r="J31">
        <v>0.48042611839999999</v>
      </c>
      <c r="K31">
        <v>0.51243790499999997</v>
      </c>
      <c r="L31">
        <v>0.55643731500000004</v>
      </c>
      <c r="M31">
        <v>0.61503648</v>
      </c>
      <c r="N31">
        <v>0.657700065</v>
      </c>
      <c r="O31">
        <v>0.68125305000000003</v>
      </c>
      <c r="P31">
        <v>0.71935041</v>
      </c>
      <c r="Q31">
        <v>0.72139411499999995</v>
      </c>
      <c r="R31">
        <v>0.73339142999999996</v>
      </c>
      <c r="S31">
        <v>0.74349816000000002</v>
      </c>
      <c r="T31">
        <v>0.75819804000000002</v>
      </c>
      <c r="U31">
        <v>0.73475807999999998</v>
      </c>
      <c r="V31">
        <v>0.69805036499999995</v>
      </c>
      <c r="W31">
        <v>0.72389400000000004</v>
      </c>
      <c r="X31">
        <v>0.69465030000000005</v>
      </c>
      <c r="Y31">
        <v>0.68444099999999997</v>
      </c>
      <c r="Z31">
        <v>0.63292866000000003</v>
      </c>
      <c r="AA31">
        <v>0.57528513000000003</v>
      </c>
      <c r="AB31">
        <v>0.53834031000000004</v>
      </c>
      <c r="AC31">
        <v>0.61724833598333328</v>
      </c>
      <c r="AD31">
        <f t="shared" si="0"/>
        <v>0.64531436249999996</v>
      </c>
    </row>
    <row r="32" spans="1:30" x14ac:dyDescent="0.25">
      <c r="A32" t="s">
        <v>112</v>
      </c>
      <c r="B32" t="s">
        <v>127</v>
      </c>
      <c r="C32">
        <v>115</v>
      </c>
      <c r="D32" t="s">
        <v>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f t="shared" si="0"/>
        <v>0</v>
      </c>
    </row>
    <row r="33" spans="1:30" x14ac:dyDescent="0.25">
      <c r="A33" t="s">
        <v>112</v>
      </c>
      <c r="B33" t="s">
        <v>127</v>
      </c>
      <c r="C33">
        <v>115</v>
      </c>
      <c r="D33" t="s">
        <v>3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f t="shared" si="0"/>
        <v>0</v>
      </c>
    </row>
    <row r="34" spans="1:30" x14ac:dyDescent="0.25">
      <c r="A34" t="s">
        <v>112</v>
      </c>
      <c r="B34" t="s">
        <v>127</v>
      </c>
      <c r="C34">
        <v>115</v>
      </c>
      <c r="D34" t="s">
        <v>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f t="shared" si="0"/>
        <v>0</v>
      </c>
    </row>
    <row r="35" spans="1:30" x14ac:dyDescent="0.25">
      <c r="A35" t="s">
        <v>112</v>
      </c>
      <c r="B35" t="s">
        <v>129</v>
      </c>
      <c r="C35">
        <v>115</v>
      </c>
      <c r="D35" t="s">
        <v>2</v>
      </c>
      <c r="E35">
        <v>4.4002845900000001</v>
      </c>
      <c r="F35">
        <v>4.2562884250000002</v>
      </c>
      <c r="G35">
        <v>4.1056779849999998</v>
      </c>
      <c r="H35">
        <v>3.9920779350000002</v>
      </c>
      <c r="I35">
        <v>4.2907584999999999</v>
      </c>
      <c r="J35">
        <v>4.6911087949999999</v>
      </c>
      <c r="K35">
        <v>5.2065208800000002</v>
      </c>
      <c r="L35">
        <v>5.2315487449999996</v>
      </c>
      <c r="M35">
        <v>5.4541646549999996</v>
      </c>
      <c r="N35">
        <v>5.8403457249999997</v>
      </c>
      <c r="O35">
        <v>6.0661362900000002</v>
      </c>
      <c r="P35">
        <v>6.44062935</v>
      </c>
      <c r="Q35">
        <v>6.4567281899999998</v>
      </c>
      <c r="R35">
        <v>6.3557184099999997</v>
      </c>
      <c r="S35">
        <v>6.2870599699999996</v>
      </c>
      <c r="T35">
        <v>6.4113630300000004</v>
      </c>
      <c r="U35">
        <v>6.3627247149999997</v>
      </c>
      <c r="V35">
        <v>6.4125391199999999</v>
      </c>
      <c r="W35">
        <v>7.0202920000000004</v>
      </c>
      <c r="X35">
        <v>6.8940248500000001</v>
      </c>
      <c r="Y35">
        <v>6.5336034999999999</v>
      </c>
      <c r="Z35">
        <v>5.8482217849999998</v>
      </c>
      <c r="AA35">
        <v>5.2007822700000004</v>
      </c>
      <c r="AB35">
        <v>4.7244687750000001</v>
      </c>
      <c r="AC35">
        <v>5.6034611870833322</v>
      </c>
      <c r="AD35">
        <f t="shared" si="0"/>
        <v>5.8442837549999993</v>
      </c>
    </row>
    <row r="36" spans="1:30" x14ac:dyDescent="0.25">
      <c r="A36" t="s">
        <v>112</v>
      </c>
      <c r="B36" t="s">
        <v>129</v>
      </c>
      <c r="C36">
        <v>115</v>
      </c>
      <c r="D36" t="s">
        <v>3</v>
      </c>
      <c r="E36">
        <v>1.4987294917</v>
      </c>
      <c r="F36">
        <v>1.5504672558000001</v>
      </c>
      <c r="G36">
        <v>1.5199325776999999</v>
      </c>
      <c r="H36">
        <v>1.4817966170000001</v>
      </c>
      <c r="I36">
        <v>1.5416291021999999</v>
      </c>
      <c r="J36">
        <v>1.4587072985</v>
      </c>
      <c r="K36">
        <v>1.4042402198999999</v>
      </c>
      <c r="L36">
        <v>1.1106212100999999</v>
      </c>
      <c r="M36">
        <v>0.84173102749999995</v>
      </c>
      <c r="N36">
        <v>0.70958254669999998</v>
      </c>
      <c r="O36">
        <v>0.6618835112</v>
      </c>
      <c r="P36">
        <v>1.2942837497999999</v>
      </c>
      <c r="Q36">
        <v>1.7307655367999999</v>
      </c>
      <c r="R36">
        <v>1.7298407581999999</v>
      </c>
      <c r="S36">
        <v>1.7214149245999999</v>
      </c>
      <c r="T36">
        <v>1.3448707829</v>
      </c>
      <c r="U36">
        <v>1.7576177887</v>
      </c>
      <c r="V36">
        <v>1.6975770080000001</v>
      </c>
      <c r="W36">
        <v>1.5731623209000001</v>
      </c>
      <c r="X36">
        <v>1.5481754489999999</v>
      </c>
      <c r="Y36">
        <v>1.5348230812000001</v>
      </c>
      <c r="Z36">
        <v>1.4554460145000001</v>
      </c>
      <c r="AA36">
        <v>1.4282180649</v>
      </c>
      <c r="AB36">
        <v>1.3447057338999999</v>
      </c>
      <c r="AC36">
        <v>1.4141759196541663</v>
      </c>
      <c r="AD36">
        <f t="shared" si="0"/>
        <v>1.4902630543500002</v>
      </c>
    </row>
    <row r="37" spans="1:30" x14ac:dyDescent="0.25">
      <c r="A37" t="s">
        <v>112</v>
      </c>
      <c r="B37" t="s">
        <v>129</v>
      </c>
      <c r="C37">
        <v>115</v>
      </c>
      <c r="D37" t="s">
        <v>4</v>
      </c>
      <c r="E37">
        <v>6.7009410000000005E-2</v>
      </c>
      <c r="F37">
        <v>6.4816575000000001E-2</v>
      </c>
      <c r="G37">
        <v>6.2523015000000001E-2</v>
      </c>
      <c r="H37">
        <v>6.0793065E-2</v>
      </c>
      <c r="I37">
        <v>6.5341499999999997E-2</v>
      </c>
      <c r="J37">
        <v>7.1438205000000005E-2</v>
      </c>
      <c r="K37">
        <v>7.9287120000000003E-2</v>
      </c>
      <c r="L37">
        <v>7.9668254999999993E-2</v>
      </c>
      <c r="M37">
        <v>8.3058345000000006E-2</v>
      </c>
      <c r="N37">
        <v>8.8939274999999998E-2</v>
      </c>
      <c r="O37">
        <v>9.2377710000000002E-2</v>
      </c>
      <c r="P37">
        <v>9.8080650000000005E-2</v>
      </c>
      <c r="Q37">
        <v>9.832581E-2</v>
      </c>
      <c r="R37">
        <v>9.6787590000000007E-2</v>
      </c>
      <c r="S37">
        <v>9.5742030000000006E-2</v>
      </c>
      <c r="T37">
        <v>9.7634970000000001E-2</v>
      </c>
      <c r="U37">
        <v>9.6894284999999997E-2</v>
      </c>
      <c r="V37">
        <v>9.7652879999999997E-2</v>
      </c>
      <c r="W37">
        <v>0.106908</v>
      </c>
      <c r="X37">
        <v>0.10498515</v>
      </c>
      <c r="Y37">
        <v>9.9496500000000002E-2</v>
      </c>
      <c r="Z37">
        <v>8.9059214999999997E-2</v>
      </c>
      <c r="AA37">
        <v>7.9199729999999996E-2</v>
      </c>
      <c r="AB37">
        <v>7.1946225000000003E-2</v>
      </c>
      <c r="AC37">
        <v>8.5331896249999997E-2</v>
      </c>
      <c r="AD37">
        <f t="shared" si="0"/>
        <v>8.8999245000000005E-2</v>
      </c>
    </row>
    <row r="38" spans="1:30" x14ac:dyDescent="0.25">
      <c r="A38" t="s">
        <v>112</v>
      </c>
      <c r="B38" t="s">
        <v>130</v>
      </c>
      <c r="C38">
        <v>115</v>
      </c>
      <c r="D38" t="s">
        <v>2</v>
      </c>
      <c r="E38">
        <v>24.880373070000001</v>
      </c>
      <c r="F38">
        <v>23.792842449999998</v>
      </c>
      <c r="G38">
        <v>22.705249774999999</v>
      </c>
      <c r="H38">
        <v>21.91814711</v>
      </c>
      <c r="I38">
        <v>22.730227405000001</v>
      </c>
      <c r="J38">
        <v>24.660818540000001</v>
      </c>
      <c r="K38">
        <v>26.719089315000002</v>
      </c>
      <c r="L38">
        <v>29.153667519999999</v>
      </c>
      <c r="M38">
        <v>32.801660329999997</v>
      </c>
      <c r="N38">
        <v>35.316009745000002</v>
      </c>
      <c r="O38">
        <v>37.074627759999998</v>
      </c>
      <c r="P38">
        <v>39.116813485000002</v>
      </c>
      <c r="Q38">
        <v>38.976588884999998</v>
      </c>
      <c r="R38">
        <v>39.080645269999998</v>
      </c>
      <c r="S38">
        <v>39.532931660000003</v>
      </c>
      <c r="T38">
        <v>40.314546890000003</v>
      </c>
      <c r="U38">
        <v>38.337114079999999</v>
      </c>
      <c r="V38">
        <v>35.773388584999999</v>
      </c>
      <c r="W38">
        <v>37.796538200000001</v>
      </c>
      <c r="X38">
        <v>36.840122899999997</v>
      </c>
      <c r="Y38">
        <v>35.879166750000003</v>
      </c>
      <c r="Z38">
        <v>32.871920379999999</v>
      </c>
      <c r="AA38">
        <v>29.823745290000002</v>
      </c>
      <c r="AB38">
        <v>27.03976887</v>
      </c>
      <c r="AC38">
        <v>32.214000177708336</v>
      </c>
      <c r="AD38">
        <f t="shared" si="0"/>
        <v>34.093965062500004</v>
      </c>
    </row>
    <row r="39" spans="1:30" x14ac:dyDescent="0.25">
      <c r="A39" t="s">
        <v>112</v>
      </c>
      <c r="B39" t="s">
        <v>130</v>
      </c>
      <c r="C39">
        <v>115</v>
      </c>
      <c r="D39" t="s">
        <v>3</v>
      </c>
      <c r="E39">
        <v>8.3791098488000006</v>
      </c>
      <c r="F39">
        <v>8.3322118289000002</v>
      </c>
      <c r="G39">
        <v>8.0435263105000008</v>
      </c>
      <c r="H39">
        <v>7.8089302600000003</v>
      </c>
      <c r="I39">
        <v>7.5833930957</v>
      </c>
      <c r="J39">
        <v>7.4473551355999996</v>
      </c>
      <c r="K39">
        <v>8.0991483601999992</v>
      </c>
      <c r="L39">
        <v>8.9680810762000007</v>
      </c>
      <c r="M39">
        <v>10.1997253574</v>
      </c>
      <c r="N39">
        <v>11.4946309145</v>
      </c>
      <c r="O39">
        <v>12.329957521800001</v>
      </c>
      <c r="P39">
        <v>12.967784871299999</v>
      </c>
      <c r="Q39">
        <v>12.9212984046</v>
      </c>
      <c r="R39">
        <v>13.3243245504</v>
      </c>
      <c r="S39">
        <v>13.5604058489</v>
      </c>
      <c r="T39">
        <v>13.6611704717</v>
      </c>
      <c r="U39">
        <v>12.857441962699999</v>
      </c>
      <c r="V39">
        <v>12.1223329421</v>
      </c>
      <c r="W39">
        <v>11.527937271900001</v>
      </c>
      <c r="X39">
        <v>10.6878132998</v>
      </c>
      <c r="Y39">
        <v>10.2545729935</v>
      </c>
      <c r="Z39">
        <v>9.6003756635999995</v>
      </c>
      <c r="AA39">
        <v>8.9839794373000004</v>
      </c>
      <c r="AB39">
        <v>8.4280132531999996</v>
      </c>
      <c r="AC39">
        <v>10.399313361691666</v>
      </c>
      <c r="AD39">
        <f t="shared" si="0"/>
        <v>10.22714917545</v>
      </c>
    </row>
    <row r="40" spans="1:30" x14ac:dyDescent="0.25">
      <c r="A40" t="s">
        <v>112</v>
      </c>
      <c r="B40" t="s">
        <v>130</v>
      </c>
      <c r="C40">
        <v>115</v>
      </c>
      <c r="D40" t="s">
        <v>4</v>
      </c>
      <c r="E40">
        <v>0.37888893000000001</v>
      </c>
      <c r="F40">
        <v>0.36232755</v>
      </c>
      <c r="G40">
        <v>0.34576522500000001</v>
      </c>
      <c r="H40">
        <v>0.33377888999999999</v>
      </c>
      <c r="I40">
        <v>0.34614559499999997</v>
      </c>
      <c r="J40">
        <v>0.37554546</v>
      </c>
      <c r="K40">
        <v>0.406889685</v>
      </c>
      <c r="L40">
        <v>0.44396447999999999</v>
      </c>
      <c r="M40">
        <v>0.49951767000000002</v>
      </c>
      <c r="N40">
        <v>0.53780725500000004</v>
      </c>
      <c r="O40">
        <v>0.56458823999999996</v>
      </c>
      <c r="P40">
        <v>0.59568751499999995</v>
      </c>
      <c r="Q40">
        <v>0.59355211500000005</v>
      </c>
      <c r="R40">
        <v>0.59513673</v>
      </c>
      <c r="S40">
        <v>0.60202434000000005</v>
      </c>
      <c r="T40">
        <v>0.61392711</v>
      </c>
      <c r="U40">
        <v>0.58381391999999999</v>
      </c>
      <c r="V40">
        <v>0.54477241499999995</v>
      </c>
      <c r="W40">
        <v>0.57558180000000003</v>
      </c>
      <c r="X40">
        <v>0.56101710000000005</v>
      </c>
      <c r="Y40">
        <v>0.54638324999999999</v>
      </c>
      <c r="Z40">
        <v>0.50058762000000001</v>
      </c>
      <c r="AA40">
        <v>0.45416870999999998</v>
      </c>
      <c r="AB40">
        <v>0.41177312999999999</v>
      </c>
      <c r="AC40">
        <v>0.490568530625</v>
      </c>
      <c r="AD40">
        <f t="shared" si="0"/>
        <v>0.51919743750000003</v>
      </c>
    </row>
    <row r="41" spans="1:30" x14ac:dyDescent="0.25">
      <c r="A41" t="s">
        <v>112</v>
      </c>
      <c r="B41" t="s">
        <v>131</v>
      </c>
      <c r="C41">
        <v>115</v>
      </c>
      <c r="D41" t="s">
        <v>2</v>
      </c>
      <c r="E41">
        <v>26.59336884</v>
      </c>
      <c r="F41">
        <v>25.221877495000001</v>
      </c>
      <c r="G41">
        <v>24.145383800000001</v>
      </c>
      <c r="H41">
        <v>23.04103332</v>
      </c>
      <c r="I41">
        <v>23.801987189999998</v>
      </c>
      <c r="J41">
        <v>25.216189119999999</v>
      </c>
      <c r="K41">
        <v>28.112733309999999</v>
      </c>
      <c r="L41">
        <v>33.299081389999998</v>
      </c>
      <c r="M41">
        <v>39.482627710000003</v>
      </c>
      <c r="N41">
        <v>43.435514464999997</v>
      </c>
      <c r="O41">
        <v>46.108328710000002</v>
      </c>
      <c r="P41">
        <v>49.129504949999998</v>
      </c>
      <c r="Q41">
        <v>48.637453125</v>
      </c>
      <c r="R41">
        <v>49.185077665000001</v>
      </c>
      <c r="S41">
        <v>50.933300975000002</v>
      </c>
      <c r="T41">
        <v>51.940314739999998</v>
      </c>
      <c r="U41">
        <v>49.794965040000001</v>
      </c>
      <c r="V41">
        <v>44.864583985000003</v>
      </c>
      <c r="W41">
        <v>43.424670599999999</v>
      </c>
      <c r="X41">
        <v>40.000121100000001</v>
      </c>
      <c r="Y41">
        <v>38.027353249999997</v>
      </c>
      <c r="Z41">
        <v>34.326293565</v>
      </c>
      <c r="AA41">
        <v>31.054893835000001</v>
      </c>
      <c r="AB41">
        <v>28.655120605</v>
      </c>
      <c r="AC41">
        <v>37.434657449375003</v>
      </c>
      <c r="AD41">
        <f t="shared" si="0"/>
        <v>38.754990480000004</v>
      </c>
    </row>
    <row r="42" spans="1:30" x14ac:dyDescent="0.25">
      <c r="A42" t="s">
        <v>112</v>
      </c>
      <c r="B42" t="s">
        <v>131</v>
      </c>
      <c r="C42">
        <v>115</v>
      </c>
      <c r="D42" t="s">
        <v>3</v>
      </c>
      <c r="E42">
        <v>8.0710447286000004</v>
      </c>
      <c r="F42">
        <v>7.8706908717999999</v>
      </c>
      <c r="G42">
        <v>7.6497533986999997</v>
      </c>
      <c r="H42">
        <v>7.3082635844999997</v>
      </c>
      <c r="I42">
        <v>7.4451239888999998</v>
      </c>
      <c r="J42">
        <v>7.364488766</v>
      </c>
      <c r="K42">
        <v>8.5215927535000002</v>
      </c>
      <c r="L42">
        <v>10.489045640800001</v>
      </c>
      <c r="M42">
        <v>12.694909984200001</v>
      </c>
      <c r="N42">
        <v>14.1683793862</v>
      </c>
      <c r="O42">
        <v>15.1550747596</v>
      </c>
      <c r="P42">
        <v>16.1131930098</v>
      </c>
      <c r="Q42">
        <v>16.2267151862</v>
      </c>
      <c r="R42">
        <v>16.340229676900002</v>
      </c>
      <c r="S42">
        <v>16.686682359799999</v>
      </c>
      <c r="T42">
        <v>16.868349445500002</v>
      </c>
      <c r="U42">
        <v>16.118089743599999</v>
      </c>
      <c r="V42">
        <v>13.9507095164</v>
      </c>
      <c r="W42">
        <v>12.4452918942</v>
      </c>
      <c r="X42">
        <v>11.000908324999999</v>
      </c>
      <c r="Y42">
        <v>10.114507694</v>
      </c>
      <c r="Z42">
        <v>9.0006711965000008</v>
      </c>
      <c r="AA42">
        <v>8.4522342927</v>
      </c>
      <c r="AB42">
        <v>8.1898787652999996</v>
      </c>
      <c r="AC42">
        <v>11.593576207029166</v>
      </c>
      <c r="AD42">
        <f t="shared" si="0"/>
        <v>10.744976982899999</v>
      </c>
    </row>
    <row r="43" spans="1:30" x14ac:dyDescent="0.25">
      <c r="A43" t="s">
        <v>112</v>
      </c>
      <c r="B43" t="s">
        <v>131</v>
      </c>
      <c r="C43">
        <v>115</v>
      </c>
      <c r="D43" t="s">
        <v>4</v>
      </c>
      <c r="E43">
        <v>0.40497516</v>
      </c>
      <c r="F43">
        <v>0.384089505</v>
      </c>
      <c r="G43">
        <v>0.36769619999999997</v>
      </c>
      <c r="H43">
        <v>0.35087868</v>
      </c>
      <c r="I43">
        <v>0.36246680999999997</v>
      </c>
      <c r="J43">
        <v>0.38400287999999999</v>
      </c>
      <c r="K43">
        <v>0.42811269000000002</v>
      </c>
      <c r="L43">
        <v>0.50709261000000005</v>
      </c>
      <c r="M43">
        <v>0.60125828999999997</v>
      </c>
      <c r="N43">
        <v>0.66145453499999995</v>
      </c>
      <c r="O43">
        <v>0.70215729000000005</v>
      </c>
      <c r="P43">
        <v>0.74816505</v>
      </c>
      <c r="Q43">
        <v>0.74067187499999998</v>
      </c>
      <c r="R43">
        <v>0.74901133499999994</v>
      </c>
      <c r="S43">
        <v>0.775634025</v>
      </c>
      <c r="T43">
        <v>0.79096926000000001</v>
      </c>
      <c r="U43">
        <v>0.75829895999999997</v>
      </c>
      <c r="V43">
        <v>0.68321701499999998</v>
      </c>
      <c r="W43">
        <v>0.66128940000000003</v>
      </c>
      <c r="X43">
        <v>0.60913890000000004</v>
      </c>
      <c r="Y43">
        <v>0.57909675000000005</v>
      </c>
      <c r="Z43">
        <v>0.52273543499999997</v>
      </c>
      <c r="AA43">
        <v>0.47291716499999997</v>
      </c>
      <c r="AB43">
        <v>0.43637239500000002</v>
      </c>
      <c r="AC43">
        <v>0.57007092562499995</v>
      </c>
      <c r="AD43">
        <f t="shared" si="0"/>
        <v>0.59017752000000001</v>
      </c>
    </row>
    <row r="44" spans="1:30" x14ac:dyDescent="0.25">
      <c r="A44" t="s">
        <v>112</v>
      </c>
      <c r="B44" t="s">
        <v>132</v>
      </c>
      <c r="C44">
        <v>115</v>
      </c>
      <c r="D44" t="s">
        <v>2</v>
      </c>
      <c r="E44">
        <v>2.9108956400000001</v>
      </c>
      <c r="F44">
        <v>2.85806812</v>
      </c>
      <c r="G44">
        <v>2.8136298449999999</v>
      </c>
      <c r="H44">
        <v>2.73065443</v>
      </c>
      <c r="I44">
        <v>2.805925175</v>
      </c>
      <c r="J44">
        <v>2.820180095</v>
      </c>
      <c r="K44">
        <v>2.737662705</v>
      </c>
      <c r="L44">
        <v>3.0954836549999998</v>
      </c>
      <c r="M44">
        <v>3.2868110399999999</v>
      </c>
      <c r="N44">
        <v>3.363951315</v>
      </c>
      <c r="O44">
        <v>3.2352728850000001</v>
      </c>
      <c r="P44">
        <v>3.5174812950000001</v>
      </c>
      <c r="Q44">
        <v>3.3555600999999999</v>
      </c>
      <c r="R44">
        <v>3.3701794700000001</v>
      </c>
      <c r="S44">
        <v>3.4962791700000002</v>
      </c>
      <c r="T44">
        <v>3.5654054849999999</v>
      </c>
      <c r="U44">
        <v>3.4317902349999998</v>
      </c>
      <c r="V44">
        <v>3.39180416</v>
      </c>
      <c r="W44">
        <v>3.8849581999999998</v>
      </c>
      <c r="X44">
        <v>4.0864005499999996</v>
      </c>
      <c r="Y44">
        <v>4.0014147500000004</v>
      </c>
      <c r="Z44">
        <v>3.5539982000000001</v>
      </c>
      <c r="AA44">
        <v>3.1691537749999998</v>
      </c>
      <c r="AB44">
        <v>2.983189715</v>
      </c>
      <c r="AC44">
        <v>3.2694229170833329</v>
      </c>
      <c r="AD44">
        <f t="shared" si="0"/>
        <v>3.3211855699999999</v>
      </c>
    </row>
    <row r="45" spans="1:30" x14ac:dyDescent="0.25">
      <c r="A45" t="s">
        <v>112</v>
      </c>
      <c r="B45" t="s">
        <v>132</v>
      </c>
      <c r="C45">
        <v>115</v>
      </c>
      <c r="D45" t="s">
        <v>3</v>
      </c>
      <c r="E45">
        <v>1.3372429993999999</v>
      </c>
      <c r="F45">
        <v>1.3121451802999999</v>
      </c>
      <c r="G45">
        <v>1.2909268564</v>
      </c>
      <c r="H45">
        <v>1.2520639746</v>
      </c>
      <c r="I45">
        <v>1.2857623609</v>
      </c>
      <c r="J45">
        <v>1.2914751466000001</v>
      </c>
      <c r="K45">
        <v>1.2576611255000001</v>
      </c>
      <c r="L45">
        <v>1.4211431596999999</v>
      </c>
      <c r="M45">
        <v>1.5080280197</v>
      </c>
      <c r="N45">
        <v>1.5424442608</v>
      </c>
      <c r="O45">
        <v>1.4825028621</v>
      </c>
      <c r="P45">
        <v>1.6107977215</v>
      </c>
      <c r="Q45">
        <v>1.535672334</v>
      </c>
      <c r="R45">
        <v>1.5413832551</v>
      </c>
      <c r="S45">
        <v>1.5980395382999999</v>
      </c>
      <c r="T45">
        <v>1.6223691735000001</v>
      </c>
      <c r="U45">
        <v>1.5243449406</v>
      </c>
      <c r="V45">
        <v>1.5728953698000001</v>
      </c>
      <c r="W45">
        <v>1.8116729073</v>
      </c>
      <c r="X45">
        <v>1.8078732003</v>
      </c>
      <c r="Y45">
        <v>1.6436821334</v>
      </c>
      <c r="Z45">
        <v>1.4827505582</v>
      </c>
      <c r="AA45">
        <v>1.3567325720000001</v>
      </c>
      <c r="AB45">
        <v>1.3469903998999999</v>
      </c>
      <c r="AC45">
        <v>1.4765250020791667</v>
      </c>
      <c r="AD45">
        <f t="shared" si="0"/>
        <v>1.49538928895</v>
      </c>
    </row>
    <row r="46" spans="1:30" x14ac:dyDescent="0.25">
      <c r="A46" t="s">
        <v>112</v>
      </c>
      <c r="B46" t="s">
        <v>132</v>
      </c>
      <c r="C46">
        <v>115</v>
      </c>
      <c r="D46" t="s">
        <v>4</v>
      </c>
      <c r="E46">
        <v>4.4328359999999997E-2</v>
      </c>
      <c r="F46">
        <v>4.3523880000000001E-2</v>
      </c>
      <c r="G46">
        <v>4.2847154999999998E-2</v>
      </c>
      <c r="H46">
        <v>4.158357E-2</v>
      </c>
      <c r="I46">
        <v>4.2729824999999999E-2</v>
      </c>
      <c r="J46">
        <v>4.2946905E-2</v>
      </c>
      <c r="K46">
        <v>4.1690295000000002E-2</v>
      </c>
      <c r="L46">
        <v>4.7139344999999999E-2</v>
      </c>
      <c r="M46">
        <v>5.0052960000000001E-2</v>
      </c>
      <c r="N46">
        <v>5.1227685000000002E-2</v>
      </c>
      <c r="O46">
        <v>4.9268115000000001E-2</v>
      </c>
      <c r="P46">
        <v>5.3565704999999998E-2</v>
      </c>
      <c r="Q46">
        <v>5.1099899999999997E-2</v>
      </c>
      <c r="R46">
        <v>5.1322529999999998E-2</v>
      </c>
      <c r="S46">
        <v>5.3242829999999998E-2</v>
      </c>
      <c r="T46">
        <v>5.4295515000000003E-2</v>
      </c>
      <c r="U46">
        <v>5.2260765000000001E-2</v>
      </c>
      <c r="V46">
        <v>5.1651839999999997E-2</v>
      </c>
      <c r="W46">
        <v>5.91618E-2</v>
      </c>
      <c r="X46">
        <v>6.2229449999999999E-2</v>
      </c>
      <c r="Y46">
        <v>6.0935250000000003E-2</v>
      </c>
      <c r="Z46">
        <v>5.4121799999999998E-2</v>
      </c>
      <c r="AA46">
        <v>4.8261224999999998E-2</v>
      </c>
      <c r="AB46">
        <v>4.5429285E-2</v>
      </c>
      <c r="AC46">
        <v>4.9788166250000009E-2</v>
      </c>
      <c r="AD46">
        <f t="shared" si="0"/>
        <v>5.0576429999999999E-2</v>
      </c>
    </row>
    <row r="47" spans="1:30" x14ac:dyDescent="0.25">
      <c r="A47" t="s">
        <v>112</v>
      </c>
      <c r="B47" t="s">
        <v>133</v>
      </c>
      <c r="C47">
        <v>115</v>
      </c>
      <c r="D47" t="s">
        <v>2</v>
      </c>
      <c r="E47">
        <v>7.9181155600000004</v>
      </c>
      <c r="F47">
        <v>7.9848729499999997</v>
      </c>
      <c r="G47">
        <v>7.6634378999999999</v>
      </c>
      <c r="H47">
        <v>7.5685420150000002</v>
      </c>
      <c r="I47">
        <v>7.7404836149999996</v>
      </c>
      <c r="J47">
        <v>7.818515315</v>
      </c>
      <c r="K47">
        <v>8.0144859900000007</v>
      </c>
      <c r="L47">
        <v>9.8883519599999996</v>
      </c>
      <c r="M47">
        <v>11.24569969</v>
      </c>
      <c r="N47">
        <v>11.850532045</v>
      </c>
      <c r="O47">
        <v>12.251886055</v>
      </c>
      <c r="P47">
        <v>12.014016435</v>
      </c>
      <c r="Q47">
        <v>12.19267672</v>
      </c>
      <c r="R47">
        <v>12.253531990000001</v>
      </c>
      <c r="S47">
        <v>11.906080135</v>
      </c>
      <c r="T47">
        <v>12.14147839</v>
      </c>
      <c r="U47">
        <v>12.40391194</v>
      </c>
      <c r="V47">
        <v>12.07714213</v>
      </c>
      <c r="W47">
        <v>11.7619638</v>
      </c>
      <c r="X47">
        <v>11.6510725</v>
      </c>
      <c r="Y47">
        <v>11.853982500000001</v>
      </c>
      <c r="Z47">
        <v>10.91804535</v>
      </c>
      <c r="AA47">
        <v>9.6759820199999993</v>
      </c>
      <c r="AB47">
        <v>8.1722888999999999</v>
      </c>
      <c r="AC47">
        <v>10.373628996041665</v>
      </c>
      <c r="AD47">
        <f t="shared" si="0"/>
        <v>11.448386095</v>
      </c>
    </row>
    <row r="48" spans="1:30" x14ac:dyDescent="0.25">
      <c r="A48" t="s">
        <v>112</v>
      </c>
      <c r="B48" t="s">
        <v>133</v>
      </c>
      <c r="C48">
        <v>115</v>
      </c>
      <c r="D48" t="s">
        <v>3</v>
      </c>
      <c r="E48">
        <v>2.5630080689999999</v>
      </c>
      <c r="F48">
        <v>2.5616272563</v>
      </c>
      <c r="G48">
        <v>2.4195478403999999</v>
      </c>
      <c r="H48">
        <v>2.4849727000000001</v>
      </c>
      <c r="I48">
        <v>2.4636058398</v>
      </c>
      <c r="J48">
        <v>2.4627935832999999</v>
      </c>
      <c r="K48">
        <v>2.5127744367</v>
      </c>
      <c r="L48">
        <v>3.1220114187000001</v>
      </c>
      <c r="M48">
        <v>4.0291979875999999</v>
      </c>
      <c r="N48">
        <v>3.9619611709</v>
      </c>
      <c r="O48">
        <v>3.9964847190000001</v>
      </c>
      <c r="P48">
        <v>3.6687720259000001</v>
      </c>
      <c r="Q48">
        <v>3.3828245297000001</v>
      </c>
      <c r="R48">
        <v>3.6493191773000002</v>
      </c>
      <c r="S48">
        <v>3.5185144618000002</v>
      </c>
      <c r="T48">
        <v>3.6712027428999998</v>
      </c>
      <c r="U48">
        <v>4.2204563812</v>
      </c>
      <c r="V48">
        <v>4.1050874471999999</v>
      </c>
      <c r="W48">
        <v>3.2822340495</v>
      </c>
      <c r="X48">
        <v>3.2090231039999999</v>
      </c>
      <c r="Y48">
        <v>3.4574115615999998</v>
      </c>
      <c r="Z48">
        <v>3.0816049962999998</v>
      </c>
      <c r="AA48">
        <v>2.4878169014</v>
      </c>
      <c r="AB48">
        <v>2.5742305097</v>
      </c>
      <c r="AC48">
        <v>3.2036034545916667</v>
      </c>
      <c r="AD48">
        <f t="shared" si="0"/>
        <v>3.2456285767499997</v>
      </c>
    </row>
    <row r="49" spans="1:30" x14ac:dyDescent="0.25">
      <c r="A49" t="s">
        <v>112</v>
      </c>
      <c r="B49" t="s">
        <v>133</v>
      </c>
      <c r="C49">
        <v>115</v>
      </c>
      <c r="D49" t="s">
        <v>4</v>
      </c>
      <c r="E49">
        <v>0.12058044</v>
      </c>
      <c r="F49">
        <v>0.12159705</v>
      </c>
      <c r="G49">
        <v>0.1167021</v>
      </c>
      <c r="H49">
        <v>0.11525698500000001</v>
      </c>
      <c r="I49">
        <v>0.117875385</v>
      </c>
      <c r="J49">
        <v>0.119063685</v>
      </c>
      <c r="K49">
        <v>0.12204801</v>
      </c>
      <c r="L49">
        <v>0.15058404</v>
      </c>
      <c r="M49">
        <v>0.17125430999999999</v>
      </c>
      <c r="N49">
        <v>0.18046495500000001</v>
      </c>
      <c r="O49">
        <v>0.18657694499999999</v>
      </c>
      <c r="P49">
        <v>0.18295456500000001</v>
      </c>
      <c r="Q49">
        <v>0.18567528</v>
      </c>
      <c r="R49">
        <v>0.18660201000000001</v>
      </c>
      <c r="S49">
        <v>0.18131086499999999</v>
      </c>
      <c r="T49">
        <v>0.18489560999999999</v>
      </c>
      <c r="U49">
        <v>0.18889206</v>
      </c>
      <c r="V49">
        <v>0.18391587000000001</v>
      </c>
      <c r="W49">
        <v>0.1791162</v>
      </c>
      <c r="X49">
        <v>0.17742749999999999</v>
      </c>
      <c r="Y49">
        <v>0.1805175</v>
      </c>
      <c r="Z49">
        <v>0.16626465000000001</v>
      </c>
      <c r="AA49">
        <v>0.14734997999999999</v>
      </c>
      <c r="AB49">
        <v>0.1244511</v>
      </c>
      <c r="AC49">
        <v>0.157974045625</v>
      </c>
      <c r="AD49">
        <f t="shared" si="0"/>
        <v>0.17434090499999999</v>
      </c>
    </row>
    <row r="50" spans="1:30" x14ac:dyDescent="0.25">
      <c r="A50" t="s">
        <v>408</v>
      </c>
      <c r="B50" t="s">
        <v>409</v>
      </c>
      <c r="C50">
        <v>115</v>
      </c>
      <c r="D50" t="s">
        <v>2</v>
      </c>
      <c r="E50">
        <v>2.33175701</v>
      </c>
      <c r="F50">
        <v>2.1964101299999998</v>
      </c>
      <c r="G50">
        <v>2.1367861100000001</v>
      </c>
      <c r="H50">
        <v>2.0964966550000002</v>
      </c>
      <c r="I50">
        <v>2.1753173399999999</v>
      </c>
      <c r="J50">
        <v>2.28312362</v>
      </c>
      <c r="K50">
        <v>1.9935631700000001</v>
      </c>
      <c r="L50">
        <v>1.760418595</v>
      </c>
      <c r="M50">
        <v>1.702937935</v>
      </c>
      <c r="N50">
        <v>1.7326957700000001</v>
      </c>
      <c r="O50">
        <v>1.8770534299999999</v>
      </c>
      <c r="P50">
        <v>2.0675002249999999</v>
      </c>
      <c r="Q50">
        <v>2.1944115649999998</v>
      </c>
      <c r="R50">
        <v>2.228165545</v>
      </c>
      <c r="S50">
        <v>2.2413655299999999</v>
      </c>
      <c r="T50">
        <v>2.2830044350000001</v>
      </c>
      <c r="U50">
        <v>2.466464625</v>
      </c>
      <c r="V50">
        <v>2.7675643499999998</v>
      </c>
      <c r="W50">
        <v>3.3961233850000001</v>
      </c>
      <c r="X50">
        <v>3.7312420550000001</v>
      </c>
      <c r="Y50">
        <v>3.779331725</v>
      </c>
      <c r="Z50">
        <v>3.3944488850000001</v>
      </c>
      <c r="AA50">
        <v>3.1327865899999998</v>
      </c>
      <c r="AB50">
        <v>2.755512875</v>
      </c>
      <c r="AC50">
        <v>2.4468533981250005</v>
      </c>
      <c r="AD50">
        <f t="shared" si="0"/>
        <v>2.2347655375</v>
      </c>
    </row>
    <row r="51" spans="1:30" x14ac:dyDescent="0.25">
      <c r="A51" t="s">
        <v>408</v>
      </c>
      <c r="B51" t="s">
        <v>409</v>
      </c>
      <c r="C51">
        <v>115</v>
      </c>
      <c r="D51" t="s">
        <v>3</v>
      </c>
      <c r="E51">
        <v>0.82005708430000002</v>
      </c>
      <c r="F51">
        <v>0.79478371889999999</v>
      </c>
      <c r="G51">
        <v>0.77816950240000005</v>
      </c>
      <c r="H51">
        <v>0.73788612789999997</v>
      </c>
      <c r="I51">
        <v>0.72168584270000002</v>
      </c>
      <c r="J51">
        <v>0.7163284258</v>
      </c>
      <c r="K51">
        <v>0.77985510540000003</v>
      </c>
      <c r="L51">
        <v>0.75353925479999995</v>
      </c>
      <c r="M51">
        <v>0.76268248360000002</v>
      </c>
      <c r="N51">
        <v>0.80506081480000002</v>
      </c>
      <c r="O51">
        <v>0.8820195488</v>
      </c>
      <c r="P51">
        <v>0.94312472270000003</v>
      </c>
      <c r="Q51">
        <v>1.0089868182999999</v>
      </c>
      <c r="R51">
        <v>0.99994018060000001</v>
      </c>
      <c r="S51">
        <v>1.0321355052000001</v>
      </c>
      <c r="T51">
        <v>0.96876655270000001</v>
      </c>
      <c r="U51">
        <v>0.99148363080000002</v>
      </c>
      <c r="V51">
        <v>1.0510821493</v>
      </c>
      <c r="W51">
        <v>1.0346713568000001</v>
      </c>
      <c r="X51">
        <v>1.0311581996000001</v>
      </c>
      <c r="Y51">
        <v>0.98138304850000002</v>
      </c>
      <c r="Z51">
        <v>0.92747374540000005</v>
      </c>
      <c r="AA51">
        <v>0.87057033260000005</v>
      </c>
      <c r="AB51">
        <v>0.81188172589999996</v>
      </c>
      <c r="AC51">
        <v>0.88353024490833343</v>
      </c>
      <c r="AD51">
        <f t="shared" si="0"/>
        <v>0.87629494070000002</v>
      </c>
    </row>
    <row r="52" spans="1:30" x14ac:dyDescent="0.25">
      <c r="A52" t="s">
        <v>408</v>
      </c>
      <c r="B52" t="s">
        <v>409</v>
      </c>
      <c r="C52">
        <v>115</v>
      </c>
      <c r="D52" t="s">
        <v>4</v>
      </c>
      <c r="E52">
        <v>3.5508989999999997E-2</v>
      </c>
      <c r="F52">
        <v>3.3447869999999998E-2</v>
      </c>
      <c r="G52">
        <v>3.2539890000000002E-2</v>
      </c>
      <c r="H52">
        <v>3.1926345000000002E-2</v>
      </c>
      <c r="I52">
        <v>3.3126660000000002E-2</v>
      </c>
      <c r="J52">
        <v>3.4768380000000002E-2</v>
      </c>
      <c r="K52">
        <v>3.035883E-2</v>
      </c>
      <c r="L52">
        <v>2.6808405E-2</v>
      </c>
      <c r="M52">
        <v>2.5933065000000002E-2</v>
      </c>
      <c r="N52">
        <v>2.638623E-2</v>
      </c>
      <c r="O52">
        <v>2.858457E-2</v>
      </c>
      <c r="P52">
        <v>3.1484775E-2</v>
      </c>
      <c r="Q52">
        <v>3.3417435000000002E-2</v>
      </c>
      <c r="R52">
        <v>3.3931454999999999E-2</v>
      </c>
      <c r="S52">
        <v>3.4132469999999998E-2</v>
      </c>
      <c r="T52">
        <v>3.4766564999999999E-2</v>
      </c>
      <c r="U52">
        <v>3.7560375E-2</v>
      </c>
      <c r="V52">
        <v>4.214565E-2</v>
      </c>
      <c r="W52">
        <v>5.1717615000000002E-2</v>
      </c>
      <c r="X52">
        <v>5.6820944999999998E-2</v>
      </c>
      <c r="Y52">
        <v>5.7553275000000001E-2</v>
      </c>
      <c r="Z52">
        <v>5.1692114999999997E-2</v>
      </c>
      <c r="AA52">
        <v>4.7707409999999999E-2</v>
      </c>
      <c r="AB52">
        <v>4.1962125000000003E-2</v>
      </c>
      <c r="AC52">
        <v>3.7261726874999998E-2</v>
      </c>
      <c r="AD52">
        <f t="shared" si="0"/>
        <v>3.4031962499999999E-2</v>
      </c>
    </row>
    <row r="53" spans="1:30" x14ac:dyDescent="0.25">
      <c r="A53" t="s">
        <v>408</v>
      </c>
      <c r="B53" t="s">
        <v>410</v>
      </c>
      <c r="C53">
        <v>115</v>
      </c>
      <c r="D53" t="s">
        <v>2</v>
      </c>
      <c r="E53">
        <v>1.0196207799999999</v>
      </c>
      <c r="F53">
        <v>1.0105676450000001</v>
      </c>
      <c r="G53">
        <v>0.92353797999999998</v>
      </c>
      <c r="H53">
        <v>0.93861439000000002</v>
      </c>
      <c r="I53">
        <v>0.92529718999999999</v>
      </c>
      <c r="J53">
        <v>0.95936834000000004</v>
      </c>
      <c r="K53">
        <v>1.0568961349999999</v>
      </c>
      <c r="L53">
        <v>1.0770610549999999</v>
      </c>
      <c r="M53">
        <v>1.115324365</v>
      </c>
      <c r="N53">
        <v>1.1971355100000001</v>
      </c>
      <c r="O53">
        <v>1.3130424300000001</v>
      </c>
      <c r="P53">
        <v>1.3979651900000001</v>
      </c>
      <c r="Q53">
        <v>1.3781026649999999</v>
      </c>
      <c r="R53">
        <v>1.3508851449999999</v>
      </c>
      <c r="S53">
        <v>1.34285838</v>
      </c>
      <c r="T53">
        <v>1.3040996149999999</v>
      </c>
      <c r="U53">
        <v>1.31274102</v>
      </c>
      <c r="V53">
        <v>1.3227072499999999</v>
      </c>
      <c r="W53">
        <v>1.4831420799999999</v>
      </c>
      <c r="X53">
        <v>1.4503888599999999</v>
      </c>
      <c r="Y53">
        <v>1.3972077249999999</v>
      </c>
      <c r="Z53">
        <v>1.271186825</v>
      </c>
      <c r="AA53">
        <v>1.2183061150000001</v>
      </c>
      <c r="AB53">
        <v>1.13768091</v>
      </c>
      <c r="AC53">
        <v>1.2043224000000001</v>
      </c>
      <c r="AD53">
        <f t="shared" si="0"/>
        <v>1.2447464699999999</v>
      </c>
    </row>
    <row r="54" spans="1:30" x14ac:dyDescent="0.25">
      <c r="A54" t="s">
        <v>408</v>
      </c>
      <c r="B54" t="s">
        <v>410</v>
      </c>
      <c r="C54">
        <v>115</v>
      </c>
      <c r="D54" t="s">
        <v>3</v>
      </c>
      <c r="E54">
        <v>9.1201301000000002E-3</v>
      </c>
      <c r="F54">
        <v>0.43256893120000001</v>
      </c>
      <c r="G54">
        <v>5.8410837999999998E-3</v>
      </c>
      <c r="H54">
        <v>0.36924931109999998</v>
      </c>
      <c r="I54">
        <v>0.14236397880000001</v>
      </c>
      <c r="J54">
        <v>0.46876565640000001</v>
      </c>
      <c r="K54">
        <v>4.6344262099999999E-2</v>
      </c>
      <c r="L54">
        <v>4.8168114999999996E-3</v>
      </c>
      <c r="M54">
        <v>5.0660630200000001E-2</v>
      </c>
      <c r="N54">
        <v>0.1445387786</v>
      </c>
      <c r="O54">
        <v>1.6609628500000001E-2</v>
      </c>
      <c r="P54">
        <v>0.2411141822</v>
      </c>
      <c r="Q54">
        <v>0.44553281649999998</v>
      </c>
      <c r="R54">
        <v>0.36905064640000002</v>
      </c>
      <c r="S54">
        <v>1.69867922E-2</v>
      </c>
      <c r="T54">
        <v>0.42263729550000001</v>
      </c>
      <c r="U54">
        <v>0.33583273250000001</v>
      </c>
      <c r="V54">
        <v>8.3781075600000005E-2</v>
      </c>
      <c r="W54">
        <v>8.0781353400000006E-2</v>
      </c>
      <c r="X54">
        <v>2.6747216099999999E-2</v>
      </c>
      <c r="Y54">
        <v>0.14660758879999999</v>
      </c>
      <c r="Z54">
        <v>0.51994066559999996</v>
      </c>
      <c r="AA54">
        <v>8.49118497E-2</v>
      </c>
      <c r="AB54">
        <v>0.47703797339999998</v>
      </c>
      <c r="AC54">
        <v>0.20591005792499997</v>
      </c>
      <c r="AD54">
        <f t="shared" si="0"/>
        <v>0.14345137870000002</v>
      </c>
    </row>
    <row r="55" spans="1:30" x14ac:dyDescent="0.25">
      <c r="A55" t="s">
        <v>408</v>
      </c>
      <c r="B55" t="s">
        <v>410</v>
      </c>
      <c r="C55">
        <v>115</v>
      </c>
      <c r="D55" t="s">
        <v>4</v>
      </c>
      <c r="E55">
        <v>1.552722E-2</v>
      </c>
      <c r="F55">
        <v>1.5389355E-2</v>
      </c>
      <c r="G55">
        <v>1.40640301E-2</v>
      </c>
      <c r="H55">
        <v>1.42936201E-2</v>
      </c>
      <c r="I55">
        <v>1.40908201E-2</v>
      </c>
      <c r="J55">
        <v>1.46096701E-2</v>
      </c>
      <c r="K55">
        <v>1.6094865E-2</v>
      </c>
      <c r="L55">
        <v>1.6401945000000001E-2</v>
      </c>
      <c r="M55">
        <v>1.6984635000000001E-2</v>
      </c>
      <c r="N55">
        <v>1.8230489999999999E-2</v>
      </c>
      <c r="O55">
        <v>1.9995570000000001E-2</v>
      </c>
      <c r="P55">
        <v>2.1288809999999998E-2</v>
      </c>
      <c r="Q55">
        <v>2.0986334999999998E-2</v>
      </c>
      <c r="R55">
        <v>2.0571855E-2</v>
      </c>
      <c r="S55">
        <v>2.0449620000000002E-2</v>
      </c>
      <c r="T55">
        <v>1.9859385E-2</v>
      </c>
      <c r="U55">
        <v>1.9990979999999998E-2</v>
      </c>
      <c r="V55">
        <v>2.0142750000000001E-2</v>
      </c>
      <c r="W55">
        <v>2.2585919999999999E-2</v>
      </c>
      <c r="X55">
        <v>2.2087140000000002E-2</v>
      </c>
      <c r="Y55">
        <v>2.1277274999999998E-2</v>
      </c>
      <c r="Z55">
        <v>1.9358174999999998E-2</v>
      </c>
      <c r="AA55">
        <v>1.8552885000000002E-2</v>
      </c>
      <c r="AB55">
        <v>1.7325090000000001E-2</v>
      </c>
      <c r="AC55">
        <v>1.8339935016666663E-2</v>
      </c>
      <c r="AD55">
        <f t="shared" si="0"/>
        <v>1.8955529999999998E-2</v>
      </c>
    </row>
    <row r="56" spans="1:30" x14ac:dyDescent="0.25">
      <c r="A56" t="s">
        <v>408</v>
      </c>
      <c r="B56" t="s">
        <v>411</v>
      </c>
      <c r="C56">
        <v>115</v>
      </c>
      <c r="D56" t="s">
        <v>2</v>
      </c>
      <c r="E56">
        <v>0.53766914499999996</v>
      </c>
      <c r="F56">
        <v>0.54499458999999995</v>
      </c>
      <c r="G56">
        <v>0.54984768500000003</v>
      </c>
      <c r="H56">
        <v>0.55214076499999998</v>
      </c>
      <c r="I56">
        <v>0.55416789499999997</v>
      </c>
      <c r="J56">
        <v>0.58059741499999995</v>
      </c>
      <c r="K56">
        <v>0.55640778499999999</v>
      </c>
      <c r="L56">
        <v>0.52306356499999995</v>
      </c>
      <c r="M56">
        <v>0.50774386000000005</v>
      </c>
      <c r="N56">
        <v>0.50692040000000005</v>
      </c>
      <c r="O56">
        <v>0.53118489000000002</v>
      </c>
      <c r="P56">
        <v>0.56724475500000004</v>
      </c>
      <c r="Q56">
        <v>0.55558629500000001</v>
      </c>
      <c r="R56">
        <v>0.56578203000000005</v>
      </c>
      <c r="S56">
        <v>0.55544051500000002</v>
      </c>
      <c r="T56">
        <v>0.54088615510000004</v>
      </c>
      <c r="U56">
        <v>0.56163616500000002</v>
      </c>
      <c r="V56">
        <v>0.60027870000000005</v>
      </c>
      <c r="W56">
        <v>0.66218595000000002</v>
      </c>
      <c r="X56">
        <v>0.658912795</v>
      </c>
      <c r="Y56">
        <v>0.63752352000000001</v>
      </c>
      <c r="Z56">
        <v>0.60268801000000005</v>
      </c>
      <c r="AA56">
        <v>0.59437559500000003</v>
      </c>
      <c r="AB56">
        <v>0.56272360499999996</v>
      </c>
      <c r="AC56">
        <v>0.56708342021250013</v>
      </c>
      <c r="AD56">
        <f t="shared" si="0"/>
        <v>0.55599704000000005</v>
      </c>
    </row>
    <row r="57" spans="1:30" x14ac:dyDescent="0.25">
      <c r="A57" t="s">
        <v>408</v>
      </c>
      <c r="B57" t="s">
        <v>411</v>
      </c>
      <c r="C57">
        <v>115</v>
      </c>
      <c r="D57" t="s">
        <v>3</v>
      </c>
      <c r="E57">
        <v>0.13077860999999999</v>
      </c>
      <c r="F57">
        <v>0.1210757906</v>
      </c>
      <c r="G57">
        <v>0.11396072259999999</v>
      </c>
      <c r="H57">
        <v>0.1132960026</v>
      </c>
      <c r="I57">
        <v>0.1224418083</v>
      </c>
      <c r="J57">
        <v>0.13814795990000001</v>
      </c>
      <c r="K57">
        <v>0.1421039878</v>
      </c>
      <c r="L57">
        <v>0.13448623339999999</v>
      </c>
      <c r="M57">
        <v>0.1406674788</v>
      </c>
      <c r="N57">
        <v>0.12709054519999999</v>
      </c>
      <c r="O57">
        <v>0.13831642450000001</v>
      </c>
      <c r="P57">
        <v>0.14659704879999999</v>
      </c>
      <c r="Q57">
        <v>0.16668913660000001</v>
      </c>
      <c r="R57">
        <v>0.15163791260000001</v>
      </c>
      <c r="S57">
        <v>0.15376952599999999</v>
      </c>
      <c r="T57">
        <v>0.19471434900000001</v>
      </c>
      <c r="U57">
        <v>0.21641886430000001</v>
      </c>
      <c r="V57">
        <v>0.24350366530000001</v>
      </c>
      <c r="W57">
        <v>0.26418447589999999</v>
      </c>
      <c r="X57">
        <v>0.29127728879999998</v>
      </c>
      <c r="Y57">
        <v>0.29120657599999999</v>
      </c>
      <c r="Z57">
        <v>0.24845823829999999</v>
      </c>
      <c r="AA57">
        <v>0.2039004804</v>
      </c>
      <c r="AB57">
        <v>0.19626094820000001</v>
      </c>
      <c r="AC57">
        <v>0.1746243364125</v>
      </c>
      <c r="AD57">
        <f t="shared" si="0"/>
        <v>0.1491174807</v>
      </c>
    </row>
    <row r="58" spans="1:30" x14ac:dyDescent="0.25">
      <c r="A58" t="s">
        <v>408</v>
      </c>
      <c r="B58" t="s">
        <v>411</v>
      </c>
      <c r="C58">
        <v>115</v>
      </c>
      <c r="D58" t="s">
        <v>4</v>
      </c>
      <c r="E58">
        <v>8.1878550000000008E-3</v>
      </c>
      <c r="F58">
        <v>8.2994100000000001E-3</v>
      </c>
      <c r="G58">
        <v>8.3733149999999992E-3</v>
      </c>
      <c r="H58">
        <v>8.408235E-3</v>
      </c>
      <c r="I58">
        <v>8.4391050000000006E-3</v>
      </c>
      <c r="J58">
        <v>8.8415850000000008E-3</v>
      </c>
      <c r="K58">
        <v>8.4732149999999992E-3</v>
      </c>
      <c r="L58">
        <v>7.9654349999999999E-3</v>
      </c>
      <c r="M58">
        <v>7.7321400000000002E-3</v>
      </c>
      <c r="N58">
        <v>7.7196000000000001E-3</v>
      </c>
      <c r="O58">
        <v>8.0891100000000001E-3</v>
      </c>
      <c r="P58">
        <v>8.6382449999999993E-3</v>
      </c>
      <c r="Q58">
        <v>8.4607050000000007E-3</v>
      </c>
      <c r="R58">
        <v>8.6159700000000006E-3</v>
      </c>
      <c r="S58">
        <v>8.458485E-3</v>
      </c>
      <c r="T58">
        <v>8.2368449E-3</v>
      </c>
      <c r="U58">
        <v>8.552835E-3</v>
      </c>
      <c r="V58">
        <v>9.1412999999999998E-3</v>
      </c>
      <c r="W58">
        <v>1.0084050000000001E-2</v>
      </c>
      <c r="X58">
        <v>1.0034204999999999E-2</v>
      </c>
      <c r="Y58">
        <v>9.7084800000000002E-3</v>
      </c>
      <c r="Z58">
        <v>9.1779900000000005E-3</v>
      </c>
      <c r="AA58">
        <v>9.0514050000000002E-3</v>
      </c>
      <c r="AB58">
        <v>8.5693950000000005E-3</v>
      </c>
      <c r="AC58">
        <v>8.6357881208333331E-3</v>
      </c>
      <c r="AD58">
        <f t="shared" si="0"/>
        <v>8.4669599999999991E-3</v>
      </c>
    </row>
    <row r="59" spans="1:30" x14ac:dyDescent="0.25">
      <c r="A59" t="s">
        <v>408</v>
      </c>
      <c r="B59" t="s">
        <v>427</v>
      </c>
      <c r="C59">
        <v>115</v>
      </c>
      <c r="D59" t="s">
        <v>2</v>
      </c>
      <c r="E59">
        <v>2.0726724600000002</v>
      </c>
      <c r="F59">
        <v>2.0211352900000001</v>
      </c>
      <c r="G59">
        <v>1.974128815</v>
      </c>
      <c r="H59">
        <v>1.89229403</v>
      </c>
      <c r="I59">
        <v>1.8731259300000001</v>
      </c>
      <c r="J59">
        <v>1.9313739050000001</v>
      </c>
      <c r="K59">
        <v>1.7922498549999999</v>
      </c>
      <c r="L59">
        <v>1.8082255700000001</v>
      </c>
      <c r="M59">
        <v>1.876940155</v>
      </c>
      <c r="N59">
        <v>2.016227035</v>
      </c>
      <c r="O59">
        <v>2.1814401000000001</v>
      </c>
      <c r="P59">
        <v>2.3309749200000001</v>
      </c>
      <c r="Q59">
        <v>2.2906303050000001</v>
      </c>
      <c r="R59">
        <v>2.2980936500000002</v>
      </c>
      <c r="S59">
        <v>2.319780395</v>
      </c>
      <c r="T59">
        <v>2.2697305750000001</v>
      </c>
      <c r="U59">
        <v>2.3345140249999998</v>
      </c>
      <c r="V59">
        <v>2.4429950300000001</v>
      </c>
      <c r="W59">
        <v>2.8578553599999998</v>
      </c>
      <c r="X59">
        <v>3.064531015</v>
      </c>
      <c r="Y59">
        <v>2.9432982000000001</v>
      </c>
      <c r="Z59">
        <v>2.6462852400000001</v>
      </c>
      <c r="AA59">
        <v>2.5022890750000002</v>
      </c>
      <c r="AB59">
        <v>2.3059450849999998</v>
      </c>
      <c r="AC59">
        <v>1.5220341537499997</v>
      </c>
      <c r="AD59">
        <f t="shared" si="0"/>
        <v>2.2801804400000001</v>
      </c>
    </row>
    <row r="60" spans="1:30" x14ac:dyDescent="0.25">
      <c r="A60" t="s">
        <v>408</v>
      </c>
      <c r="B60" t="s">
        <v>427</v>
      </c>
      <c r="C60">
        <v>115</v>
      </c>
      <c r="D60" t="s">
        <v>3</v>
      </c>
      <c r="E60">
        <v>0.2391349982</v>
      </c>
      <c r="F60">
        <v>0.39732247269999998</v>
      </c>
      <c r="G60">
        <v>0.25074240759999999</v>
      </c>
      <c r="H60">
        <v>0.39616396529999998</v>
      </c>
      <c r="I60">
        <v>3.45430839E-2</v>
      </c>
      <c r="J60">
        <v>0.27977997580000002</v>
      </c>
      <c r="K60">
        <v>0.23137004759999999</v>
      </c>
      <c r="L60">
        <v>1.1436451300000001E-2</v>
      </c>
      <c r="M60">
        <v>0.17236157320000001</v>
      </c>
      <c r="N60">
        <v>0.1293004455</v>
      </c>
      <c r="O60">
        <v>9.6152456600000005E-2</v>
      </c>
      <c r="P60">
        <v>0.1265291388</v>
      </c>
      <c r="Q60">
        <v>0.3536624498</v>
      </c>
      <c r="R60">
        <v>0.13613584579999999</v>
      </c>
      <c r="S60">
        <v>7.5556646599999999E-2</v>
      </c>
      <c r="T60">
        <v>9.7956765400000007E-2</v>
      </c>
      <c r="U60">
        <v>0.2148954901</v>
      </c>
      <c r="V60">
        <v>0.28142882219999998</v>
      </c>
      <c r="W60">
        <v>0.1778130054</v>
      </c>
      <c r="X60">
        <v>4.5458307599999997E-2</v>
      </c>
      <c r="Y60">
        <v>0.21913116539999999</v>
      </c>
      <c r="Z60">
        <v>0.22796555130000001</v>
      </c>
      <c r="AA60">
        <v>5.12899946E-2</v>
      </c>
      <c r="AB60">
        <v>0.44099408820000002</v>
      </c>
      <c r="AC60">
        <v>0.35750190977916668</v>
      </c>
      <c r="AD60">
        <f t="shared" si="0"/>
        <v>0.19635424774999999</v>
      </c>
    </row>
    <row r="61" spans="1:30" x14ac:dyDescent="0.25">
      <c r="A61" t="s">
        <v>408</v>
      </c>
      <c r="B61" t="s">
        <v>427</v>
      </c>
      <c r="C61">
        <v>115</v>
      </c>
      <c r="D61" t="s">
        <v>4</v>
      </c>
      <c r="E61">
        <v>3.1563540000000001E-2</v>
      </c>
      <c r="F61">
        <v>3.0778710000000001E-2</v>
      </c>
      <c r="G61">
        <v>3.00628753E-2</v>
      </c>
      <c r="H61">
        <v>2.8816660300000001E-2</v>
      </c>
      <c r="I61">
        <v>2.85247603E-2</v>
      </c>
      <c r="J61">
        <v>2.94117853E-2</v>
      </c>
      <c r="K61">
        <v>2.7293145000000001E-2</v>
      </c>
      <c r="L61">
        <v>2.7536430000000001E-2</v>
      </c>
      <c r="M61">
        <v>2.8582844999999999E-2</v>
      </c>
      <c r="N61">
        <v>3.0703965E-2</v>
      </c>
      <c r="O61">
        <v>3.3219899999999997E-2</v>
      </c>
      <c r="P61">
        <v>3.549708E-2</v>
      </c>
      <c r="Q61">
        <v>3.4882694999999998E-2</v>
      </c>
      <c r="R61">
        <v>3.4996350000000002E-2</v>
      </c>
      <c r="S61">
        <v>3.5326604999999997E-2</v>
      </c>
      <c r="T61">
        <v>3.4564425000000003E-2</v>
      </c>
      <c r="U61">
        <v>3.5550974999999999E-2</v>
      </c>
      <c r="V61">
        <v>3.7202970000000002E-2</v>
      </c>
      <c r="W61">
        <v>4.3520639999999999E-2</v>
      </c>
      <c r="X61">
        <v>4.6667985000000002E-2</v>
      </c>
      <c r="Y61">
        <v>4.4821800000000002E-2</v>
      </c>
      <c r="Z61">
        <v>4.0298760000000003E-2</v>
      </c>
      <c r="AA61">
        <v>3.8105924999999999E-2</v>
      </c>
      <c r="AB61">
        <v>3.5115914999999998E-2</v>
      </c>
      <c r="AC61">
        <v>4.7073221249999998E-2</v>
      </c>
      <c r="AD61">
        <f t="shared" si="0"/>
        <v>3.4723560000000001E-2</v>
      </c>
    </row>
    <row r="62" spans="1:30" x14ac:dyDescent="0.25">
      <c r="A62" t="s">
        <v>408</v>
      </c>
      <c r="B62" t="s">
        <v>428</v>
      </c>
      <c r="C62">
        <v>115</v>
      </c>
      <c r="D62" t="s">
        <v>2</v>
      </c>
      <c r="E62">
        <v>9.7337601500000002</v>
      </c>
      <c r="F62">
        <v>9.3799314050000007</v>
      </c>
      <c r="G62">
        <v>9.1748740249999994</v>
      </c>
      <c r="H62">
        <v>9.0410617749999993</v>
      </c>
      <c r="I62">
        <v>8.9790599649999994</v>
      </c>
      <c r="J62">
        <v>9.1435648149999995</v>
      </c>
      <c r="K62">
        <v>8.5586206750000002</v>
      </c>
      <c r="L62">
        <v>8.3633956450000007</v>
      </c>
      <c r="M62">
        <v>8.6202304549999997</v>
      </c>
      <c r="N62">
        <v>9.1188463199999994</v>
      </c>
      <c r="O62">
        <v>10.023882049999999</v>
      </c>
      <c r="P62">
        <v>10.79005839</v>
      </c>
      <c r="Q62">
        <v>10.959640915</v>
      </c>
      <c r="R62">
        <v>10.946937370000001</v>
      </c>
      <c r="S62">
        <v>10.85395731</v>
      </c>
      <c r="T62">
        <v>10.588759850000001</v>
      </c>
      <c r="U62">
        <v>10.82334745</v>
      </c>
      <c r="V62">
        <v>11.29012713</v>
      </c>
      <c r="W62">
        <v>13.19725064</v>
      </c>
      <c r="X62">
        <v>13.973638475</v>
      </c>
      <c r="Y62">
        <v>13.655223435</v>
      </c>
      <c r="Z62">
        <v>12.632200465</v>
      </c>
      <c r="AA62">
        <v>11.907217810000001</v>
      </c>
      <c r="AB62">
        <v>10.95171068</v>
      </c>
      <c r="AC62">
        <v>2.2519473341666663</v>
      </c>
      <c r="AD62">
        <f t="shared" si="0"/>
        <v>10.689409120000001</v>
      </c>
    </row>
    <row r="63" spans="1:30" x14ac:dyDescent="0.25">
      <c r="A63" t="s">
        <v>408</v>
      </c>
      <c r="B63" t="s">
        <v>428</v>
      </c>
      <c r="C63">
        <v>115</v>
      </c>
      <c r="D63" t="s">
        <v>3</v>
      </c>
      <c r="E63">
        <v>1.9405841081999999</v>
      </c>
      <c r="F63">
        <v>1.9198377304000001</v>
      </c>
      <c r="G63">
        <v>1.9208190787999999</v>
      </c>
      <c r="H63">
        <v>1.885885442</v>
      </c>
      <c r="I63">
        <v>1.8619111452999999</v>
      </c>
      <c r="J63">
        <v>1.3932041652</v>
      </c>
      <c r="K63">
        <v>1.009907742</v>
      </c>
      <c r="L63">
        <v>1.0743450751000001</v>
      </c>
      <c r="M63">
        <v>1.1993139029</v>
      </c>
      <c r="N63">
        <v>1.3669689757000001</v>
      </c>
      <c r="O63">
        <v>1.551670428</v>
      </c>
      <c r="P63">
        <v>1.6889538094000001</v>
      </c>
      <c r="Q63">
        <v>1.6691749630999999</v>
      </c>
      <c r="R63">
        <v>1.7465740860000001</v>
      </c>
      <c r="S63">
        <v>1.7646524160999999</v>
      </c>
      <c r="T63">
        <v>1.6976786451000001</v>
      </c>
      <c r="U63">
        <v>1.6898572487000001</v>
      </c>
      <c r="V63">
        <v>1.6152761062000001</v>
      </c>
      <c r="W63">
        <v>2.2072785167000002</v>
      </c>
      <c r="X63">
        <v>2.3674289175999998</v>
      </c>
      <c r="Y63">
        <v>2.2547734151999999</v>
      </c>
      <c r="Z63">
        <v>2.0537618156000002</v>
      </c>
      <c r="AA63">
        <v>2.0816598113999998</v>
      </c>
      <c r="AB63">
        <v>2.0523497599999998</v>
      </c>
      <c r="AC63">
        <v>0.19529688120416669</v>
      </c>
      <c r="AD63">
        <f t="shared" si="0"/>
        <v>1.75561325105</v>
      </c>
    </row>
    <row r="64" spans="1:30" x14ac:dyDescent="0.25">
      <c r="A64" t="s">
        <v>408</v>
      </c>
      <c r="B64" t="s">
        <v>428</v>
      </c>
      <c r="C64">
        <v>115</v>
      </c>
      <c r="D64" t="s">
        <v>4</v>
      </c>
      <c r="E64">
        <v>0.14822985</v>
      </c>
      <c r="F64">
        <v>0.14284159499999999</v>
      </c>
      <c r="G64">
        <v>0.13971889370000001</v>
      </c>
      <c r="H64">
        <v>0.13768114370000001</v>
      </c>
      <c r="I64">
        <v>0.1367369537</v>
      </c>
      <c r="J64">
        <v>0.13924210370000001</v>
      </c>
      <c r="K64">
        <v>0.130334325</v>
      </c>
      <c r="L64">
        <v>0.12736135500000001</v>
      </c>
      <c r="M64">
        <v>0.13127254499999999</v>
      </c>
      <c r="N64">
        <v>0.13886567999999999</v>
      </c>
      <c r="O64">
        <v>0.15264795</v>
      </c>
      <c r="P64">
        <v>0.16431561</v>
      </c>
      <c r="Q64">
        <v>0.166898085</v>
      </c>
      <c r="R64">
        <v>0.16670462999999999</v>
      </c>
      <c r="S64">
        <v>0.16528868999999999</v>
      </c>
      <c r="T64">
        <v>0.16125015000000001</v>
      </c>
      <c r="U64">
        <v>0.16482255000000001</v>
      </c>
      <c r="V64">
        <v>0.17193087000000001</v>
      </c>
      <c r="W64">
        <v>0.20097335999999999</v>
      </c>
      <c r="X64">
        <v>0.21279652499999999</v>
      </c>
      <c r="Y64">
        <v>0.207947565</v>
      </c>
      <c r="Z64">
        <v>0.19236853500000001</v>
      </c>
      <c r="AA64">
        <v>0.18132819</v>
      </c>
      <c r="AB64">
        <v>0.16677732000000001</v>
      </c>
      <c r="AC64">
        <v>3.4293614216666671E-2</v>
      </c>
      <c r="AD64">
        <f t="shared" si="0"/>
        <v>0.16278288000000002</v>
      </c>
    </row>
    <row r="65" spans="1:30" x14ac:dyDescent="0.25">
      <c r="A65" t="s">
        <v>408</v>
      </c>
      <c r="B65" t="s">
        <v>429</v>
      </c>
      <c r="C65">
        <v>34</v>
      </c>
      <c r="D65" t="s">
        <v>2</v>
      </c>
      <c r="E65">
        <v>0.46912595000000001</v>
      </c>
      <c r="F65">
        <v>0.39645354999999999</v>
      </c>
      <c r="G65">
        <v>0.38064060999999999</v>
      </c>
      <c r="H65">
        <v>0.3499275</v>
      </c>
      <c r="I65">
        <v>0.34752868999999997</v>
      </c>
      <c r="J65">
        <v>0.58556668999999995</v>
      </c>
      <c r="K65">
        <v>0.56996230000000003</v>
      </c>
      <c r="L65">
        <v>0.45417243000000002</v>
      </c>
      <c r="M65">
        <v>0.67698143</v>
      </c>
      <c r="N65">
        <v>0.81225957000000004</v>
      </c>
      <c r="O65">
        <v>1.0079881100000001</v>
      </c>
      <c r="P65">
        <v>1.1660534899999999</v>
      </c>
      <c r="Q65">
        <v>1.23485365</v>
      </c>
      <c r="R65">
        <v>1.0360793100000001</v>
      </c>
      <c r="S65">
        <v>0.88482333000000002</v>
      </c>
      <c r="T65">
        <v>0.75485884999999997</v>
      </c>
      <c r="U65">
        <v>0.79297596999999997</v>
      </c>
      <c r="V65">
        <v>0.73548504000000003</v>
      </c>
      <c r="W65">
        <v>0.86946920000000005</v>
      </c>
      <c r="X65">
        <v>0.90228721000000001</v>
      </c>
      <c r="Y65">
        <v>0.88345271999999997</v>
      </c>
      <c r="Z65">
        <v>0.77429183000000001</v>
      </c>
      <c r="AA65">
        <v>0.83109599999999995</v>
      </c>
      <c r="AB65">
        <v>0.72582190000000002</v>
      </c>
      <c r="AC65">
        <v>10.529470716666665</v>
      </c>
      <c r="AD65">
        <f t="shared" si="0"/>
        <v>0.76457533999999994</v>
      </c>
    </row>
    <row r="66" spans="1:30" x14ac:dyDescent="0.25">
      <c r="A66" t="s">
        <v>408</v>
      </c>
      <c r="B66" t="s">
        <v>429</v>
      </c>
      <c r="C66">
        <v>34</v>
      </c>
      <c r="D66" t="s">
        <v>3</v>
      </c>
      <c r="E66">
        <v>5.2951950800000001E-2</v>
      </c>
      <c r="F66">
        <v>0.1000519399</v>
      </c>
      <c r="G66">
        <v>4.56017529E-2</v>
      </c>
      <c r="H66">
        <v>2.4889454799999999E-2</v>
      </c>
      <c r="I66">
        <v>2.8000196799999998E-2</v>
      </c>
      <c r="J66">
        <v>4.45376631E-2</v>
      </c>
      <c r="K66">
        <v>6.3920748200000002E-2</v>
      </c>
      <c r="L66">
        <v>7.2551435400000003E-2</v>
      </c>
      <c r="M66">
        <v>0.13279168429999999</v>
      </c>
      <c r="N66">
        <v>0.16146144179999999</v>
      </c>
      <c r="O66">
        <v>0.20208180049999999</v>
      </c>
      <c r="P66">
        <v>0.22524079350000001</v>
      </c>
      <c r="Q66">
        <v>0.59200296409999997</v>
      </c>
      <c r="R66">
        <v>0.22156361629999999</v>
      </c>
      <c r="S66">
        <v>0.16945958080000001</v>
      </c>
      <c r="T66">
        <v>5.7413868899999998E-2</v>
      </c>
      <c r="U66">
        <v>8.8931526499999997E-2</v>
      </c>
      <c r="V66">
        <v>0.1174895082</v>
      </c>
      <c r="W66">
        <v>0.17054866560000001</v>
      </c>
      <c r="X66">
        <v>0.17935718980000001</v>
      </c>
      <c r="Y66">
        <v>0.17711490290000001</v>
      </c>
      <c r="Z66">
        <v>0.14956612859999999</v>
      </c>
      <c r="AA66">
        <v>0.1777283201</v>
      </c>
      <c r="AB66">
        <v>0.1390079474</v>
      </c>
      <c r="AC66">
        <v>1.7505778043625</v>
      </c>
      <c r="AD66">
        <f t="shared" si="0"/>
        <v>0.13589981584999999</v>
      </c>
    </row>
    <row r="67" spans="1:30" x14ac:dyDescent="0.25">
      <c r="A67" t="s">
        <v>408</v>
      </c>
      <c r="B67" t="s">
        <v>429</v>
      </c>
      <c r="C67">
        <v>34</v>
      </c>
      <c r="D67" t="s">
        <v>4</v>
      </c>
      <c r="E67">
        <v>1.4509050000000001E-2</v>
      </c>
      <c r="F67">
        <v>1.226145E-2</v>
      </c>
      <c r="G67">
        <v>1.1772390000000001E-2</v>
      </c>
      <c r="H67">
        <v>1.0822500000000001E-2</v>
      </c>
      <c r="I67">
        <v>1.0748310000000001E-2</v>
      </c>
      <c r="J67">
        <v>1.8110310000000001E-2</v>
      </c>
      <c r="K67">
        <v>1.76277E-2</v>
      </c>
      <c r="L67">
        <v>1.404657E-2</v>
      </c>
      <c r="M67">
        <v>2.0937569999999999E-2</v>
      </c>
      <c r="N67">
        <v>2.512143E-2</v>
      </c>
      <c r="O67">
        <v>3.117489E-2</v>
      </c>
      <c r="P67">
        <v>3.606351E-2</v>
      </c>
      <c r="Q67">
        <v>3.8191349999999999E-2</v>
      </c>
      <c r="R67">
        <v>3.204369E-2</v>
      </c>
      <c r="S67">
        <v>2.7365670000000002E-2</v>
      </c>
      <c r="T67">
        <v>2.334615E-2</v>
      </c>
      <c r="U67">
        <v>2.452503E-2</v>
      </c>
      <c r="V67">
        <v>2.274696E-2</v>
      </c>
      <c r="W67">
        <v>2.6890799999999999E-2</v>
      </c>
      <c r="X67">
        <v>2.790579E-2</v>
      </c>
      <c r="Y67">
        <v>2.7323279999999998E-2</v>
      </c>
      <c r="Z67">
        <v>2.394717E-2</v>
      </c>
      <c r="AA67">
        <v>2.5704000000000001E-2</v>
      </c>
      <c r="AB67">
        <v>2.2448099999999999E-2</v>
      </c>
      <c r="AC67">
        <v>0.16034726978333333</v>
      </c>
      <c r="AD67">
        <f t="shared" ref="AD67:AD94" si="1">MEDIAN(E67:AB67)</f>
        <v>2.364666E-2</v>
      </c>
    </row>
    <row r="68" spans="1:30" x14ac:dyDescent="0.25">
      <c r="A68" t="s">
        <v>408</v>
      </c>
      <c r="B68" t="s">
        <v>430</v>
      </c>
      <c r="C68">
        <v>34</v>
      </c>
      <c r="D68" t="s">
        <v>2</v>
      </c>
      <c r="E68">
        <v>4.7378970999999996</v>
      </c>
      <c r="F68">
        <v>4.7682260899999998</v>
      </c>
      <c r="G68">
        <v>4.7660503800000003</v>
      </c>
      <c r="H68">
        <v>4.90974618</v>
      </c>
      <c r="I68">
        <v>4.77580955</v>
      </c>
      <c r="J68">
        <v>4.7922549300000004</v>
      </c>
      <c r="K68">
        <v>4.6367969100000002</v>
      </c>
      <c r="L68">
        <v>4.7189646400000003</v>
      </c>
      <c r="M68">
        <v>4.4411129899999997</v>
      </c>
      <c r="N68">
        <v>4.3235897300000001</v>
      </c>
      <c r="O68">
        <v>4.4786422899999998</v>
      </c>
      <c r="P68">
        <v>4.5176954599999997</v>
      </c>
      <c r="Q68">
        <v>4.1783293199999996</v>
      </c>
      <c r="R68">
        <v>4.5637568799999997</v>
      </c>
      <c r="S68">
        <v>4.7072615899999999</v>
      </c>
      <c r="T68">
        <v>4.74155982</v>
      </c>
      <c r="U68">
        <v>5.0643816399999997</v>
      </c>
      <c r="V68">
        <v>5.1587054099999996</v>
      </c>
      <c r="W68">
        <v>5.5867217900000004</v>
      </c>
      <c r="X68">
        <v>5.6364168299999999</v>
      </c>
      <c r="Y68">
        <v>5.5037218000000001</v>
      </c>
      <c r="Z68">
        <v>5.1812734300000001</v>
      </c>
      <c r="AA68">
        <v>5.08682356</v>
      </c>
      <c r="AB68">
        <v>5.1409883599999997</v>
      </c>
      <c r="AC68">
        <v>0.73508980541666658</v>
      </c>
      <c r="AD68">
        <f t="shared" si="1"/>
        <v>4.767138235</v>
      </c>
    </row>
    <row r="69" spans="1:30" x14ac:dyDescent="0.25">
      <c r="A69" t="s">
        <v>408</v>
      </c>
      <c r="B69" t="s">
        <v>430</v>
      </c>
      <c r="C69">
        <v>34</v>
      </c>
      <c r="D69" t="s">
        <v>3</v>
      </c>
      <c r="E69">
        <v>0.1160804228</v>
      </c>
      <c r="F69">
        <v>2.1324368100000001E-2</v>
      </c>
      <c r="G69">
        <v>0.1087036175</v>
      </c>
      <c r="H69">
        <v>6.5875255999999993E-2</v>
      </c>
      <c r="I69">
        <v>0.1150421542</v>
      </c>
      <c r="J69">
        <v>0.1741972168</v>
      </c>
      <c r="K69">
        <v>0.103701635</v>
      </c>
      <c r="L69">
        <v>0</v>
      </c>
      <c r="M69">
        <v>2.80886264E-2</v>
      </c>
      <c r="N69">
        <v>6.4134796199999997E-2</v>
      </c>
      <c r="O69">
        <v>0.17585635320000001</v>
      </c>
      <c r="P69">
        <v>0.32451672030000001</v>
      </c>
      <c r="Q69">
        <v>0.47011191419999998</v>
      </c>
      <c r="R69">
        <v>0.34039345720000003</v>
      </c>
      <c r="S69">
        <v>0.39994685899999999</v>
      </c>
      <c r="T69">
        <v>0.5407353788</v>
      </c>
      <c r="U69">
        <v>0.79238549170000006</v>
      </c>
      <c r="V69">
        <v>0.88095730459999999</v>
      </c>
      <c r="W69">
        <v>0.60486563940000004</v>
      </c>
      <c r="X69">
        <v>0.50501841049999996</v>
      </c>
      <c r="Y69">
        <v>0.38438590299999997</v>
      </c>
      <c r="Z69">
        <v>0.37651927839999999</v>
      </c>
      <c r="AA69">
        <v>0.27233046799999999</v>
      </c>
      <c r="AB69">
        <v>0.20317154069999999</v>
      </c>
      <c r="AC69">
        <v>0.14142771171666668</v>
      </c>
      <c r="AD69">
        <f t="shared" si="1"/>
        <v>0.23775100434999999</v>
      </c>
    </row>
    <row r="70" spans="1:30" x14ac:dyDescent="0.25">
      <c r="A70" t="s">
        <v>408</v>
      </c>
      <c r="B70" t="s">
        <v>430</v>
      </c>
      <c r="C70">
        <v>34</v>
      </c>
      <c r="D70" t="s">
        <v>4</v>
      </c>
      <c r="E70">
        <v>0.14653289999999999</v>
      </c>
      <c r="F70">
        <v>0.14747091000000001</v>
      </c>
      <c r="G70">
        <v>0.14740362000000001</v>
      </c>
      <c r="H70">
        <v>0.15184781999999999</v>
      </c>
      <c r="I70">
        <v>0.14770544999999999</v>
      </c>
      <c r="J70">
        <v>0.14821407</v>
      </c>
      <c r="K70">
        <v>0.14340609000000001</v>
      </c>
      <c r="L70">
        <v>0.14594736</v>
      </c>
      <c r="M70">
        <v>0.13735401</v>
      </c>
      <c r="N70">
        <v>0.13371927</v>
      </c>
      <c r="O70">
        <v>0.13851471000000001</v>
      </c>
      <c r="P70">
        <v>0.13972254000000001</v>
      </c>
      <c r="Q70">
        <v>0.12922668000000001</v>
      </c>
      <c r="R70">
        <v>0.14114711999999999</v>
      </c>
      <c r="S70">
        <v>0.14558541</v>
      </c>
      <c r="T70">
        <v>0.14664617999999999</v>
      </c>
      <c r="U70">
        <v>0.15663036</v>
      </c>
      <c r="V70">
        <v>0.15954758999999999</v>
      </c>
      <c r="W70">
        <v>0.17278520999999999</v>
      </c>
      <c r="X70">
        <v>0.17432217</v>
      </c>
      <c r="Y70">
        <v>0.17021819999999999</v>
      </c>
      <c r="Z70">
        <v>0.16024557</v>
      </c>
      <c r="AA70">
        <v>0.15732444000000001</v>
      </c>
      <c r="AB70">
        <v>0.15899964</v>
      </c>
      <c r="AC70">
        <v>2.2734736249999998E-2</v>
      </c>
      <c r="AD70">
        <f t="shared" si="1"/>
        <v>0.14743726500000001</v>
      </c>
    </row>
    <row r="71" spans="1:30" x14ac:dyDescent="0.25">
      <c r="A71" t="s">
        <v>408</v>
      </c>
      <c r="B71" t="s">
        <v>434</v>
      </c>
      <c r="C71">
        <v>115</v>
      </c>
      <c r="D71" t="s">
        <v>2</v>
      </c>
      <c r="E71">
        <v>0.83296919000000003</v>
      </c>
      <c r="F71">
        <v>0.80516756499999997</v>
      </c>
      <c r="G71">
        <v>0.81116227500000004</v>
      </c>
      <c r="H71">
        <v>0.82001151500000002</v>
      </c>
      <c r="I71">
        <v>0.82436029</v>
      </c>
      <c r="J71">
        <v>0.81900779999999995</v>
      </c>
      <c r="K71">
        <v>0.99817929999999999</v>
      </c>
      <c r="L71">
        <v>1.2345428549999999</v>
      </c>
      <c r="M71">
        <v>1.32355632</v>
      </c>
      <c r="N71">
        <v>1.3460606150000001</v>
      </c>
      <c r="O71">
        <v>1.50402999</v>
      </c>
      <c r="P71">
        <v>1.5715487850000001</v>
      </c>
      <c r="Q71">
        <v>1.371895195</v>
      </c>
      <c r="R71">
        <v>1.50663433</v>
      </c>
      <c r="S71">
        <v>1.5552332449999999</v>
      </c>
      <c r="T71">
        <v>1.4998811700000001</v>
      </c>
      <c r="U71">
        <v>1.3973249400000001</v>
      </c>
      <c r="V71">
        <v>1.155187315</v>
      </c>
      <c r="W71">
        <v>1.204326995</v>
      </c>
      <c r="X71">
        <v>1.1462750349999999</v>
      </c>
      <c r="Y71">
        <v>1.0612665800000001</v>
      </c>
      <c r="Z71">
        <v>0.92827778999999999</v>
      </c>
      <c r="AA71">
        <v>0.88992188999999999</v>
      </c>
      <c r="AB71">
        <v>0.89301872999999998</v>
      </c>
      <c r="AC71">
        <v>4.8506969450000001</v>
      </c>
      <c r="AD71">
        <f t="shared" si="1"/>
        <v>1.150731175</v>
      </c>
    </row>
    <row r="72" spans="1:30" x14ac:dyDescent="0.25">
      <c r="A72" t="s">
        <v>408</v>
      </c>
      <c r="B72" t="s">
        <v>434</v>
      </c>
      <c r="C72">
        <v>115</v>
      </c>
      <c r="D72" t="s">
        <v>3</v>
      </c>
      <c r="E72">
        <v>0.17264012100000001</v>
      </c>
      <c r="F72">
        <v>0.16425304090000001</v>
      </c>
      <c r="G72">
        <v>0.17918454089999999</v>
      </c>
      <c r="H72">
        <v>0.18804414180000001</v>
      </c>
      <c r="I72">
        <v>0.17174349789999999</v>
      </c>
      <c r="J72">
        <v>0.13981269069999999</v>
      </c>
      <c r="K72">
        <v>0.2329604193</v>
      </c>
      <c r="L72">
        <v>0.34534609550000001</v>
      </c>
      <c r="M72">
        <v>0.41414675940000001</v>
      </c>
      <c r="N72">
        <v>0.4182114441</v>
      </c>
      <c r="O72">
        <v>0.49124830990000001</v>
      </c>
      <c r="P72">
        <v>0.51676614470000004</v>
      </c>
      <c r="Q72">
        <v>0.39650832139999997</v>
      </c>
      <c r="R72">
        <v>0.4605384434</v>
      </c>
      <c r="S72">
        <v>0.50341212189999995</v>
      </c>
      <c r="T72">
        <v>0.47835496690000001</v>
      </c>
      <c r="U72">
        <v>0.43300168779999998</v>
      </c>
      <c r="V72">
        <v>0.30590673060000001</v>
      </c>
      <c r="W72">
        <v>0.27246732870000001</v>
      </c>
      <c r="X72">
        <v>0.26313232559999999</v>
      </c>
      <c r="Y72">
        <v>0.2268967858</v>
      </c>
      <c r="Z72">
        <v>0.18452361279999999</v>
      </c>
      <c r="AA72">
        <v>0.1737426037</v>
      </c>
      <c r="AB72">
        <v>0.19266083179999999</v>
      </c>
      <c r="AC72">
        <v>0.29451428383333328</v>
      </c>
      <c r="AD72">
        <f t="shared" si="1"/>
        <v>0.26779982715</v>
      </c>
    </row>
    <row r="73" spans="1:30" x14ac:dyDescent="0.25">
      <c r="A73" t="s">
        <v>408</v>
      </c>
      <c r="B73" t="s">
        <v>434</v>
      </c>
      <c r="C73">
        <v>115</v>
      </c>
      <c r="D73" t="s">
        <v>4</v>
      </c>
      <c r="E73">
        <v>1.2684809999999999E-2</v>
      </c>
      <c r="F73">
        <v>1.2261434999999999E-2</v>
      </c>
      <c r="G73">
        <v>1.2352725E-2</v>
      </c>
      <c r="H73">
        <v>1.2487485E-2</v>
      </c>
      <c r="I73">
        <v>1.2553709999999999E-2</v>
      </c>
      <c r="J73">
        <v>1.2472199999999999E-2</v>
      </c>
      <c r="K73">
        <v>1.5200699999999999E-2</v>
      </c>
      <c r="L73">
        <v>1.8800145000000001E-2</v>
      </c>
      <c r="M73">
        <v>2.0155679999999999E-2</v>
      </c>
      <c r="N73">
        <v>2.0498385000000001E-2</v>
      </c>
      <c r="O73">
        <v>2.2904009999999999E-2</v>
      </c>
      <c r="P73">
        <v>2.3932215E-2</v>
      </c>
      <c r="Q73">
        <v>2.0891804999999999E-2</v>
      </c>
      <c r="R73">
        <v>2.2943669999999999E-2</v>
      </c>
      <c r="S73">
        <v>2.3683755000000001E-2</v>
      </c>
      <c r="T73">
        <v>2.2840829999999999E-2</v>
      </c>
      <c r="U73">
        <v>2.1279059999999999E-2</v>
      </c>
      <c r="V73">
        <v>1.7591684999999999E-2</v>
      </c>
      <c r="W73">
        <v>1.8340005E-2</v>
      </c>
      <c r="X73">
        <v>1.7455965E-2</v>
      </c>
      <c r="Y73">
        <v>1.6161419999999999E-2</v>
      </c>
      <c r="Z73">
        <v>1.413621E-2</v>
      </c>
      <c r="AA73">
        <v>1.3552109999999999E-2</v>
      </c>
      <c r="AB73">
        <v>1.359927E-2</v>
      </c>
      <c r="AC73">
        <v>0.15002155499999995</v>
      </c>
      <c r="AD73">
        <f t="shared" si="1"/>
        <v>1.7523825E-2</v>
      </c>
    </row>
    <row r="74" spans="1:30" x14ac:dyDescent="0.25">
      <c r="A74" t="s">
        <v>408</v>
      </c>
      <c r="B74" t="s">
        <v>435</v>
      </c>
      <c r="C74">
        <v>34</v>
      </c>
      <c r="D74" t="s">
        <v>2</v>
      </c>
      <c r="E74">
        <v>2.83121563</v>
      </c>
      <c r="F74">
        <v>2.8183233599999999</v>
      </c>
      <c r="G74">
        <v>2.8119165100000001</v>
      </c>
      <c r="H74">
        <v>2.8048005900000001</v>
      </c>
      <c r="I74">
        <v>2.80738273</v>
      </c>
      <c r="J74">
        <v>2.8339209599999999</v>
      </c>
      <c r="K74">
        <v>2.8608268200000002</v>
      </c>
      <c r="L74">
        <v>3.13489935</v>
      </c>
      <c r="M74">
        <v>3.23883776</v>
      </c>
      <c r="N74">
        <v>3.1982723599999998</v>
      </c>
      <c r="O74">
        <v>3.4588987499999999</v>
      </c>
      <c r="P74">
        <v>3.58363202</v>
      </c>
      <c r="Q74">
        <v>3.3072072399999999</v>
      </c>
      <c r="R74">
        <v>3.6215823</v>
      </c>
      <c r="S74">
        <v>3.71304166</v>
      </c>
      <c r="T74">
        <v>3.6697253399999998</v>
      </c>
      <c r="U74">
        <v>3.5617265100000002</v>
      </c>
      <c r="V74">
        <v>3.3028092600000001</v>
      </c>
      <c r="W74">
        <v>3.55033289</v>
      </c>
      <c r="X74">
        <v>3.5592355499999999</v>
      </c>
      <c r="Y74">
        <v>3.6541102799999998</v>
      </c>
      <c r="Z74">
        <v>3.4519079600000002</v>
      </c>
      <c r="AA74">
        <v>3.2920451700000002</v>
      </c>
      <c r="AB74">
        <v>3.1231429500000001</v>
      </c>
      <c r="AC74">
        <v>1.1458266547916669</v>
      </c>
      <c r="AD74">
        <f t="shared" si="1"/>
        <v>3.2974272149999999</v>
      </c>
    </row>
    <row r="75" spans="1:30" x14ac:dyDescent="0.25">
      <c r="A75" t="s">
        <v>408</v>
      </c>
      <c r="B75" t="s">
        <v>435</v>
      </c>
      <c r="C75">
        <v>34</v>
      </c>
      <c r="D75" t="s">
        <v>3</v>
      </c>
      <c r="E75">
        <v>0.37832086339999998</v>
      </c>
      <c r="F75">
        <v>0.64456748699999999</v>
      </c>
      <c r="G75">
        <v>0.49844438540000002</v>
      </c>
      <c r="H75">
        <v>0.45439131960000001</v>
      </c>
      <c r="I75">
        <v>0.45064846949999998</v>
      </c>
      <c r="J75">
        <v>0.36336095540000002</v>
      </c>
      <c r="K75">
        <v>0.42766943810000002</v>
      </c>
      <c r="L75">
        <v>0.464505218</v>
      </c>
      <c r="M75">
        <v>0.45609158799999999</v>
      </c>
      <c r="N75">
        <v>0.41033297260000001</v>
      </c>
      <c r="O75">
        <v>0.41409014620000001</v>
      </c>
      <c r="P75">
        <v>0.27493396460000002</v>
      </c>
      <c r="Q75">
        <v>0.13236772329999999</v>
      </c>
      <c r="R75">
        <v>0.29763195339999998</v>
      </c>
      <c r="S75">
        <v>0.3185516961</v>
      </c>
      <c r="T75">
        <v>0.27071821000000001</v>
      </c>
      <c r="U75">
        <v>6.9440370500000001E-2</v>
      </c>
      <c r="V75">
        <v>0.1254004558</v>
      </c>
      <c r="W75">
        <v>0.1689239797</v>
      </c>
      <c r="X75">
        <v>0.23594339980000001</v>
      </c>
      <c r="Y75">
        <v>0.28979446120000002</v>
      </c>
      <c r="Z75">
        <v>0.280273145</v>
      </c>
      <c r="AA75">
        <v>0.22560656640000001</v>
      </c>
      <c r="AB75">
        <v>0.36771584359999998</v>
      </c>
      <c r="AC75">
        <v>0.3052292902708334</v>
      </c>
      <c r="AD75">
        <f t="shared" si="1"/>
        <v>0.34095632575000001</v>
      </c>
    </row>
    <row r="76" spans="1:30" x14ac:dyDescent="0.25">
      <c r="A76" t="s">
        <v>408</v>
      </c>
      <c r="B76" t="s">
        <v>435</v>
      </c>
      <c r="C76">
        <v>34</v>
      </c>
      <c r="D76" t="s">
        <v>4</v>
      </c>
      <c r="E76">
        <v>8.7563370000000001E-2</v>
      </c>
      <c r="F76">
        <v>8.7164640000000002E-2</v>
      </c>
      <c r="G76">
        <v>8.6966489999999994E-2</v>
      </c>
      <c r="H76">
        <v>8.6746409999999996E-2</v>
      </c>
      <c r="I76">
        <v>8.6826269999999997E-2</v>
      </c>
      <c r="J76">
        <v>8.7647039999999996E-2</v>
      </c>
      <c r="K76">
        <v>8.8479180000000004E-2</v>
      </c>
      <c r="L76">
        <v>9.6955650000000004E-2</v>
      </c>
      <c r="M76">
        <v>0.10017023999999999</v>
      </c>
      <c r="N76">
        <v>9.8915639999999999E-2</v>
      </c>
      <c r="O76">
        <v>0.10697624999999999</v>
      </c>
      <c r="P76">
        <v>0.11083398</v>
      </c>
      <c r="Q76">
        <v>0.10228476</v>
      </c>
      <c r="R76">
        <v>0.1120077</v>
      </c>
      <c r="S76">
        <v>0.11483634</v>
      </c>
      <c r="T76">
        <v>0.11349666</v>
      </c>
      <c r="U76">
        <v>0.11015649</v>
      </c>
      <c r="V76">
        <v>0.10214874</v>
      </c>
      <c r="W76">
        <v>0.10980411</v>
      </c>
      <c r="X76">
        <v>0.11007945</v>
      </c>
      <c r="Y76">
        <v>0.11301372</v>
      </c>
      <c r="Z76">
        <v>0.10676004</v>
      </c>
      <c r="AA76">
        <v>0.10181583</v>
      </c>
      <c r="AB76">
        <v>9.6592049999999999E-2</v>
      </c>
      <c r="AC76">
        <v>1.7449136875E-2</v>
      </c>
      <c r="AD76">
        <f t="shared" si="1"/>
        <v>0.10198228500000001</v>
      </c>
    </row>
    <row r="77" spans="1:30" x14ac:dyDescent="0.25">
      <c r="A77" t="s">
        <v>408</v>
      </c>
      <c r="B77" t="s">
        <v>436</v>
      </c>
      <c r="C77">
        <v>34</v>
      </c>
      <c r="D77" t="s">
        <v>2</v>
      </c>
      <c r="E77">
        <v>1.6570296600000001</v>
      </c>
      <c r="F77">
        <v>1.6694184999999999</v>
      </c>
      <c r="G77">
        <v>1.70752204</v>
      </c>
      <c r="H77">
        <v>1.7604025599999999</v>
      </c>
      <c r="I77">
        <v>1.7756558099999999</v>
      </c>
      <c r="J77">
        <v>1.8616598900000001</v>
      </c>
      <c r="K77">
        <v>1.7456828099999999</v>
      </c>
      <c r="L77">
        <v>1.5009857600000001</v>
      </c>
      <c r="M77">
        <v>1.29216416</v>
      </c>
      <c r="N77">
        <v>1.1619824000000001</v>
      </c>
      <c r="O77">
        <v>1.01680444</v>
      </c>
      <c r="P77">
        <v>0.99816685999999999</v>
      </c>
      <c r="Q77">
        <v>1.0331198399999999</v>
      </c>
      <c r="R77">
        <v>1.00477741</v>
      </c>
      <c r="S77">
        <v>1.0424832500000001</v>
      </c>
      <c r="T77">
        <v>1.03262126</v>
      </c>
      <c r="U77">
        <v>1.1061676300000001</v>
      </c>
      <c r="V77">
        <v>1.2785065600000001</v>
      </c>
      <c r="W77">
        <v>1.5291982099999999</v>
      </c>
      <c r="X77">
        <v>1.5588452900000001</v>
      </c>
      <c r="Y77">
        <v>1.4999895700000001</v>
      </c>
      <c r="Z77">
        <v>1.5076516</v>
      </c>
      <c r="AA77">
        <v>1.6330871499999999</v>
      </c>
      <c r="AB77">
        <v>1.72872139</v>
      </c>
      <c r="AC77">
        <v>3.2579080812499996</v>
      </c>
      <c r="AD77">
        <f t="shared" si="1"/>
        <v>1.5043186799999999</v>
      </c>
    </row>
    <row r="78" spans="1:30" x14ac:dyDescent="0.25">
      <c r="A78" t="s">
        <v>408</v>
      </c>
      <c r="B78" t="s">
        <v>436</v>
      </c>
      <c r="C78">
        <v>34</v>
      </c>
      <c r="D78" t="s">
        <v>3</v>
      </c>
      <c r="E78">
        <v>4.12691715E-2</v>
      </c>
      <c r="F78">
        <v>0.67720131299999997</v>
      </c>
      <c r="G78">
        <v>0.68122981979999997</v>
      </c>
      <c r="H78">
        <v>0.84585926469999995</v>
      </c>
      <c r="I78">
        <v>4.4223616399999999E-2</v>
      </c>
      <c r="J78">
        <v>0.92638809190000004</v>
      </c>
      <c r="K78">
        <v>0.3733109932</v>
      </c>
      <c r="L78">
        <v>0.28746576759999998</v>
      </c>
      <c r="M78">
        <v>0.61262402110000003</v>
      </c>
      <c r="N78">
        <v>0.17160560450000001</v>
      </c>
      <c r="O78">
        <v>0.13310884449999999</v>
      </c>
      <c r="P78">
        <v>0.1212739477</v>
      </c>
      <c r="Q78">
        <v>0.47816753210000001</v>
      </c>
      <c r="R78">
        <v>0.40758897859999998</v>
      </c>
      <c r="S78">
        <v>0.41590717999999999</v>
      </c>
      <c r="T78">
        <v>0.2887373459</v>
      </c>
      <c r="U78">
        <v>0.24445834120000001</v>
      </c>
      <c r="V78">
        <v>0.42559940610000002</v>
      </c>
      <c r="W78">
        <v>0.713111139</v>
      </c>
      <c r="X78">
        <v>0.7199154404</v>
      </c>
      <c r="Y78">
        <v>0.27462436220000003</v>
      </c>
      <c r="Z78">
        <v>0.28523346789999998</v>
      </c>
      <c r="AA78">
        <v>0.30548931439999999</v>
      </c>
      <c r="AB78">
        <v>0.33174753839999999</v>
      </c>
      <c r="AC78">
        <v>0.33415519219166662</v>
      </c>
      <c r="AD78">
        <f t="shared" si="1"/>
        <v>0.35252926579999999</v>
      </c>
    </row>
    <row r="79" spans="1:30" x14ac:dyDescent="0.25">
      <c r="A79" t="s">
        <v>408</v>
      </c>
      <c r="B79" t="s">
        <v>436</v>
      </c>
      <c r="C79">
        <v>34</v>
      </c>
      <c r="D79" t="s">
        <v>4</v>
      </c>
      <c r="E79">
        <v>5.1248340000000003E-2</v>
      </c>
      <c r="F79">
        <v>5.1631499999999997E-2</v>
      </c>
      <c r="G79">
        <v>5.2809960000000003E-2</v>
      </c>
      <c r="H79">
        <v>5.4445439999999998E-2</v>
      </c>
      <c r="I79">
        <v>5.4917189999999998E-2</v>
      </c>
      <c r="J79">
        <v>5.7577110000000001E-2</v>
      </c>
      <c r="K79">
        <v>5.399019E-2</v>
      </c>
      <c r="L79">
        <v>4.6422239999999997E-2</v>
      </c>
      <c r="M79">
        <v>3.996384E-2</v>
      </c>
      <c r="N79">
        <v>3.59376E-2</v>
      </c>
      <c r="O79">
        <v>3.1447559999999999E-2</v>
      </c>
      <c r="P79">
        <v>3.0871139999999998E-2</v>
      </c>
      <c r="Q79">
        <v>3.195216E-2</v>
      </c>
      <c r="R79">
        <v>3.107559E-2</v>
      </c>
      <c r="S79">
        <v>3.224175E-2</v>
      </c>
      <c r="T79">
        <v>3.1936739999999998E-2</v>
      </c>
      <c r="U79">
        <v>3.4211369999999998E-2</v>
      </c>
      <c r="V79">
        <v>3.9541439999999997E-2</v>
      </c>
      <c r="W79">
        <v>4.7294790000000003E-2</v>
      </c>
      <c r="X79">
        <v>4.8211709999999998E-2</v>
      </c>
      <c r="Y79">
        <v>4.6391429999999997E-2</v>
      </c>
      <c r="Z79">
        <v>4.66284E-2</v>
      </c>
      <c r="AA79">
        <v>5.050785E-2</v>
      </c>
      <c r="AB79">
        <v>5.3465609999999997E-2</v>
      </c>
      <c r="AC79">
        <v>0.10076004375000003</v>
      </c>
      <c r="AD79">
        <f t="shared" si="1"/>
        <v>4.6525319999999995E-2</v>
      </c>
    </row>
    <row r="80" spans="1:30" x14ac:dyDescent="0.25">
      <c r="A80" t="s">
        <v>408</v>
      </c>
      <c r="B80" t="s">
        <v>444</v>
      </c>
      <c r="C80">
        <v>115</v>
      </c>
      <c r="D80" t="s">
        <v>2</v>
      </c>
      <c r="E80">
        <v>16.458803325000002</v>
      </c>
      <c r="F80">
        <v>16.322450759999999</v>
      </c>
      <c r="G80">
        <v>17.028960725000001</v>
      </c>
      <c r="H80">
        <v>16.960573159999999</v>
      </c>
      <c r="I80">
        <v>16.80977163</v>
      </c>
      <c r="J80">
        <v>16.486730045000002</v>
      </c>
      <c r="K80">
        <v>16.795698935000001</v>
      </c>
      <c r="L80">
        <v>15.554115299999999</v>
      </c>
      <c r="M80">
        <v>14.593349255</v>
      </c>
      <c r="N80">
        <v>14.50022637</v>
      </c>
      <c r="O80">
        <v>15.079094124999999</v>
      </c>
      <c r="P80">
        <v>15.7309819</v>
      </c>
      <c r="Q80">
        <v>16.118214949999999</v>
      </c>
      <c r="R80">
        <v>16.207442159999999</v>
      </c>
      <c r="S80">
        <v>15.843119225000001</v>
      </c>
      <c r="T80">
        <v>16.389183525</v>
      </c>
      <c r="U80">
        <v>17.214501235</v>
      </c>
      <c r="V80">
        <v>17.680303795</v>
      </c>
      <c r="W80">
        <v>18.808406564999999</v>
      </c>
      <c r="X80">
        <v>19.299529535000001</v>
      </c>
      <c r="Y80">
        <v>19.671614269999999</v>
      </c>
      <c r="Z80">
        <v>19.292940869999999</v>
      </c>
      <c r="AA80">
        <v>18.392808469999999</v>
      </c>
      <c r="AB80">
        <v>17.114150420000001</v>
      </c>
      <c r="AC80">
        <v>1.4209435020833334</v>
      </c>
      <c r="AD80">
        <f t="shared" si="1"/>
        <v>16.641214490000003</v>
      </c>
    </row>
    <row r="81" spans="1:30" x14ac:dyDescent="0.25">
      <c r="A81" t="s">
        <v>408</v>
      </c>
      <c r="B81" t="s">
        <v>444</v>
      </c>
      <c r="C81">
        <v>115</v>
      </c>
      <c r="D81" t="s">
        <v>3</v>
      </c>
      <c r="E81">
        <v>4.9573581681999999</v>
      </c>
      <c r="F81">
        <v>5.0301262732999996</v>
      </c>
      <c r="G81">
        <v>5.0877452334999997</v>
      </c>
      <c r="H81">
        <v>4.8761186812000004</v>
      </c>
      <c r="I81">
        <v>4.8116507630000003</v>
      </c>
      <c r="J81">
        <v>4.8785218244999999</v>
      </c>
      <c r="K81">
        <v>4.4054025980000002</v>
      </c>
      <c r="L81">
        <v>3.4795080923000001</v>
      </c>
      <c r="M81">
        <v>3.3807439367000001</v>
      </c>
      <c r="N81">
        <v>3.6283902162000001</v>
      </c>
      <c r="O81">
        <v>3.5596213155999998</v>
      </c>
      <c r="P81">
        <v>3.9965828487000001</v>
      </c>
      <c r="Q81">
        <v>4.4998061658999999</v>
      </c>
      <c r="R81">
        <v>4.2797052723000002</v>
      </c>
      <c r="S81">
        <v>4.3139773738000002</v>
      </c>
      <c r="T81">
        <v>4.2544041318000003</v>
      </c>
      <c r="U81">
        <v>4.8976515993999996</v>
      </c>
      <c r="V81">
        <v>6.0962306895999996</v>
      </c>
      <c r="W81">
        <v>6.7633342309</v>
      </c>
      <c r="X81">
        <v>6.5553327789000004</v>
      </c>
      <c r="Y81">
        <v>6.1212759765999998</v>
      </c>
      <c r="Z81">
        <v>5.8022337394000001</v>
      </c>
      <c r="AA81">
        <v>5.4135791208999997</v>
      </c>
      <c r="AB81">
        <v>4.9643783333</v>
      </c>
      <c r="AC81">
        <v>0.40858918758750001</v>
      </c>
      <c r="AD81">
        <f t="shared" si="1"/>
        <v>4.8773202528499997</v>
      </c>
    </row>
    <row r="82" spans="1:30" x14ac:dyDescent="0.25">
      <c r="A82" t="s">
        <v>408</v>
      </c>
      <c r="B82" t="s">
        <v>444</v>
      </c>
      <c r="C82">
        <v>115</v>
      </c>
      <c r="D82" t="s">
        <v>4</v>
      </c>
      <c r="E82">
        <v>0.25064167500000001</v>
      </c>
      <c r="F82">
        <v>0.24856523999999999</v>
      </c>
      <c r="G82">
        <v>0.25932427499999999</v>
      </c>
      <c r="H82">
        <v>0.25828284000000001</v>
      </c>
      <c r="I82">
        <v>0.25598637000000002</v>
      </c>
      <c r="J82">
        <v>0.25106695499999998</v>
      </c>
      <c r="K82">
        <v>0.25577206499999999</v>
      </c>
      <c r="L82">
        <v>0.23686470000000001</v>
      </c>
      <c r="M82">
        <v>0.22223374500000001</v>
      </c>
      <c r="N82">
        <v>0.22081563000000001</v>
      </c>
      <c r="O82">
        <v>0.22963087500000001</v>
      </c>
      <c r="P82">
        <v>0.2395581</v>
      </c>
      <c r="Q82">
        <v>0.24545505000000001</v>
      </c>
      <c r="R82">
        <v>0.24681384000000001</v>
      </c>
      <c r="S82">
        <v>0.24126577499999999</v>
      </c>
      <c r="T82">
        <v>0.249581475</v>
      </c>
      <c r="U82">
        <v>0.26214976499999998</v>
      </c>
      <c r="V82">
        <v>0.26924320499999999</v>
      </c>
      <c r="W82">
        <v>0.28642243499999998</v>
      </c>
      <c r="X82">
        <v>0.29390146499999997</v>
      </c>
      <c r="Y82">
        <v>0.29956772999999998</v>
      </c>
      <c r="Z82">
        <v>0.29380113000000002</v>
      </c>
      <c r="AA82">
        <v>0.28009352999999998</v>
      </c>
      <c r="AB82">
        <v>0.26062158000000002</v>
      </c>
      <c r="AC82">
        <v>4.3946706250000002E-2</v>
      </c>
      <c r="AD82">
        <f t="shared" si="1"/>
        <v>0.25341950999999996</v>
      </c>
    </row>
    <row r="83" spans="1:30" x14ac:dyDescent="0.25">
      <c r="A83" t="s">
        <v>408</v>
      </c>
      <c r="B83" t="s">
        <v>446</v>
      </c>
      <c r="C83">
        <v>220</v>
      </c>
      <c r="D83" t="s">
        <v>2</v>
      </c>
      <c r="E83">
        <v>1.419794</v>
      </c>
      <c r="F83">
        <v>1.359602</v>
      </c>
      <c r="G83">
        <v>1.334757</v>
      </c>
      <c r="H83">
        <v>1.3125739999999999</v>
      </c>
      <c r="I83">
        <v>1.4666980000000001</v>
      </c>
      <c r="J83">
        <v>1.9448650000000001</v>
      </c>
      <c r="K83">
        <v>2.3106209999999998</v>
      </c>
      <c r="L83">
        <v>2.1526670000000001</v>
      </c>
      <c r="M83">
        <v>2.0010880000000002</v>
      </c>
      <c r="N83">
        <v>1.9945949999999999</v>
      </c>
      <c r="O83">
        <v>2.235868</v>
      </c>
      <c r="P83">
        <v>2.495495</v>
      </c>
      <c r="Q83">
        <v>2.6217160000000002</v>
      </c>
      <c r="R83">
        <v>2.5008919999999999</v>
      </c>
      <c r="S83">
        <v>2.3584239999999999</v>
      </c>
      <c r="T83">
        <v>2.2402869999999999</v>
      </c>
      <c r="U83">
        <v>2.400979</v>
      </c>
      <c r="V83">
        <v>2.6573549999999999</v>
      </c>
      <c r="W83">
        <v>3.1254659999999999</v>
      </c>
      <c r="X83">
        <v>3.0082840000000002</v>
      </c>
      <c r="Y83">
        <v>2.6896949999999999</v>
      </c>
      <c r="Z83">
        <v>2.201311</v>
      </c>
      <c r="AA83">
        <v>1.793612</v>
      </c>
      <c r="AB83">
        <v>1.5741620000000001</v>
      </c>
      <c r="AC83">
        <v>16.848040439583333</v>
      </c>
      <c r="AD83">
        <f t="shared" si="1"/>
        <v>2.2185895000000002</v>
      </c>
    </row>
    <row r="84" spans="1:30" x14ac:dyDescent="0.25">
      <c r="A84" t="s">
        <v>408</v>
      </c>
      <c r="B84" t="s">
        <v>446</v>
      </c>
      <c r="C84">
        <v>220</v>
      </c>
      <c r="D84" t="s">
        <v>3</v>
      </c>
      <c r="E84">
        <v>0.4392805514</v>
      </c>
      <c r="F84">
        <v>0.429311575</v>
      </c>
      <c r="G84">
        <v>0.42122266349999998</v>
      </c>
      <c r="H84">
        <v>0.34532892339999999</v>
      </c>
      <c r="I84">
        <v>0.34737776250000002</v>
      </c>
      <c r="J84">
        <v>0.32309603129999998</v>
      </c>
      <c r="K84">
        <v>0.32027308700000001</v>
      </c>
      <c r="L84">
        <v>0.39768732359999998</v>
      </c>
      <c r="M84">
        <v>0.51962462809999999</v>
      </c>
      <c r="N84">
        <v>0.46384098959999998</v>
      </c>
      <c r="O84">
        <v>0.55850156579999999</v>
      </c>
      <c r="P84">
        <v>0.50777549489999996</v>
      </c>
      <c r="Q84">
        <v>0.52337862239999999</v>
      </c>
      <c r="R84">
        <v>0.59609157980000005</v>
      </c>
      <c r="S84">
        <v>0.58298883580000005</v>
      </c>
      <c r="T84">
        <v>0.53305624659999995</v>
      </c>
      <c r="U84">
        <v>0.51200231259999995</v>
      </c>
      <c r="V84">
        <v>0.51533933060000003</v>
      </c>
      <c r="W84">
        <v>0.45231146550000001</v>
      </c>
      <c r="X84">
        <v>0.42208235129999999</v>
      </c>
      <c r="Y84">
        <v>0.44969163229999998</v>
      </c>
      <c r="Z84">
        <v>0.44837558529999999</v>
      </c>
      <c r="AA84">
        <v>0.49922030280000002</v>
      </c>
      <c r="AB84">
        <v>0.47662991529999998</v>
      </c>
      <c r="AC84">
        <v>4.8355699735000002</v>
      </c>
      <c r="AD84">
        <f t="shared" si="1"/>
        <v>0.45807622754999999</v>
      </c>
    </row>
    <row r="85" spans="1:30" x14ac:dyDescent="0.25">
      <c r="A85" t="s">
        <v>408</v>
      </c>
      <c r="B85" t="s">
        <v>446</v>
      </c>
      <c r="C85">
        <v>220</v>
      </c>
      <c r="D85" t="s">
        <v>4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0.25656914375000001</v>
      </c>
      <c r="AD85">
        <f t="shared" si="1"/>
        <v>0</v>
      </c>
    </row>
    <row r="86" spans="1:30" x14ac:dyDescent="0.25">
      <c r="A86" t="s">
        <v>408</v>
      </c>
      <c r="B86" t="s">
        <v>448</v>
      </c>
      <c r="C86">
        <v>115</v>
      </c>
      <c r="D86" t="s">
        <v>2</v>
      </c>
      <c r="E86">
        <v>1.5015734000000001</v>
      </c>
      <c r="F86">
        <v>1.4323219899999999</v>
      </c>
      <c r="G86">
        <v>1.43722729</v>
      </c>
      <c r="H86">
        <v>1.4158862800000001</v>
      </c>
      <c r="I86">
        <v>1.4391834999999999</v>
      </c>
      <c r="J86">
        <v>1.4613105399999999</v>
      </c>
      <c r="K86">
        <v>1.448339075</v>
      </c>
      <c r="L86">
        <v>1.5157603550000001</v>
      </c>
      <c r="M86">
        <v>1.6544454</v>
      </c>
      <c r="N86">
        <v>1.873029705</v>
      </c>
      <c r="O86">
        <v>2.0322313150000002</v>
      </c>
      <c r="P86">
        <v>2.1604911200000001</v>
      </c>
      <c r="Q86">
        <v>2.2657994399999999</v>
      </c>
      <c r="R86">
        <v>2.2059163650000002</v>
      </c>
      <c r="S86">
        <v>2.1596824350000001</v>
      </c>
      <c r="T86">
        <v>2.0606771300000002</v>
      </c>
      <c r="U86">
        <v>2.0672283650000001</v>
      </c>
      <c r="V86">
        <v>2.0905058849999998</v>
      </c>
      <c r="W86">
        <v>2.06787945</v>
      </c>
      <c r="X86">
        <v>1.9650424950000001</v>
      </c>
      <c r="Y86">
        <v>1.8858484950000001</v>
      </c>
      <c r="Z86">
        <v>1.766499</v>
      </c>
      <c r="AA86">
        <v>1.7174499400000001</v>
      </c>
      <c r="AB86">
        <v>1.6422973949999999</v>
      </c>
      <c r="AC86">
        <v>1.8027760985416663</v>
      </c>
      <c r="AD86">
        <f t="shared" si="1"/>
        <v>1.8197643525</v>
      </c>
    </row>
    <row r="87" spans="1:30" x14ac:dyDescent="0.25">
      <c r="A87" t="s">
        <v>408</v>
      </c>
      <c r="B87" t="s">
        <v>448</v>
      </c>
      <c r="C87">
        <v>115</v>
      </c>
      <c r="D87" t="s">
        <v>3</v>
      </c>
      <c r="E87">
        <v>4.8443191099999998E-2</v>
      </c>
      <c r="F87">
        <v>0.15998165319999999</v>
      </c>
      <c r="G87">
        <v>0.30191626240000002</v>
      </c>
      <c r="H87">
        <v>5.77235127E-2</v>
      </c>
      <c r="I87">
        <v>0.20118644259999999</v>
      </c>
      <c r="J87">
        <v>0.48429077069999998</v>
      </c>
      <c r="K87">
        <v>0.1026055236</v>
      </c>
      <c r="L87">
        <v>9.50413965E-2</v>
      </c>
      <c r="M87">
        <v>0.43038394270000002</v>
      </c>
      <c r="N87">
        <v>0.41602094760000002</v>
      </c>
      <c r="O87">
        <v>0.38186659589999999</v>
      </c>
      <c r="P87">
        <v>0.15519317269999999</v>
      </c>
      <c r="Q87">
        <v>7.5179166199999994E-2</v>
      </c>
      <c r="R87">
        <v>0.16333381860000001</v>
      </c>
      <c r="S87">
        <v>0.15114572179999999</v>
      </c>
      <c r="T87">
        <v>0.3837319092</v>
      </c>
      <c r="U87">
        <v>0.32494736569999999</v>
      </c>
      <c r="V87">
        <v>0.16843091800000001</v>
      </c>
      <c r="W87">
        <v>0.36027416709999999</v>
      </c>
      <c r="X87">
        <v>9.3081082900000001E-2</v>
      </c>
      <c r="Y87">
        <v>0.28632004170000003</v>
      </c>
      <c r="Z87">
        <v>0.22818594170000001</v>
      </c>
      <c r="AA87">
        <v>4.6732560700000002E-2</v>
      </c>
      <c r="AB87">
        <v>0.26436898260000002</v>
      </c>
      <c r="AC87">
        <v>0.22418271199583328</v>
      </c>
      <c r="AD87">
        <f t="shared" si="1"/>
        <v>0.1848086803</v>
      </c>
    </row>
    <row r="88" spans="1:30" x14ac:dyDescent="0.25">
      <c r="A88" t="s">
        <v>408</v>
      </c>
      <c r="B88" t="s">
        <v>448</v>
      </c>
      <c r="C88">
        <v>115</v>
      </c>
      <c r="D88" t="s">
        <v>4</v>
      </c>
      <c r="E88">
        <v>2.2866600000000001E-2</v>
      </c>
      <c r="F88">
        <v>2.181201E-2</v>
      </c>
      <c r="G88">
        <v>2.188671E-2</v>
      </c>
      <c r="H88">
        <v>2.1561719999999999E-2</v>
      </c>
      <c r="I88">
        <v>2.1916499999999998E-2</v>
      </c>
      <c r="J88">
        <v>2.2253459999999999E-2</v>
      </c>
      <c r="K88">
        <v>2.2055925000000001E-2</v>
      </c>
      <c r="L88">
        <v>2.3082644999999999E-2</v>
      </c>
      <c r="M88">
        <v>2.5194600000000001E-2</v>
      </c>
      <c r="N88">
        <v>2.8523295000000001E-2</v>
      </c>
      <c r="O88">
        <v>3.0947684999999999E-2</v>
      </c>
      <c r="P88">
        <v>3.290088E-2</v>
      </c>
      <c r="Q88">
        <v>3.4504559999999997E-2</v>
      </c>
      <c r="R88">
        <v>3.3592635000000003E-2</v>
      </c>
      <c r="S88">
        <v>3.2888565000000002E-2</v>
      </c>
      <c r="T88">
        <v>3.1380869999999998E-2</v>
      </c>
      <c r="U88">
        <v>3.1480635E-2</v>
      </c>
      <c r="V88">
        <v>3.1835114999999997E-2</v>
      </c>
      <c r="W88">
        <v>3.1490549999999999E-2</v>
      </c>
      <c r="X88">
        <v>2.9924505000000001E-2</v>
      </c>
      <c r="Y88">
        <v>2.8718504999999998E-2</v>
      </c>
      <c r="Z88">
        <v>2.6901000000000001E-2</v>
      </c>
      <c r="AA88">
        <v>2.615406E-2</v>
      </c>
      <c r="AB88">
        <v>2.5009605000000001E-2</v>
      </c>
      <c r="AC88">
        <v>2.7453443124999994E-2</v>
      </c>
      <c r="AD88">
        <f t="shared" si="1"/>
        <v>2.7712147499999999E-2</v>
      </c>
    </row>
    <row r="89" spans="1:30" x14ac:dyDescent="0.25">
      <c r="A89" t="s">
        <v>408</v>
      </c>
      <c r="B89" t="s">
        <v>452</v>
      </c>
      <c r="C89">
        <v>115</v>
      </c>
      <c r="D89" t="s">
        <v>2</v>
      </c>
      <c r="E89">
        <v>9.8201219949999992</v>
      </c>
      <c r="F89">
        <v>9.9769605899999991</v>
      </c>
      <c r="G89">
        <v>9.3637508100000009</v>
      </c>
      <c r="H89">
        <v>10.58908293</v>
      </c>
      <c r="I89">
        <v>9.9005886150000002</v>
      </c>
      <c r="J89">
        <v>10.279663895000001</v>
      </c>
      <c r="K89">
        <v>9.8028500199999993</v>
      </c>
      <c r="L89">
        <v>8.8499009350000009</v>
      </c>
      <c r="M89">
        <v>8.0725527249999995</v>
      </c>
      <c r="N89">
        <v>7.4462946499999996</v>
      </c>
      <c r="O89">
        <v>6.9531543999999998</v>
      </c>
      <c r="P89">
        <v>7.5477713199999998</v>
      </c>
      <c r="Q89">
        <v>7.1946892050000004</v>
      </c>
      <c r="R89">
        <v>7.7016342299999998</v>
      </c>
      <c r="S89">
        <v>8.1617060600000002</v>
      </c>
      <c r="T89">
        <v>8.9196448450000005</v>
      </c>
      <c r="U89">
        <v>10.156826515000001</v>
      </c>
      <c r="V89">
        <v>11.457647065</v>
      </c>
      <c r="W89">
        <v>13.4063622</v>
      </c>
      <c r="X89">
        <v>11.879932325</v>
      </c>
      <c r="Y89">
        <v>13.368910530000001</v>
      </c>
      <c r="Z89">
        <v>12.195770605</v>
      </c>
      <c r="AA89">
        <v>11.785715105</v>
      </c>
      <c r="AB89">
        <v>11.034284215</v>
      </c>
      <c r="AC89">
        <v>9.8277423243750004</v>
      </c>
      <c r="AD89">
        <f t="shared" si="1"/>
        <v>9.8603553049999988</v>
      </c>
    </row>
    <row r="90" spans="1:30" x14ac:dyDescent="0.25">
      <c r="A90" t="s">
        <v>408</v>
      </c>
      <c r="B90" t="s">
        <v>452</v>
      </c>
      <c r="C90">
        <v>115</v>
      </c>
      <c r="D90" t="s">
        <v>3</v>
      </c>
      <c r="E90">
        <v>1.2168469791000001</v>
      </c>
      <c r="F90">
        <v>1.1510938174000001</v>
      </c>
      <c r="G90">
        <v>1.1024790039000001</v>
      </c>
      <c r="H90">
        <v>1.2384589305</v>
      </c>
      <c r="I90">
        <v>1.2136714688000001</v>
      </c>
      <c r="J90">
        <v>0.69074719110000005</v>
      </c>
      <c r="K90">
        <v>0.89151828339999994</v>
      </c>
      <c r="L90">
        <v>0.83008217510000004</v>
      </c>
      <c r="M90">
        <v>0.84233960770000005</v>
      </c>
      <c r="N90">
        <v>0.71434162420000002</v>
      </c>
      <c r="O90">
        <v>0.72756395029999998</v>
      </c>
      <c r="P90">
        <v>0.69561325839999999</v>
      </c>
      <c r="Q90">
        <v>0.73587874809999998</v>
      </c>
      <c r="R90">
        <v>0.75175002079999997</v>
      </c>
      <c r="S90">
        <v>0.67175458600000004</v>
      </c>
      <c r="T90">
        <v>0.83082296720000004</v>
      </c>
      <c r="U90">
        <v>0.76981993329999998</v>
      </c>
      <c r="V90">
        <v>0.95699076819999995</v>
      </c>
      <c r="W90">
        <v>1.1874940964</v>
      </c>
      <c r="X90">
        <v>1.5002743333999999</v>
      </c>
      <c r="Y90">
        <v>1.1469543072999999</v>
      </c>
      <c r="Z90">
        <v>1.008261898</v>
      </c>
      <c r="AA90">
        <v>1.2019364113</v>
      </c>
      <c r="AB90">
        <v>1.4702093285</v>
      </c>
      <c r="AC90">
        <v>0.98112098701666672</v>
      </c>
      <c r="AD90">
        <f t="shared" si="1"/>
        <v>0.92425452579999989</v>
      </c>
    </row>
    <row r="91" spans="1:30" x14ac:dyDescent="0.25">
      <c r="A91" t="s">
        <v>408</v>
      </c>
      <c r="B91" t="s">
        <v>452</v>
      </c>
      <c r="C91">
        <v>115</v>
      </c>
      <c r="D91" t="s">
        <v>4</v>
      </c>
      <c r="E91">
        <v>0.14954500500000001</v>
      </c>
      <c r="F91">
        <v>0.15193340999999999</v>
      </c>
      <c r="G91">
        <v>0.14259519000000001</v>
      </c>
      <c r="H91">
        <v>0.16125507</v>
      </c>
      <c r="I91">
        <v>0.15077038500000001</v>
      </c>
      <c r="J91">
        <v>0.15654310499999999</v>
      </c>
      <c r="K91">
        <v>0.14928198000000001</v>
      </c>
      <c r="L91">
        <v>0.13477006499999999</v>
      </c>
      <c r="M91">
        <v>0.12293227499999999</v>
      </c>
      <c r="N91">
        <v>0.11339535000000001</v>
      </c>
      <c r="O91">
        <v>0.1058856</v>
      </c>
      <c r="P91">
        <v>0.11494068</v>
      </c>
      <c r="Q91">
        <v>0.10956379500000001</v>
      </c>
      <c r="R91">
        <v>0.11728377</v>
      </c>
      <c r="S91">
        <v>0.12428994</v>
      </c>
      <c r="T91">
        <v>0.13583215500000001</v>
      </c>
      <c r="U91">
        <v>0.154672485</v>
      </c>
      <c r="V91">
        <v>0.174481935</v>
      </c>
      <c r="W91">
        <v>0.2041578</v>
      </c>
      <c r="X91">
        <v>0.180912675</v>
      </c>
      <c r="Y91">
        <v>0.20358746999999999</v>
      </c>
      <c r="Z91">
        <v>0.18572239500000001</v>
      </c>
      <c r="AA91">
        <v>0.179477895</v>
      </c>
      <c r="AB91">
        <v>0.16803478499999999</v>
      </c>
      <c r="AC91">
        <v>0.14966105062499999</v>
      </c>
      <c r="AD91">
        <f t="shared" si="1"/>
        <v>0.15015769500000001</v>
      </c>
    </row>
    <row r="92" spans="1:30" x14ac:dyDescent="0.25">
      <c r="A92" t="s">
        <v>408</v>
      </c>
      <c r="B92" t="s">
        <v>453</v>
      </c>
      <c r="C92">
        <v>115</v>
      </c>
      <c r="D92" t="s">
        <v>2</v>
      </c>
      <c r="E92">
        <v>7.9870320699999997</v>
      </c>
      <c r="F92">
        <v>7.85449441</v>
      </c>
      <c r="G92">
        <v>7.8611953650000004</v>
      </c>
      <c r="H92">
        <v>7.9568457600000002</v>
      </c>
      <c r="I92">
        <v>8.0423329250000002</v>
      </c>
      <c r="J92">
        <v>8.2265358049999993</v>
      </c>
      <c r="K92">
        <v>8.1308292649999991</v>
      </c>
      <c r="L92">
        <v>7.6772259299999996</v>
      </c>
      <c r="M92">
        <v>7.4364466199999999</v>
      </c>
      <c r="N92">
        <v>6.73316844</v>
      </c>
      <c r="O92">
        <v>6.4398738550000001</v>
      </c>
      <c r="P92">
        <v>6.6922544950000002</v>
      </c>
      <c r="Q92">
        <v>7.0519134550000002</v>
      </c>
      <c r="R92">
        <v>7.3615294899999997</v>
      </c>
      <c r="S92">
        <v>7.3906234350000002</v>
      </c>
      <c r="T92">
        <v>7.6852290549999998</v>
      </c>
      <c r="U92">
        <v>8.4820664749999999</v>
      </c>
      <c r="V92">
        <v>9.6777500950000004</v>
      </c>
      <c r="W92">
        <v>11.020943375</v>
      </c>
      <c r="X92">
        <v>10.82333169</v>
      </c>
      <c r="Y92">
        <v>10.551589890000001</v>
      </c>
      <c r="Z92">
        <v>9.9893784849999996</v>
      </c>
      <c r="AA92">
        <v>9.3589548449999995</v>
      </c>
      <c r="AB92">
        <v>8.9179526150000008</v>
      </c>
      <c r="AC92">
        <v>8.3062290768750007</v>
      </c>
      <c r="AD92">
        <f t="shared" si="1"/>
        <v>7.971938915</v>
      </c>
    </row>
    <row r="93" spans="1:30" x14ac:dyDescent="0.25">
      <c r="A93" t="s">
        <v>408</v>
      </c>
      <c r="B93" t="s">
        <v>453</v>
      </c>
      <c r="C93">
        <v>115</v>
      </c>
      <c r="D93" t="s">
        <v>3</v>
      </c>
      <c r="E93">
        <v>0.76874391509999995</v>
      </c>
      <c r="F93">
        <v>0.69393035270000003</v>
      </c>
      <c r="G93">
        <v>0.72794631970000001</v>
      </c>
      <c r="H93">
        <v>0.73156340340000003</v>
      </c>
      <c r="I93">
        <v>0.74295822379999998</v>
      </c>
      <c r="J93">
        <v>0.70771304820000003</v>
      </c>
      <c r="K93">
        <v>0.61518001050000004</v>
      </c>
      <c r="L93">
        <v>0.71258838530000002</v>
      </c>
      <c r="M93">
        <v>0.79811354430000003</v>
      </c>
      <c r="N93">
        <v>0.86385420310000005</v>
      </c>
      <c r="O93">
        <v>0.97817633299999995</v>
      </c>
      <c r="P93">
        <v>1.0470864451999999</v>
      </c>
      <c r="Q93">
        <v>1.1283351607000001</v>
      </c>
      <c r="R93">
        <v>1.0747530267000001</v>
      </c>
      <c r="S93">
        <v>1.1027898544000001</v>
      </c>
      <c r="T93">
        <v>1.0006315155000001</v>
      </c>
      <c r="U93">
        <v>1.0628857769</v>
      </c>
      <c r="V93">
        <v>1.0809458148</v>
      </c>
      <c r="W93">
        <v>1.2045629767999999</v>
      </c>
      <c r="X93">
        <v>1.4040945904</v>
      </c>
      <c r="Y93">
        <v>1.3031229477999999</v>
      </c>
      <c r="Z93">
        <v>1.2027026392</v>
      </c>
      <c r="AA93">
        <v>1.1132194165</v>
      </c>
      <c r="AB93">
        <v>1.0001401927</v>
      </c>
      <c r="AC93">
        <v>0.96108492069583329</v>
      </c>
      <c r="AD93">
        <f t="shared" si="1"/>
        <v>1.0003858541000001</v>
      </c>
    </row>
    <row r="94" spans="1:30" x14ac:dyDescent="0.25">
      <c r="A94" t="s">
        <v>408</v>
      </c>
      <c r="B94" t="s">
        <v>453</v>
      </c>
      <c r="C94">
        <v>115</v>
      </c>
      <c r="D94" t="s">
        <v>4</v>
      </c>
      <c r="E94">
        <v>0.12162993</v>
      </c>
      <c r="F94">
        <v>0.11961159</v>
      </c>
      <c r="G94">
        <v>0.119713635</v>
      </c>
      <c r="H94">
        <v>0.12117024</v>
      </c>
      <c r="I94">
        <v>0.122472075</v>
      </c>
      <c r="J94">
        <v>0.12527719500000001</v>
      </c>
      <c r="K94">
        <v>0.123819735</v>
      </c>
      <c r="L94">
        <v>0.11691207000000001</v>
      </c>
      <c r="M94">
        <v>0.11324538000000001</v>
      </c>
      <c r="N94">
        <v>0.10253556</v>
      </c>
      <c r="O94">
        <v>9.8069144999999996E-2</v>
      </c>
      <c r="P94">
        <v>0.101912505</v>
      </c>
      <c r="Q94">
        <v>0.107389545</v>
      </c>
      <c r="R94">
        <v>0.11210451</v>
      </c>
      <c r="S94">
        <v>0.112547565</v>
      </c>
      <c r="T94">
        <v>0.117033945</v>
      </c>
      <c r="U94">
        <v>0.12916852500000001</v>
      </c>
      <c r="V94">
        <v>0.147376905</v>
      </c>
      <c r="W94">
        <v>0.16783162500000001</v>
      </c>
      <c r="X94">
        <v>0.16482231</v>
      </c>
      <c r="Y94">
        <v>0.16068410999999999</v>
      </c>
      <c r="Z94">
        <v>0.15212251500000001</v>
      </c>
      <c r="AA94">
        <v>0.14252215500000001</v>
      </c>
      <c r="AB94">
        <v>0.135806385</v>
      </c>
      <c r="AC94">
        <v>0.126490798125</v>
      </c>
      <c r="AD94">
        <f t="shared" si="1"/>
        <v>0.12140008499999999</v>
      </c>
    </row>
  </sheetData>
  <pageMargins left="0.7" right="0.7" top="0.75" bottom="0.75" header="0.3" footer="0.3"/>
  <ignoredErrors>
    <ignoredError sqref="AD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0BB1A-0346-44CF-B4DC-8274FE2E9FA4}">
  <dimension ref="A1:AD94"/>
  <sheetViews>
    <sheetView workbookViewId="0">
      <selection activeCell="N53" sqref="A53:XFD53"/>
    </sheetView>
  </sheetViews>
  <sheetFormatPr baseColWidth="10" defaultRowHeight="15" x14ac:dyDescent="0.25"/>
  <sheetData>
    <row r="1" spans="1:30" x14ac:dyDescent="0.25">
      <c r="A1" t="s">
        <v>569</v>
      </c>
      <c r="B1" t="s">
        <v>570</v>
      </c>
      <c r="C1" t="s">
        <v>571</v>
      </c>
      <c r="D1" t="s">
        <v>572</v>
      </c>
      <c r="E1" t="s">
        <v>573</v>
      </c>
      <c r="F1" t="s">
        <v>574</v>
      </c>
      <c r="G1" t="s">
        <v>575</v>
      </c>
      <c r="H1" t="s">
        <v>576</v>
      </c>
      <c r="I1" t="s">
        <v>577</v>
      </c>
      <c r="J1" t="s">
        <v>578</v>
      </c>
      <c r="K1" t="s">
        <v>579</v>
      </c>
      <c r="L1" t="s">
        <v>580</v>
      </c>
      <c r="M1" t="s">
        <v>581</v>
      </c>
      <c r="N1" t="s">
        <v>582</v>
      </c>
      <c r="O1" t="s">
        <v>583</v>
      </c>
      <c r="P1" t="s">
        <v>584</v>
      </c>
      <c r="Q1" t="s">
        <v>585</v>
      </c>
      <c r="R1" t="s">
        <v>586</v>
      </c>
      <c r="S1" t="s">
        <v>587</v>
      </c>
      <c r="T1" t="s">
        <v>588</v>
      </c>
      <c r="U1" t="s">
        <v>589</v>
      </c>
      <c r="V1" t="s">
        <v>590</v>
      </c>
      <c r="W1" t="s">
        <v>591</v>
      </c>
      <c r="X1" t="s">
        <v>592</v>
      </c>
      <c r="Y1" t="s">
        <v>593</v>
      </c>
      <c r="Z1" t="s">
        <v>594</v>
      </c>
      <c r="AA1" t="s">
        <v>595</v>
      </c>
      <c r="AB1" t="s">
        <v>596</v>
      </c>
      <c r="AC1" t="s">
        <v>597</v>
      </c>
      <c r="AD1" t="s">
        <v>599</v>
      </c>
    </row>
    <row r="2" spans="1:30" x14ac:dyDescent="0.25">
      <c r="A2" t="s">
        <v>112</v>
      </c>
      <c r="B2" t="s">
        <v>113</v>
      </c>
      <c r="C2">
        <v>115</v>
      </c>
      <c r="D2" t="s">
        <v>2</v>
      </c>
      <c r="E2">
        <v>28.015894020000001</v>
      </c>
      <c r="F2">
        <v>26.11456428</v>
      </c>
      <c r="G2">
        <v>24.79021208</v>
      </c>
      <c r="H2">
        <v>24.047889484999999</v>
      </c>
      <c r="I2">
        <v>24.941669619999999</v>
      </c>
      <c r="J2">
        <v>25.816594885000001</v>
      </c>
      <c r="K2">
        <v>25.36197503</v>
      </c>
      <c r="L2">
        <v>25.681583889999999</v>
      </c>
      <c r="M2">
        <v>26.199579629999999</v>
      </c>
      <c r="N2">
        <v>27.817803625</v>
      </c>
      <c r="O2">
        <v>29.771334424999999</v>
      </c>
      <c r="P2">
        <v>31.477047105</v>
      </c>
      <c r="Q2">
        <v>33.055192435000002</v>
      </c>
      <c r="R2">
        <v>32.982706284999999</v>
      </c>
      <c r="S2">
        <v>32.486616945000002</v>
      </c>
      <c r="T2">
        <v>32.530303664999998</v>
      </c>
      <c r="U2">
        <v>32.63254371</v>
      </c>
      <c r="V2">
        <v>33.199426969999998</v>
      </c>
      <c r="W2">
        <v>38.641353000000002</v>
      </c>
      <c r="X2">
        <v>40.347333599999999</v>
      </c>
      <c r="Y2">
        <v>40.374874200000001</v>
      </c>
      <c r="Z2">
        <v>37.226880195</v>
      </c>
      <c r="AA2">
        <v>33.620799134999999</v>
      </c>
      <c r="AB2">
        <v>29.871591665</v>
      </c>
      <c r="AC2">
        <f>AVERAGE(E2:AB2)</f>
        <v>30.708573744999995</v>
      </c>
      <c r="AD2">
        <f>MEDIAN(E2:AB2)</f>
        <v>30.674319385</v>
      </c>
    </row>
    <row r="3" spans="1:30" x14ac:dyDescent="0.25">
      <c r="A3" t="s">
        <v>112</v>
      </c>
      <c r="B3" t="s">
        <v>113</v>
      </c>
      <c r="C3">
        <v>115</v>
      </c>
      <c r="D3" t="s">
        <v>3</v>
      </c>
      <c r="E3">
        <v>13.393657193199999</v>
      </c>
      <c r="F3">
        <v>12.004404172899999</v>
      </c>
      <c r="G3">
        <v>11.3884321729</v>
      </c>
      <c r="H3">
        <v>11.0404374432</v>
      </c>
      <c r="I3">
        <v>11.4435348399</v>
      </c>
      <c r="J3">
        <v>11.8749190385</v>
      </c>
      <c r="K3">
        <v>11.340052744599999</v>
      </c>
      <c r="L3">
        <v>11.745713760399999</v>
      </c>
      <c r="M3">
        <v>12.1041982278</v>
      </c>
      <c r="N3">
        <v>12.738903476899999</v>
      </c>
      <c r="O3">
        <v>13.477373714200001</v>
      </c>
      <c r="P3">
        <v>13.8699533961</v>
      </c>
      <c r="Q3">
        <v>14.4869195169</v>
      </c>
      <c r="R3">
        <v>14.4257508491</v>
      </c>
      <c r="S3">
        <v>14.4012626297</v>
      </c>
      <c r="T3">
        <v>14.3340572669</v>
      </c>
      <c r="U3">
        <v>14.301687557399999</v>
      </c>
      <c r="V3">
        <v>14.0526663424</v>
      </c>
      <c r="W3">
        <v>14.7065571071</v>
      </c>
      <c r="X3">
        <v>14.5771071316</v>
      </c>
      <c r="Y3">
        <v>14.6139074756</v>
      </c>
      <c r="Z3">
        <v>13.610110414299999</v>
      </c>
      <c r="AA3">
        <v>13.000372926500001</v>
      </c>
      <c r="AB3">
        <v>12.5807178996</v>
      </c>
      <c r="AC3">
        <f t="shared" ref="AC3:AC66" si="0">AVERAGE(E3:AB3)</f>
        <v>13.146362387404166</v>
      </c>
      <c r="AD3">
        <f t="shared" ref="AD3:AD66" si="1">MEDIAN(E3:AB3)</f>
        <v>13.435515453699999</v>
      </c>
    </row>
    <row r="4" spans="1:30" x14ac:dyDescent="0.25">
      <c r="A4" t="s">
        <v>112</v>
      </c>
      <c r="B4" t="s">
        <v>113</v>
      </c>
      <c r="C4">
        <v>115</v>
      </c>
      <c r="D4" t="s">
        <v>4</v>
      </c>
      <c r="E4">
        <v>0.42663798000000003</v>
      </c>
      <c r="F4">
        <v>0.39768372000000002</v>
      </c>
      <c r="G4">
        <v>0.37751592</v>
      </c>
      <c r="H4">
        <v>0.36621151499999999</v>
      </c>
      <c r="I4">
        <v>0.37982238000000001</v>
      </c>
      <c r="J4">
        <v>0.39314611500000002</v>
      </c>
      <c r="K4">
        <v>0.38622297</v>
      </c>
      <c r="L4">
        <v>0.39109010999999999</v>
      </c>
      <c r="M4">
        <v>0.39897837000000003</v>
      </c>
      <c r="N4">
        <v>0.42362137500000002</v>
      </c>
      <c r="O4">
        <v>0.453370575</v>
      </c>
      <c r="P4">
        <v>0.47934589500000002</v>
      </c>
      <c r="Q4">
        <v>0.503378565</v>
      </c>
      <c r="R4">
        <v>0.50227471499999998</v>
      </c>
      <c r="S4">
        <v>0.49472005499999999</v>
      </c>
      <c r="T4">
        <v>0.49538533499999998</v>
      </c>
      <c r="U4">
        <v>0.49694229000000001</v>
      </c>
      <c r="V4">
        <v>0.50557503000000004</v>
      </c>
      <c r="W4">
        <v>0.58844700000000005</v>
      </c>
      <c r="X4">
        <v>0.61442640000000004</v>
      </c>
      <c r="Y4">
        <v>0.6148458</v>
      </c>
      <c r="Z4">
        <v>0.56690680500000001</v>
      </c>
      <c r="AA4">
        <v>0.51199186500000005</v>
      </c>
      <c r="AB4">
        <v>0.45489733500000001</v>
      </c>
      <c r="AC4">
        <f t="shared" si="0"/>
        <v>0.46764325499999998</v>
      </c>
      <c r="AD4">
        <f t="shared" si="1"/>
        <v>0.46712161500000005</v>
      </c>
    </row>
    <row r="5" spans="1:30" x14ac:dyDescent="0.25">
      <c r="A5" t="s">
        <v>112</v>
      </c>
      <c r="B5" t="s">
        <v>114</v>
      </c>
      <c r="C5">
        <v>115</v>
      </c>
      <c r="D5" t="s">
        <v>2</v>
      </c>
      <c r="E5">
        <v>17.241188824999998</v>
      </c>
      <c r="F5">
        <v>16.305214244999998</v>
      </c>
      <c r="G5">
        <v>15.371543580000001</v>
      </c>
      <c r="H5">
        <v>14.871871795000001</v>
      </c>
      <c r="I5">
        <v>15.274654054999999</v>
      </c>
      <c r="J5">
        <v>15.86175444</v>
      </c>
      <c r="K5">
        <v>16.439780020000001</v>
      </c>
      <c r="L5">
        <v>18.52841342</v>
      </c>
      <c r="M5">
        <v>19.820949134999999</v>
      </c>
      <c r="N5">
        <v>21.526584</v>
      </c>
      <c r="O5">
        <v>23.36214726</v>
      </c>
      <c r="P5">
        <v>24.536847425000001</v>
      </c>
      <c r="Q5">
        <v>24.66051319</v>
      </c>
      <c r="R5">
        <v>23.772463784999999</v>
      </c>
      <c r="S5">
        <v>24.384910189999999</v>
      </c>
      <c r="T5">
        <v>24.417701825000002</v>
      </c>
      <c r="U5">
        <v>23.941403104999999</v>
      </c>
      <c r="V5">
        <v>22.60289744</v>
      </c>
      <c r="W5">
        <v>24.309248400000001</v>
      </c>
      <c r="X5">
        <v>24.390176</v>
      </c>
      <c r="Y5">
        <v>24.000805499999998</v>
      </c>
      <c r="Z5">
        <v>21.57513071</v>
      </c>
      <c r="AA5">
        <v>19.607855220000001</v>
      </c>
      <c r="AB5">
        <v>17.872851595</v>
      </c>
      <c r="AC5">
        <f t="shared" si="0"/>
        <v>20.611537714999994</v>
      </c>
      <c r="AD5">
        <f t="shared" si="1"/>
        <v>21.550857354999998</v>
      </c>
    </row>
    <row r="6" spans="1:30" x14ac:dyDescent="0.25">
      <c r="A6" t="s">
        <v>112</v>
      </c>
      <c r="B6" t="s">
        <v>114</v>
      </c>
      <c r="C6">
        <v>115</v>
      </c>
      <c r="D6" t="s">
        <v>3</v>
      </c>
      <c r="E6">
        <v>4.0501653577000001</v>
      </c>
      <c r="F6">
        <v>3.9637654045000001</v>
      </c>
      <c r="G6">
        <v>3.8390122659000001</v>
      </c>
      <c r="H6">
        <v>3.8109940647</v>
      </c>
      <c r="I6">
        <v>3.7269142343000001</v>
      </c>
      <c r="J6">
        <v>3.5544268573000002</v>
      </c>
      <c r="K6">
        <v>3.9743142863999998</v>
      </c>
      <c r="L6">
        <v>4.9819765601999997</v>
      </c>
      <c r="M6">
        <v>5.7887873755000001</v>
      </c>
      <c r="N6">
        <v>6.4355952590000003</v>
      </c>
      <c r="O6">
        <v>7.1429407408000003</v>
      </c>
      <c r="P6">
        <v>7.5112757438999997</v>
      </c>
      <c r="Q6">
        <v>7.4192990942000003</v>
      </c>
      <c r="R6">
        <v>7.3480853510999999</v>
      </c>
      <c r="S6">
        <v>7.4282527616999996</v>
      </c>
      <c r="T6">
        <v>7.4382419128999997</v>
      </c>
      <c r="U6">
        <v>7.3200473282000003</v>
      </c>
      <c r="V6">
        <v>6.4244375376000002</v>
      </c>
      <c r="W6">
        <v>6.0605202021000002</v>
      </c>
      <c r="X6">
        <v>5.6616868815999997</v>
      </c>
      <c r="Y6">
        <v>5.2736702554999999</v>
      </c>
      <c r="Z6">
        <v>4.5146943777999997</v>
      </c>
      <c r="AA6">
        <v>4.1823051889</v>
      </c>
      <c r="AB6">
        <v>3.9878895597000001</v>
      </c>
      <c r="AC6">
        <f t="shared" si="0"/>
        <v>5.4933041083958329</v>
      </c>
      <c r="AD6">
        <f t="shared" si="1"/>
        <v>5.4676785685499993</v>
      </c>
    </row>
    <row r="7" spans="1:30" x14ac:dyDescent="0.25">
      <c r="A7" t="s">
        <v>112</v>
      </c>
      <c r="B7" t="s">
        <v>114</v>
      </c>
      <c r="C7">
        <v>115</v>
      </c>
      <c r="D7" t="s">
        <v>4</v>
      </c>
      <c r="E7">
        <v>0.262556175</v>
      </c>
      <c r="F7">
        <v>0.24830275500000001</v>
      </c>
      <c r="G7">
        <v>0.23408441999999999</v>
      </c>
      <c r="H7">
        <v>0.22647520500000001</v>
      </c>
      <c r="I7">
        <v>0.23260894500000001</v>
      </c>
      <c r="J7">
        <v>0.24154956</v>
      </c>
      <c r="K7">
        <v>0.25035197999999997</v>
      </c>
      <c r="L7">
        <v>0.28215857999999999</v>
      </c>
      <c r="M7">
        <v>0.30184186499999999</v>
      </c>
      <c r="N7">
        <v>0.327816</v>
      </c>
      <c r="O7">
        <v>0.35576874000000003</v>
      </c>
      <c r="P7">
        <v>0.37365757500000002</v>
      </c>
      <c r="Q7">
        <v>0.37554081</v>
      </c>
      <c r="R7">
        <v>0.362017215</v>
      </c>
      <c r="S7">
        <v>0.37134381</v>
      </c>
      <c r="T7">
        <v>0.37184317500000003</v>
      </c>
      <c r="U7">
        <v>0.364589895</v>
      </c>
      <c r="V7">
        <v>0.34420655999999999</v>
      </c>
      <c r="W7">
        <v>0.37019160000000001</v>
      </c>
      <c r="X7">
        <v>0.37142399999999998</v>
      </c>
      <c r="Y7">
        <v>0.3654945</v>
      </c>
      <c r="Z7">
        <v>0.32855529</v>
      </c>
      <c r="AA7">
        <v>0.29859678000000001</v>
      </c>
      <c r="AB7">
        <v>0.27217540499999998</v>
      </c>
      <c r="AC7">
        <f t="shared" si="0"/>
        <v>0.31388128500000001</v>
      </c>
      <c r="AD7">
        <f t="shared" si="1"/>
        <v>0.32818564500000003</v>
      </c>
    </row>
    <row r="8" spans="1:30" x14ac:dyDescent="0.25">
      <c r="A8" t="s">
        <v>112</v>
      </c>
      <c r="B8" t="s">
        <v>116</v>
      </c>
      <c r="C8">
        <v>115</v>
      </c>
      <c r="D8" t="s">
        <v>2</v>
      </c>
      <c r="E8">
        <v>3.07552263</v>
      </c>
      <c r="F8">
        <v>2.9082400800000001</v>
      </c>
      <c r="G8">
        <v>2.7787756199999998</v>
      </c>
      <c r="H8">
        <v>2.704671115</v>
      </c>
      <c r="I8">
        <v>2.7499003449999999</v>
      </c>
      <c r="J8">
        <v>2.8850531799999999</v>
      </c>
      <c r="K8">
        <v>2.9297386900000002</v>
      </c>
      <c r="L8">
        <v>3.1102744150000001</v>
      </c>
      <c r="M8">
        <v>3.2578215049999999</v>
      </c>
      <c r="N8">
        <v>3.4704573949999999</v>
      </c>
      <c r="O8">
        <v>3.7487691449999998</v>
      </c>
      <c r="P8">
        <v>3.9323790550000002</v>
      </c>
      <c r="Q8">
        <v>4.0542836400000004</v>
      </c>
      <c r="R8">
        <v>3.9792118649999999</v>
      </c>
      <c r="S8">
        <v>3.9956140850000001</v>
      </c>
      <c r="T8">
        <v>4.0009872599999996</v>
      </c>
      <c r="U8">
        <v>3.8835319199999998</v>
      </c>
      <c r="V8">
        <v>3.6837719500000001</v>
      </c>
      <c r="W8">
        <v>4.0277437999999997</v>
      </c>
      <c r="X8">
        <v>4.0784516000000002</v>
      </c>
      <c r="Y8">
        <v>4.0363724000000003</v>
      </c>
      <c r="Z8">
        <v>3.7948247899999998</v>
      </c>
      <c r="AA8">
        <v>3.5370670350000002</v>
      </c>
      <c r="AB8">
        <v>3.1962087700000001</v>
      </c>
      <c r="AC8">
        <f t="shared" si="0"/>
        <v>3.4924863454166668</v>
      </c>
      <c r="AD8">
        <f t="shared" si="1"/>
        <v>3.6104194925000002</v>
      </c>
    </row>
    <row r="9" spans="1:30" x14ac:dyDescent="0.25">
      <c r="A9" t="s">
        <v>112</v>
      </c>
      <c r="B9" t="s">
        <v>116</v>
      </c>
      <c r="C9">
        <v>115</v>
      </c>
      <c r="D9" t="s">
        <v>3</v>
      </c>
      <c r="E9">
        <v>0.83454863749999997</v>
      </c>
      <c r="F9">
        <v>0.83234404240000004</v>
      </c>
      <c r="G9">
        <v>0.80616004200000002</v>
      </c>
      <c r="H9">
        <v>0.80343377309999997</v>
      </c>
      <c r="I9">
        <v>0.79026554699999996</v>
      </c>
      <c r="J9">
        <v>0.74793869390000001</v>
      </c>
      <c r="K9">
        <v>0.78533439949999995</v>
      </c>
      <c r="L9">
        <v>0.82985816359999998</v>
      </c>
      <c r="M9">
        <v>0.92726007219999995</v>
      </c>
      <c r="N9">
        <v>0.98366377100000002</v>
      </c>
      <c r="O9">
        <v>1.0669964401000001</v>
      </c>
      <c r="P9">
        <v>1.0798942375</v>
      </c>
      <c r="Q9">
        <v>1.1378566233</v>
      </c>
      <c r="R9">
        <v>1.1357256823999999</v>
      </c>
      <c r="S9">
        <v>1.0956360039999999</v>
      </c>
      <c r="T9">
        <v>1.0856751415000001</v>
      </c>
      <c r="U9">
        <v>1.0806005220999999</v>
      </c>
      <c r="V9">
        <v>0.9965740971</v>
      </c>
      <c r="W9">
        <v>0.94616610099999998</v>
      </c>
      <c r="X9">
        <v>0.86787710699999998</v>
      </c>
      <c r="Y9">
        <v>0.82383480769999995</v>
      </c>
      <c r="Z9">
        <v>0.80370305239999995</v>
      </c>
      <c r="AA9">
        <v>0.81610035920000001</v>
      </c>
      <c r="AB9">
        <v>0.80244175169999998</v>
      </c>
      <c r="AC9">
        <f t="shared" si="0"/>
        <v>0.9199953778833333</v>
      </c>
      <c r="AD9">
        <f t="shared" si="1"/>
        <v>0.85121287224999997</v>
      </c>
    </row>
    <row r="10" spans="1:30" x14ac:dyDescent="0.25">
      <c r="A10" t="s">
        <v>112</v>
      </c>
      <c r="B10" t="s">
        <v>116</v>
      </c>
      <c r="C10">
        <v>115</v>
      </c>
      <c r="D10" t="s">
        <v>4</v>
      </c>
      <c r="E10">
        <v>4.6835370000000001E-2</v>
      </c>
      <c r="F10">
        <v>4.4287920000000001E-2</v>
      </c>
      <c r="G10">
        <v>4.2316380000000001E-2</v>
      </c>
      <c r="H10">
        <v>4.1187885E-2</v>
      </c>
      <c r="I10">
        <v>4.1876654999999999E-2</v>
      </c>
      <c r="J10">
        <v>4.3934819999999999E-2</v>
      </c>
      <c r="K10">
        <v>4.4615309999999998E-2</v>
      </c>
      <c r="L10">
        <v>4.7364585000000001E-2</v>
      </c>
      <c r="M10">
        <v>4.9611494999999999E-2</v>
      </c>
      <c r="N10">
        <v>5.2849605000000001E-2</v>
      </c>
      <c r="O10">
        <v>5.7087855E-2</v>
      </c>
      <c r="P10">
        <v>5.9883945000000001E-2</v>
      </c>
      <c r="Q10">
        <v>6.1740360000000001E-2</v>
      </c>
      <c r="R10">
        <v>6.0597135000000003E-2</v>
      </c>
      <c r="S10">
        <v>6.0846915000000001E-2</v>
      </c>
      <c r="T10">
        <v>6.0928740000000002E-2</v>
      </c>
      <c r="U10">
        <v>5.9140079999999998E-2</v>
      </c>
      <c r="V10">
        <v>5.6098050000000003E-2</v>
      </c>
      <c r="W10">
        <v>6.13362E-2</v>
      </c>
      <c r="X10">
        <v>6.2108400000000001E-2</v>
      </c>
      <c r="Y10">
        <v>6.1467599999999997E-2</v>
      </c>
      <c r="Z10">
        <v>5.7789210000000001E-2</v>
      </c>
      <c r="AA10">
        <v>5.3863965E-2</v>
      </c>
      <c r="AB10">
        <v>4.8673229999999998E-2</v>
      </c>
      <c r="AC10">
        <f t="shared" si="0"/>
        <v>5.318507125E-2</v>
      </c>
      <c r="AD10">
        <f t="shared" si="1"/>
        <v>5.4981007499999998E-2</v>
      </c>
    </row>
    <row r="11" spans="1:30" x14ac:dyDescent="0.25">
      <c r="A11" t="s">
        <v>112</v>
      </c>
      <c r="B11" t="s">
        <v>117</v>
      </c>
      <c r="C11">
        <v>115</v>
      </c>
      <c r="D11" t="s">
        <v>2</v>
      </c>
      <c r="E11">
        <v>20.478581429999998</v>
      </c>
      <c r="F11">
        <v>19.622673559999999</v>
      </c>
      <c r="G11">
        <v>19.436079100000001</v>
      </c>
      <c r="H11">
        <v>19.119886220000001</v>
      </c>
      <c r="I11">
        <v>19.572816799999998</v>
      </c>
      <c r="J11">
        <v>19.692396785</v>
      </c>
      <c r="K11">
        <v>21.389167635</v>
      </c>
      <c r="L11">
        <v>25.750497445000001</v>
      </c>
      <c r="M11">
        <v>26.144730625000001</v>
      </c>
      <c r="N11">
        <v>28.443563025</v>
      </c>
      <c r="O11">
        <v>30.823193005</v>
      </c>
      <c r="P11">
        <v>32.172444034999998</v>
      </c>
      <c r="Q11">
        <v>35.40497199</v>
      </c>
      <c r="R11">
        <v>35.232351725000001</v>
      </c>
      <c r="S11">
        <v>36.740012425000003</v>
      </c>
      <c r="T11">
        <v>36.789419039999999</v>
      </c>
      <c r="U11">
        <v>36.401321160000002</v>
      </c>
      <c r="V11">
        <v>32.301223200000003</v>
      </c>
      <c r="W11">
        <v>30.591814800000002</v>
      </c>
      <c r="X11">
        <v>27.323899999999998</v>
      </c>
      <c r="Y11">
        <v>26.147219</v>
      </c>
      <c r="Z11">
        <v>23.876410835000001</v>
      </c>
      <c r="AA11">
        <v>22.216325325</v>
      </c>
      <c r="AB11">
        <v>20.77967426</v>
      </c>
      <c r="AC11">
        <f t="shared" si="0"/>
        <v>26.935444726041663</v>
      </c>
      <c r="AD11">
        <f t="shared" si="1"/>
        <v>26.1459748125</v>
      </c>
    </row>
    <row r="12" spans="1:30" x14ac:dyDescent="0.25">
      <c r="A12" t="s">
        <v>112</v>
      </c>
      <c r="B12" t="s">
        <v>117</v>
      </c>
      <c r="C12">
        <v>115</v>
      </c>
      <c r="D12" t="s">
        <v>3</v>
      </c>
      <c r="E12">
        <v>9.2944965258999996</v>
      </c>
      <c r="F12">
        <v>9.4257480636000004</v>
      </c>
      <c r="G12">
        <v>9.3361174449999993</v>
      </c>
      <c r="H12">
        <v>8.8554964043000002</v>
      </c>
      <c r="I12">
        <v>9.2846443248000003</v>
      </c>
      <c r="J12">
        <v>8.8223829563000002</v>
      </c>
      <c r="K12">
        <v>7.4904491110000002</v>
      </c>
      <c r="L12">
        <v>5.3356916876999998</v>
      </c>
      <c r="M12">
        <v>5.8461486684999997</v>
      </c>
      <c r="N12">
        <v>6.5092403371999996</v>
      </c>
      <c r="O12">
        <v>7.3115627235999998</v>
      </c>
      <c r="P12">
        <v>7.8498628642000003</v>
      </c>
      <c r="Q12">
        <v>11.0353596066</v>
      </c>
      <c r="R12">
        <v>10.9555524834</v>
      </c>
      <c r="S12">
        <v>13.1265945491</v>
      </c>
      <c r="T12">
        <v>12.7833597633</v>
      </c>
      <c r="U12">
        <v>13.187751091000001</v>
      </c>
      <c r="V12">
        <v>13.983261799999999</v>
      </c>
      <c r="W12">
        <v>14.168792786999999</v>
      </c>
      <c r="X12">
        <v>12.6631324014</v>
      </c>
      <c r="Y12">
        <v>12.2759585725</v>
      </c>
      <c r="Z12">
        <v>11.250932962</v>
      </c>
      <c r="AA12">
        <v>9.2145095429000001</v>
      </c>
      <c r="AB12">
        <v>8.1930293130000003</v>
      </c>
      <c r="AC12">
        <f t="shared" si="0"/>
        <v>9.9250031660125018</v>
      </c>
      <c r="AD12">
        <f t="shared" si="1"/>
        <v>9.3153069854500004</v>
      </c>
    </row>
    <row r="13" spans="1:30" x14ac:dyDescent="0.25">
      <c r="A13" t="s">
        <v>112</v>
      </c>
      <c r="B13" t="s">
        <v>117</v>
      </c>
      <c r="C13">
        <v>115</v>
      </c>
      <c r="D13" t="s">
        <v>4</v>
      </c>
      <c r="E13">
        <v>0.31185657</v>
      </c>
      <c r="F13">
        <v>0.29882244000000002</v>
      </c>
      <c r="G13">
        <v>0.29598089999999999</v>
      </c>
      <c r="H13">
        <v>0.29116577999999999</v>
      </c>
      <c r="I13">
        <v>0.29806319999999997</v>
      </c>
      <c r="J13">
        <v>0.29988421500000001</v>
      </c>
      <c r="K13">
        <v>0.32572336499999999</v>
      </c>
      <c r="L13">
        <v>0.39213955499999997</v>
      </c>
      <c r="M13">
        <v>0.39814310590000002</v>
      </c>
      <c r="N13">
        <v>0.43315070589999999</v>
      </c>
      <c r="O13">
        <v>0.46938872590000003</v>
      </c>
      <c r="P13">
        <v>0.48993569590000002</v>
      </c>
      <c r="Q13">
        <v>0.53916200999999997</v>
      </c>
      <c r="R13">
        <v>0.53653327500000003</v>
      </c>
      <c r="S13">
        <v>0.55949257500000005</v>
      </c>
      <c r="T13">
        <v>0.56024496000000001</v>
      </c>
      <c r="U13">
        <v>0.55433484</v>
      </c>
      <c r="V13">
        <v>0.49189680000000002</v>
      </c>
      <c r="W13">
        <v>0.46586519999999998</v>
      </c>
      <c r="X13">
        <v>0.41610000000000003</v>
      </c>
      <c r="Y13">
        <v>0.39818100000000001</v>
      </c>
      <c r="Z13">
        <v>0.36360016499999998</v>
      </c>
      <c r="AA13">
        <v>0.33831967499999999</v>
      </c>
      <c r="AB13">
        <v>0.31644174000000003</v>
      </c>
      <c r="AC13">
        <f t="shared" si="0"/>
        <v>0.41018443744166661</v>
      </c>
      <c r="AD13">
        <f t="shared" si="1"/>
        <v>0.39816205295000001</v>
      </c>
    </row>
    <row r="14" spans="1:30" x14ac:dyDescent="0.25">
      <c r="A14" t="s">
        <v>112</v>
      </c>
      <c r="B14" t="s">
        <v>118</v>
      </c>
      <c r="C14">
        <v>115</v>
      </c>
      <c r="D14" t="s">
        <v>2</v>
      </c>
      <c r="E14">
        <v>21.404143574999999</v>
      </c>
      <c r="F14">
        <v>20.417274044999999</v>
      </c>
      <c r="G14">
        <v>19.677878870000001</v>
      </c>
      <c r="H14">
        <v>19.177188595000001</v>
      </c>
      <c r="I14">
        <v>19.800049404999999</v>
      </c>
      <c r="J14">
        <v>20.988054949999999</v>
      </c>
      <c r="K14">
        <v>24.08203254</v>
      </c>
      <c r="L14">
        <v>30.17011857</v>
      </c>
      <c r="M14">
        <v>36.039011565000003</v>
      </c>
      <c r="N14">
        <v>40.064566695000003</v>
      </c>
      <c r="O14">
        <v>44.098428329999997</v>
      </c>
      <c r="P14">
        <v>46.017845625</v>
      </c>
      <c r="Q14">
        <v>45.680692929999999</v>
      </c>
      <c r="R14">
        <v>45.222713239999997</v>
      </c>
      <c r="S14">
        <v>46.400684589999997</v>
      </c>
      <c r="T14">
        <v>46.463082370000002</v>
      </c>
      <c r="U14">
        <v>44.639482919999999</v>
      </c>
      <c r="V14">
        <v>39.157132490000002</v>
      </c>
      <c r="W14">
        <v>36.624506400000001</v>
      </c>
      <c r="X14">
        <v>32.690889200000001</v>
      </c>
      <c r="Y14">
        <v>29.536879800000001</v>
      </c>
      <c r="Z14">
        <v>25.908445149999999</v>
      </c>
      <c r="AA14">
        <v>23.452898265000002</v>
      </c>
      <c r="AB14">
        <v>21.859474599999999</v>
      </c>
      <c r="AC14">
        <f t="shared" si="0"/>
        <v>32.482228113333335</v>
      </c>
      <c r="AD14">
        <f t="shared" si="1"/>
        <v>31.430503885</v>
      </c>
    </row>
    <row r="15" spans="1:30" x14ac:dyDescent="0.25">
      <c r="A15" t="s">
        <v>112</v>
      </c>
      <c r="B15" t="s">
        <v>118</v>
      </c>
      <c r="C15">
        <v>115</v>
      </c>
      <c r="D15" t="s">
        <v>3</v>
      </c>
      <c r="E15">
        <v>6.8279451500999997</v>
      </c>
      <c r="F15">
        <v>6.1889284343000002</v>
      </c>
      <c r="G15">
        <v>6.0091187587999997</v>
      </c>
      <c r="H15">
        <v>5.9134414</v>
      </c>
      <c r="I15">
        <v>5.9719675907000003</v>
      </c>
      <c r="J15">
        <v>5.9488381299000004</v>
      </c>
      <c r="K15">
        <v>6.7105473309999999</v>
      </c>
      <c r="L15">
        <v>8.3340926194999998</v>
      </c>
      <c r="M15">
        <v>10.186283576299999</v>
      </c>
      <c r="N15">
        <v>11.371733619600001</v>
      </c>
      <c r="O15">
        <v>12.844943666800001</v>
      </c>
      <c r="P15">
        <v>13.669791915599999</v>
      </c>
      <c r="Q15">
        <v>14.338988692699999</v>
      </c>
      <c r="R15">
        <v>14.507899570599999</v>
      </c>
      <c r="S15">
        <v>13.995085511699999</v>
      </c>
      <c r="T15">
        <v>14.031451330299999</v>
      </c>
      <c r="U15">
        <v>13.413216113100001</v>
      </c>
      <c r="V15">
        <v>11.9575824684</v>
      </c>
      <c r="W15">
        <v>10.879461537099999</v>
      </c>
      <c r="X15">
        <v>9.4713380036999997</v>
      </c>
      <c r="Y15">
        <v>8.5229767500999998</v>
      </c>
      <c r="Z15">
        <v>7.5365290435999999</v>
      </c>
      <c r="AA15">
        <v>7.0293092041999996</v>
      </c>
      <c r="AB15">
        <v>6.5765857689000002</v>
      </c>
      <c r="AC15">
        <f t="shared" si="0"/>
        <v>9.6765856744583338</v>
      </c>
      <c r="AD15">
        <f t="shared" si="1"/>
        <v>8.9971573768999988</v>
      </c>
    </row>
    <row r="16" spans="1:30" x14ac:dyDescent="0.25">
      <c r="A16" t="s">
        <v>112</v>
      </c>
      <c r="B16" t="s">
        <v>118</v>
      </c>
      <c r="C16">
        <v>115</v>
      </c>
      <c r="D16" t="s">
        <v>4</v>
      </c>
      <c r="E16">
        <v>0.32595142500000002</v>
      </c>
      <c r="F16">
        <v>0.310922955</v>
      </c>
      <c r="G16">
        <v>0.29966313</v>
      </c>
      <c r="H16">
        <v>0.292038405</v>
      </c>
      <c r="I16">
        <v>0.30152359499999998</v>
      </c>
      <c r="J16">
        <v>0.31961505000000001</v>
      </c>
      <c r="K16">
        <v>0.36673146000000001</v>
      </c>
      <c r="L16">
        <v>0.45944342999999999</v>
      </c>
      <c r="M16">
        <v>0.54881743500000002</v>
      </c>
      <c r="N16">
        <v>0.61012030500000003</v>
      </c>
      <c r="O16">
        <v>0.67154966999999999</v>
      </c>
      <c r="P16">
        <v>0.70077937499999998</v>
      </c>
      <c r="Q16">
        <v>0.69564506999999998</v>
      </c>
      <c r="R16">
        <v>0.68867076000000005</v>
      </c>
      <c r="S16">
        <v>0.70660940999999999</v>
      </c>
      <c r="T16">
        <v>0.70755962999999999</v>
      </c>
      <c r="U16">
        <v>0.67978908000000005</v>
      </c>
      <c r="V16">
        <v>0.59630150999999998</v>
      </c>
      <c r="W16">
        <v>0.55773360000000005</v>
      </c>
      <c r="X16">
        <v>0.49783080000000002</v>
      </c>
      <c r="Y16">
        <v>0.44980019999999998</v>
      </c>
      <c r="Z16">
        <v>0.39454485</v>
      </c>
      <c r="AA16">
        <v>0.357150735</v>
      </c>
      <c r="AB16">
        <v>0.3328854</v>
      </c>
      <c r="AC16">
        <f t="shared" si="0"/>
        <v>0.49465322000000017</v>
      </c>
      <c r="AD16">
        <f t="shared" si="1"/>
        <v>0.478637115</v>
      </c>
    </row>
    <row r="17" spans="1:30" x14ac:dyDescent="0.25">
      <c r="A17" t="s">
        <v>112</v>
      </c>
      <c r="B17" t="s">
        <v>122</v>
      </c>
      <c r="C17">
        <v>115</v>
      </c>
      <c r="D17" t="s">
        <v>2</v>
      </c>
      <c r="E17">
        <v>34.756311074999999</v>
      </c>
      <c r="F17">
        <v>32.928268289999998</v>
      </c>
      <c r="G17">
        <v>31.645037869999999</v>
      </c>
      <c r="H17">
        <v>30.843948205</v>
      </c>
      <c r="I17">
        <v>32.3402095</v>
      </c>
      <c r="J17">
        <v>32.721407454999998</v>
      </c>
      <c r="K17">
        <v>32.123229760000001</v>
      </c>
      <c r="L17">
        <v>33.326334369999998</v>
      </c>
      <c r="M17">
        <v>33.917875135000003</v>
      </c>
      <c r="N17">
        <v>35.700777340000002</v>
      </c>
      <c r="O17">
        <v>37.977166515</v>
      </c>
      <c r="P17">
        <v>40.026219660000002</v>
      </c>
      <c r="Q17">
        <v>41.285508669999999</v>
      </c>
      <c r="R17">
        <v>41.455162115</v>
      </c>
      <c r="S17">
        <v>40.944307625</v>
      </c>
      <c r="T17">
        <v>40.999368140000001</v>
      </c>
      <c r="U17">
        <v>41.142492580000003</v>
      </c>
      <c r="V17">
        <v>41.101345190000004</v>
      </c>
      <c r="W17">
        <v>46.720638200000003</v>
      </c>
      <c r="X17">
        <v>48.360426799999999</v>
      </c>
      <c r="Y17">
        <v>47.923559599999997</v>
      </c>
      <c r="Z17">
        <v>44.242480639999997</v>
      </c>
      <c r="AA17">
        <v>40.676266470000002</v>
      </c>
      <c r="AB17">
        <v>36.220815969999997</v>
      </c>
      <c r="AC17">
        <f t="shared" si="0"/>
        <v>38.307464882291661</v>
      </c>
      <c r="AD17">
        <f t="shared" si="1"/>
        <v>39.001693087500001</v>
      </c>
    </row>
    <row r="18" spans="1:30" x14ac:dyDescent="0.25">
      <c r="A18" t="s">
        <v>112</v>
      </c>
      <c r="B18" t="s">
        <v>122</v>
      </c>
      <c r="C18">
        <v>115</v>
      </c>
      <c r="D18" t="s">
        <v>3</v>
      </c>
      <c r="E18">
        <v>8.2286178075999992</v>
      </c>
      <c r="F18">
        <v>7.9752244197</v>
      </c>
      <c r="G18">
        <v>7.8476249101000004</v>
      </c>
      <c r="H18">
        <v>7.7436968639000003</v>
      </c>
      <c r="I18">
        <v>7.8182406629000001</v>
      </c>
      <c r="J18">
        <v>7.4572879740999998</v>
      </c>
      <c r="K18">
        <v>7.2599149141000003</v>
      </c>
      <c r="L18">
        <v>7.3064641040999998</v>
      </c>
      <c r="M18">
        <v>7.4858087906000002</v>
      </c>
      <c r="N18">
        <v>8.1024313213999992</v>
      </c>
      <c r="O18">
        <v>8.4553512868999992</v>
      </c>
      <c r="P18">
        <v>8.6174072409000004</v>
      </c>
      <c r="Q18">
        <v>9.2317348762000009</v>
      </c>
      <c r="R18">
        <v>9.2297027530999998</v>
      </c>
      <c r="S18">
        <v>9.1554398834999997</v>
      </c>
      <c r="T18">
        <v>9.1480059180000008</v>
      </c>
      <c r="U18">
        <v>9.3374499200999992</v>
      </c>
      <c r="V18">
        <v>9.1707596018000004</v>
      </c>
      <c r="W18">
        <v>9.4134402576999996</v>
      </c>
      <c r="X18">
        <v>9.3017939435999999</v>
      </c>
      <c r="Y18">
        <v>9.0853598155000004</v>
      </c>
      <c r="Z18">
        <v>8.5581924371000007</v>
      </c>
      <c r="AA18">
        <v>8.2170041938999994</v>
      </c>
      <c r="AB18">
        <v>7.8340687646999996</v>
      </c>
      <c r="AC18">
        <f t="shared" si="0"/>
        <v>8.4158759442291657</v>
      </c>
      <c r="AD18">
        <f t="shared" si="1"/>
        <v>8.34198454725</v>
      </c>
    </row>
    <row r="19" spans="1:30" x14ac:dyDescent="0.25">
      <c r="A19" t="s">
        <v>112</v>
      </c>
      <c r="B19" t="s">
        <v>122</v>
      </c>
      <c r="C19">
        <v>115</v>
      </c>
      <c r="D19" t="s">
        <v>4</v>
      </c>
      <c r="E19">
        <v>0.52928392499999999</v>
      </c>
      <c r="F19">
        <v>0.50144571000000004</v>
      </c>
      <c r="G19">
        <v>0.48190412999999999</v>
      </c>
      <c r="H19">
        <v>0.46970479500000001</v>
      </c>
      <c r="I19">
        <v>0.4924905</v>
      </c>
      <c r="J19">
        <v>0.49829554500000001</v>
      </c>
      <c r="K19">
        <v>0.48918623999999999</v>
      </c>
      <c r="L19">
        <v>0.50750762999999999</v>
      </c>
      <c r="M19">
        <v>0.51651586500000002</v>
      </c>
      <c r="N19">
        <v>0.54366665999999997</v>
      </c>
      <c r="O19">
        <v>0.57833248500000001</v>
      </c>
      <c r="P19">
        <v>0.60953634000000001</v>
      </c>
      <c r="Q19">
        <v>0.62871332999999996</v>
      </c>
      <c r="R19">
        <v>0.63129688500000003</v>
      </c>
      <c r="S19">
        <v>0.62351737500000004</v>
      </c>
      <c r="T19">
        <v>0.62435585999999998</v>
      </c>
      <c r="U19">
        <v>0.62653541999999995</v>
      </c>
      <c r="V19">
        <v>0.62590880999999998</v>
      </c>
      <c r="W19">
        <v>0.71148180000000005</v>
      </c>
      <c r="X19">
        <v>0.73645320000000003</v>
      </c>
      <c r="Y19">
        <v>0.72980040000000002</v>
      </c>
      <c r="Z19">
        <v>0.67374336000000001</v>
      </c>
      <c r="AA19">
        <v>0.61943552999999996</v>
      </c>
      <c r="AB19">
        <v>0.55158602999999995</v>
      </c>
      <c r="AC19">
        <f t="shared" si="0"/>
        <v>0.58336240937499995</v>
      </c>
      <c r="AD19">
        <f t="shared" si="1"/>
        <v>0.59393441250000001</v>
      </c>
    </row>
    <row r="20" spans="1:30" x14ac:dyDescent="0.25">
      <c r="A20" t="s">
        <v>112</v>
      </c>
      <c r="B20" t="s">
        <v>123</v>
      </c>
      <c r="C20">
        <v>115</v>
      </c>
      <c r="D20" t="s">
        <v>2</v>
      </c>
      <c r="E20">
        <v>9.0480957400000008</v>
      </c>
      <c r="F20">
        <v>8.4625014200000006</v>
      </c>
      <c r="G20">
        <v>8.1022041799999993</v>
      </c>
      <c r="H20">
        <v>7.93828639</v>
      </c>
      <c r="I20">
        <v>8.4576749200000005</v>
      </c>
      <c r="J20">
        <v>9.113869115</v>
      </c>
      <c r="K20">
        <v>9.2837382749999993</v>
      </c>
      <c r="L20">
        <v>9.9005029199999992</v>
      </c>
      <c r="M20">
        <v>10.438221315</v>
      </c>
      <c r="N20">
        <v>11.75407789</v>
      </c>
      <c r="O20">
        <v>13.261776019999999</v>
      </c>
      <c r="P20">
        <v>14.228609665</v>
      </c>
      <c r="Q20">
        <v>14.835268210000001</v>
      </c>
      <c r="R20">
        <v>14.562221285</v>
      </c>
      <c r="S20">
        <v>14.141161365</v>
      </c>
      <c r="T20">
        <v>14.160177774999999</v>
      </c>
      <c r="U20">
        <v>14.205393215000001</v>
      </c>
      <c r="V20">
        <v>14.285985914999999</v>
      </c>
      <c r="W20">
        <v>16.069329400000001</v>
      </c>
      <c r="X20">
        <v>16.003176799999999</v>
      </c>
      <c r="Y20">
        <v>15.0750704</v>
      </c>
      <c r="Z20">
        <v>13.00502395</v>
      </c>
      <c r="AA20">
        <v>11.063832245</v>
      </c>
      <c r="AB20">
        <v>9.6318175749999995</v>
      </c>
      <c r="AC20">
        <f t="shared" si="0"/>
        <v>11.959500666041665</v>
      </c>
      <c r="AD20">
        <f t="shared" si="1"/>
        <v>12.37955092</v>
      </c>
    </row>
    <row r="21" spans="1:30" x14ac:dyDescent="0.25">
      <c r="A21" t="s">
        <v>112</v>
      </c>
      <c r="B21" t="s">
        <v>123</v>
      </c>
      <c r="C21">
        <v>115</v>
      </c>
      <c r="D21" t="s">
        <v>3</v>
      </c>
      <c r="E21">
        <v>4.2687887774000002</v>
      </c>
      <c r="F21">
        <v>3.8802394938</v>
      </c>
      <c r="G21">
        <v>3.7126824579000002</v>
      </c>
      <c r="H21">
        <v>3.6352641443000002</v>
      </c>
      <c r="I21">
        <v>4.0506147933000003</v>
      </c>
      <c r="J21">
        <v>3.8023639174000001</v>
      </c>
      <c r="K21">
        <v>3.7301955332999999</v>
      </c>
      <c r="L21">
        <v>3.9934146078000001</v>
      </c>
      <c r="M21">
        <v>4.2297464529999997</v>
      </c>
      <c r="N21">
        <v>4.7007753708999997</v>
      </c>
      <c r="O21">
        <v>5.1869889707999999</v>
      </c>
      <c r="P21">
        <v>5.3647606112000004</v>
      </c>
      <c r="Q21">
        <v>5.7222534140999999</v>
      </c>
      <c r="R21">
        <v>5.7140430858000002</v>
      </c>
      <c r="S21">
        <v>5.6333229863999996</v>
      </c>
      <c r="T21">
        <v>5.5473347246999998</v>
      </c>
      <c r="U21">
        <v>5.4565966031000004</v>
      </c>
      <c r="V21">
        <v>5.4279189118</v>
      </c>
      <c r="W21">
        <v>5.5616940208000001</v>
      </c>
      <c r="X21">
        <v>5.2429338545000004</v>
      </c>
      <c r="Y21">
        <v>4.9602834419999997</v>
      </c>
      <c r="Z21">
        <v>4.4832848738999997</v>
      </c>
      <c r="AA21">
        <v>4.1786715414</v>
      </c>
      <c r="AB21">
        <v>4.1436801978000002</v>
      </c>
      <c r="AC21">
        <f t="shared" si="0"/>
        <v>4.6928271994750004</v>
      </c>
      <c r="AD21">
        <f t="shared" si="1"/>
        <v>4.5920301223999997</v>
      </c>
    </row>
    <row r="22" spans="1:30" x14ac:dyDescent="0.25">
      <c r="A22" t="s">
        <v>112</v>
      </c>
      <c r="B22" t="s">
        <v>123</v>
      </c>
      <c r="C22">
        <v>115</v>
      </c>
      <c r="D22" t="s">
        <v>4</v>
      </c>
      <c r="E22">
        <v>0.13778826</v>
      </c>
      <c r="F22">
        <v>0.12887058000000001</v>
      </c>
      <c r="G22">
        <v>0.12338382000000001</v>
      </c>
      <c r="H22">
        <v>0.12088761000000001</v>
      </c>
      <c r="I22">
        <v>0.12879708000000001</v>
      </c>
      <c r="J22">
        <v>0.138789885</v>
      </c>
      <c r="K22">
        <v>0.14137672500000001</v>
      </c>
      <c r="L22">
        <v>0.15076908</v>
      </c>
      <c r="M22">
        <v>0.15895768499999999</v>
      </c>
      <c r="N22">
        <v>0.17899611000000001</v>
      </c>
      <c r="O22">
        <v>0.20195598000000001</v>
      </c>
      <c r="P22">
        <v>0.216679335</v>
      </c>
      <c r="Q22">
        <v>0.22591779000000001</v>
      </c>
      <c r="R22">
        <v>0.221759715</v>
      </c>
      <c r="S22">
        <v>0.21534763500000001</v>
      </c>
      <c r="T22">
        <v>0.21563722499999999</v>
      </c>
      <c r="U22">
        <v>0.21632578499999999</v>
      </c>
      <c r="V22">
        <v>0.21755308500000001</v>
      </c>
      <c r="W22">
        <v>0.2447106</v>
      </c>
      <c r="X22">
        <v>0.24370320000000001</v>
      </c>
      <c r="Y22">
        <v>0.22956960000000001</v>
      </c>
      <c r="Z22">
        <v>0.19804605</v>
      </c>
      <c r="AA22">
        <v>0.16848475500000001</v>
      </c>
      <c r="AB22">
        <v>0.146677425</v>
      </c>
      <c r="AC22">
        <f t="shared" si="0"/>
        <v>0.18212437562500003</v>
      </c>
      <c r="AD22">
        <f t="shared" si="1"/>
        <v>0.18852108000000001</v>
      </c>
    </row>
    <row r="23" spans="1:30" x14ac:dyDescent="0.25">
      <c r="A23" t="s">
        <v>112</v>
      </c>
      <c r="B23" t="s">
        <v>124</v>
      </c>
      <c r="C23">
        <v>115</v>
      </c>
      <c r="D23" t="s">
        <v>2</v>
      </c>
      <c r="E23">
        <v>39.342615870000003</v>
      </c>
      <c r="F23">
        <v>37.131707525000003</v>
      </c>
      <c r="G23">
        <v>35.268192919999997</v>
      </c>
      <c r="H23">
        <v>34.140744189999999</v>
      </c>
      <c r="I23">
        <v>34.685712185</v>
      </c>
      <c r="J23">
        <v>35.5823173</v>
      </c>
      <c r="K23">
        <v>36.445113274999997</v>
      </c>
      <c r="L23">
        <v>38.618854614999996</v>
      </c>
      <c r="M23">
        <v>40.773507639999998</v>
      </c>
      <c r="N23">
        <v>43.562095829999997</v>
      </c>
      <c r="O23">
        <v>47.288625645000003</v>
      </c>
      <c r="P23">
        <v>49.487945465000003</v>
      </c>
      <c r="Q23">
        <v>51.737768205000002</v>
      </c>
      <c r="R23">
        <v>51.814416964999999</v>
      </c>
      <c r="S23">
        <v>52.434000679999997</v>
      </c>
      <c r="T23">
        <v>52.504511905000001</v>
      </c>
      <c r="U23">
        <v>52.007927109999997</v>
      </c>
      <c r="V23">
        <v>51.345415125000002</v>
      </c>
      <c r="W23">
        <v>55.7994226</v>
      </c>
      <c r="X23">
        <v>55.660222400000002</v>
      </c>
      <c r="Y23">
        <v>53.426183299999998</v>
      </c>
      <c r="Z23">
        <v>48.601196260000002</v>
      </c>
      <c r="AA23">
        <v>44.581972710000002</v>
      </c>
      <c r="AB23">
        <v>40.622081620000003</v>
      </c>
      <c r="AC23">
        <f t="shared" si="0"/>
        <v>45.119272972499992</v>
      </c>
      <c r="AD23">
        <f t="shared" si="1"/>
        <v>45.935299177499999</v>
      </c>
    </row>
    <row r="24" spans="1:30" x14ac:dyDescent="0.25">
      <c r="A24" t="s">
        <v>112</v>
      </c>
      <c r="B24" t="s">
        <v>124</v>
      </c>
      <c r="C24">
        <v>115</v>
      </c>
      <c r="D24" t="s">
        <v>3</v>
      </c>
      <c r="E24">
        <v>12.6782323884</v>
      </c>
      <c r="F24">
        <v>12.309693765600001</v>
      </c>
      <c r="G24">
        <v>11.963386652900001</v>
      </c>
      <c r="H24">
        <v>11.699037820899999</v>
      </c>
      <c r="I24">
        <v>11.5842280969</v>
      </c>
      <c r="J24">
        <v>10.972095684999999</v>
      </c>
      <c r="K24">
        <v>11.480030096</v>
      </c>
      <c r="L24">
        <v>12.150612458199999</v>
      </c>
      <c r="M24">
        <v>13.095265156</v>
      </c>
      <c r="N24">
        <v>14.0379677875</v>
      </c>
      <c r="O24">
        <v>15.033629472099999</v>
      </c>
      <c r="P24">
        <v>15.515910121499999</v>
      </c>
      <c r="Q24">
        <v>17.514116857699999</v>
      </c>
      <c r="R24">
        <v>17.2866326794</v>
      </c>
      <c r="S24">
        <v>17.234222590200002</v>
      </c>
      <c r="T24">
        <v>16.862922644600001</v>
      </c>
      <c r="U24">
        <v>16.363203242800001</v>
      </c>
      <c r="V24">
        <v>15.9279719676</v>
      </c>
      <c r="W24">
        <v>15.9699047175</v>
      </c>
      <c r="X24">
        <v>15.397879914500001</v>
      </c>
      <c r="Y24">
        <v>14.7150278715</v>
      </c>
      <c r="Z24">
        <v>13.3269177984</v>
      </c>
      <c r="AA24">
        <v>12.811954120999999</v>
      </c>
      <c r="AB24">
        <v>12.374500772499999</v>
      </c>
      <c r="AC24">
        <f t="shared" si="0"/>
        <v>14.096056028279165</v>
      </c>
      <c r="AD24">
        <f t="shared" si="1"/>
        <v>13.682442792949999</v>
      </c>
    </row>
    <row r="25" spans="1:30" x14ac:dyDescent="0.25">
      <c r="A25" t="s">
        <v>112</v>
      </c>
      <c r="B25" t="s">
        <v>124</v>
      </c>
      <c r="C25">
        <v>115</v>
      </c>
      <c r="D25" t="s">
        <v>4</v>
      </c>
      <c r="E25">
        <v>0.59912613000000003</v>
      </c>
      <c r="F25">
        <v>0.56545747499999999</v>
      </c>
      <c r="G25">
        <v>0.53707908000000004</v>
      </c>
      <c r="H25">
        <v>0.51990981000000003</v>
      </c>
      <c r="I25">
        <v>0.52820881500000005</v>
      </c>
      <c r="J25">
        <v>0.54186270000000003</v>
      </c>
      <c r="K25">
        <v>0.555001725</v>
      </c>
      <c r="L25">
        <v>0.58810438499999995</v>
      </c>
      <c r="M25">
        <v>0.62091635999999994</v>
      </c>
      <c r="N25">
        <v>0.66338216999999999</v>
      </c>
      <c r="O25">
        <v>0.72013135500000003</v>
      </c>
      <c r="P25">
        <v>0.75362353500000001</v>
      </c>
      <c r="Q25">
        <v>0.78788479499999997</v>
      </c>
      <c r="R25">
        <v>0.78905203499999998</v>
      </c>
      <c r="S25">
        <v>0.79848732</v>
      </c>
      <c r="T25">
        <v>0.79956109500000005</v>
      </c>
      <c r="U25">
        <v>0.79199889000000001</v>
      </c>
      <c r="V25">
        <v>0.78190987499999998</v>
      </c>
      <c r="W25">
        <v>0.84973739999999998</v>
      </c>
      <c r="X25">
        <v>0.84761759999999997</v>
      </c>
      <c r="Y25">
        <v>0.81359669999999995</v>
      </c>
      <c r="Z25">
        <v>0.74011974000000003</v>
      </c>
      <c r="AA25">
        <v>0.67891329</v>
      </c>
      <c r="AB25">
        <v>0.61861038000000002</v>
      </c>
      <c r="AC25">
        <f t="shared" si="0"/>
        <v>0.68709552750000003</v>
      </c>
      <c r="AD25">
        <f t="shared" si="1"/>
        <v>0.69952232250000002</v>
      </c>
    </row>
    <row r="26" spans="1:30" x14ac:dyDescent="0.25">
      <c r="A26" t="s">
        <v>112</v>
      </c>
      <c r="B26" t="s">
        <v>125</v>
      </c>
      <c r="C26">
        <v>115</v>
      </c>
      <c r="D26" t="s">
        <v>2</v>
      </c>
      <c r="E26">
        <v>19.399449905000001</v>
      </c>
      <c r="F26">
        <v>18.450636835000001</v>
      </c>
      <c r="G26">
        <v>17.67439675</v>
      </c>
      <c r="H26">
        <v>17.148685505</v>
      </c>
      <c r="I26">
        <v>17.647117175000002</v>
      </c>
      <c r="J26">
        <v>18.227739215</v>
      </c>
      <c r="K26">
        <v>18.775259344999998</v>
      </c>
      <c r="L26">
        <v>21.101165455</v>
      </c>
      <c r="M26">
        <v>23.215781185000001</v>
      </c>
      <c r="N26">
        <v>25.099909870000001</v>
      </c>
      <c r="O26">
        <v>27.490976685</v>
      </c>
      <c r="P26">
        <v>28.631324974999998</v>
      </c>
      <c r="Q26">
        <v>29.40268537</v>
      </c>
      <c r="R26">
        <v>29.444957630000001</v>
      </c>
      <c r="S26">
        <v>30.663732605</v>
      </c>
      <c r="T26">
        <v>30.704968645000001</v>
      </c>
      <c r="U26">
        <v>30.150223539999999</v>
      </c>
      <c r="V26">
        <v>28.776626265000001</v>
      </c>
      <c r="W26">
        <v>30.984475199999999</v>
      </c>
      <c r="X26">
        <v>29.0553724</v>
      </c>
      <c r="Y26">
        <v>27.685946600000001</v>
      </c>
      <c r="Z26">
        <v>24.298057815</v>
      </c>
      <c r="AA26">
        <v>21.978343415000001</v>
      </c>
      <c r="AB26">
        <v>20.067006074999998</v>
      </c>
      <c r="AC26">
        <f t="shared" si="0"/>
        <v>24.419784935833334</v>
      </c>
      <c r="AD26">
        <f t="shared" si="1"/>
        <v>24.698983842499999</v>
      </c>
    </row>
    <row r="27" spans="1:30" x14ac:dyDescent="0.25">
      <c r="A27" t="s">
        <v>112</v>
      </c>
      <c r="B27" t="s">
        <v>125</v>
      </c>
      <c r="C27">
        <v>115</v>
      </c>
      <c r="D27" t="s">
        <v>3</v>
      </c>
      <c r="E27">
        <v>6.6141325160999997</v>
      </c>
      <c r="F27">
        <v>6.4362800638</v>
      </c>
      <c r="G27">
        <v>6.4208105732999998</v>
      </c>
      <c r="H27">
        <v>6.0112625308999998</v>
      </c>
      <c r="I27">
        <v>6.0410674627000001</v>
      </c>
      <c r="J27">
        <v>5.8278739255999996</v>
      </c>
      <c r="K27">
        <v>5.9415444023999999</v>
      </c>
      <c r="L27">
        <v>6.8755302077999998</v>
      </c>
      <c r="M27">
        <v>8.0192176050999997</v>
      </c>
      <c r="N27">
        <v>8.6441938479000004</v>
      </c>
      <c r="O27">
        <v>9.6086045275000007</v>
      </c>
      <c r="P27">
        <v>10.1042383364</v>
      </c>
      <c r="Q27">
        <v>10.710717025899999</v>
      </c>
      <c r="R27">
        <v>10.735857256199999</v>
      </c>
      <c r="S27">
        <v>11.1802319544</v>
      </c>
      <c r="T27">
        <v>10.658684707500001</v>
      </c>
      <c r="U27">
        <v>10.802459905799999</v>
      </c>
      <c r="V27">
        <v>10.2621078971</v>
      </c>
      <c r="W27">
        <v>9.7259041193000009</v>
      </c>
      <c r="X27">
        <v>8.7744726117000003</v>
      </c>
      <c r="Y27">
        <v>8.2242252732000001</v>
      </c>
      <c r="Z27">
        <v>7.2456560174</v>
      </c>
      <c r="AA27">
        <v>6.6206636149999998</v>
      </c>
      <c r="AB27">
        <v>6.3430052225000004</v>
      </c>
      <c r="AC27">
        <f t="shared" si="0"/>
        <v>8.2428642335625018</v>
      </c>
      <c r="AD27">
        <f t="shared" si="1"/>
        <v>8.1217214391500008</v>
      </c>
    </row>
    <row r="28" spans="1:30" x14ac:dyDescent="0.25">
      <c r="A28" t="s">
        <v>112</v>
      </c>
      <c r="B28" t="s">
        <v>125</v>
      </c>
      <c r="C28">
        <v>115</v>
      </c>
      <c r="D28" t="s">
        <v>4</v>
      </c>
      <c r="E28">
        <v>0.29542309500000002</v>
      </c>
      <c r="F28">
        <v>0.280974165</v>
      </c>
      <c r="G28">
        <v>0.26915325000000001</v>
      </c>
      <c r="H28">
        <v>0.26114749500000001</v>
      </c>
      <c r="I28">
        <v>0.26873782499999999</v>
      </c>
      <c r="J28">
        <v>0.27757978500000002</v>
      </c>
      <c r="K28">
        <v>0.28591765499999999</v>
      </c>
      <c r="L28">
        <v>0.321337545</v>
      </c>
      <c r="M28">
        <v>0.35353981499999998</v>
      </c>
      <c r="N28">
        <v>0.38223213</v>
      </c>
      <c r="O28">
        <v>0.41864431499999999</v>
      </c>
      <c r="P28">
        <v>0.43601002500000002</v>
      </c>
      <c r="Q28">
        <v>0.44775662999999999</v>
      </c>
      <c r="R28">
        <v>0.44840036999999999</v>
      </c>
      <c r="S28">
        <v>0.46696039499999997</v>
      </c>
      <c r="T28">
        <v>0.46758835500000001</v>
      </c>
      <c r="U28">
        <v>0.45914045999999997</v>
      </c>
      <c r="V28">
        <v>0.43822273499999997</v>
      </c>
      <c r="W28">
        <v>0.47184480000000001</v>
      </c>
      <c r="X28">
        <v>0.44246760000000002</v>
      </c>
      <c r="Y28">
        <v>0.42161340000000003</v>
      </c>
      <c r="Z28">
        <v>0.37002118499999997</v>
      </c>
      <c r="AA28">
        <v>0.33469558500000002</v>
      </c>
      <c r="AB28">
        <v>0.30558892500000001</v>
      </c>
      <c r="AC28">
        <f t="shared" si="0"/>
        <v>0.37187489750000008</v>
      </c>
      <c r="AD28">
        <f t="shared" si="1"/>
        <v>0.37612665749999996</v>
      </c>
    </row>
    <row r="29" spans="1:30" x14ac:dyDescent="0.25">
      <c r="A29" t="s">
        <v>112</v>
      </c>
      <c r="B29" t="s">
        <v>126</v>
      </c>
      <c r="C29">
        <v>115</v>
      </c>
      <c r="D29" t="s">
        <v>2</v>
      </c>
      <c r="E29">
        <v>34.179390665</v>
      </c>
      <c r="F29">
        <v>32.813050869999998</v>
      </c>
      <c r="G29">
        <v>31.506866994999999</v>
      </c>
      <c r="H29">
        <v>30.622379349999999</v>
      </c>
      <c r="I29">
        <v>31.388913245000001</v>
      </c>
      <c r="J29">
        <v>32.282814535</v>
      </c>
      <c r="K29">
        <v>33.814582125000001</v>
      </c>
      <c r="L29">
        <v>37.093579159999997</v>
      </c>
      <c r="M29">
        <v>40.093526679999997</v>
      </c>
      <c r="N29">
        <v>42.679591975000001</v>
      </c>
      <c r="O29">
        <v>45.227090580000002</v>
      </c>
      <c r="P29">
        <v>46.762295819999999</v>
      </c>
      <c r="Q29">
        <v>47.610434009999999</v>
      </c>
      <c r="R29">
        <v>47.702162135000002</v>
      </c>
      <c r="S29">
        <v>47.99647521</v>
      </c>
      <c r="T29">
        <v>48.061019305000002</v>
      </c>
      <c r="U29">
        <v>47.127843110000001</v>
      </c>
      <c r="V29">
        <v>44.944293139999999</v>
      </c>
      <c r="W29">
        <v>47.535705999999998</v>
      </c>
      <c r="X29">
        <v>46.168762399999999</v>
      </c>
      <c r="Y29">
        <v>45.0245076</v>
      </c>
      <c r="Z29">
        <v>41.229989144999998</v>
      </c>
      <c r="AA29">
        <v>37.657160699999999</v>
      </c>
      <c r="AB29">
        <v>35.162611755</v>
      </c>
      <c r="AC29">
        <f t="shared" si="0"/>
        <v>40.611876937916662</v>
      </c>
      <c r="AD29">
        <f t="shared" si="1"/>
        <v>41.954790559999999</v>
      </c>
    </row>
    <row r="30" spans="1:30" x14ac:dyDescent="0.25">
      <c r="A30" t="s">
        <v>112</v>
      </c>
      <c r="B30" t="s">
        <v>126</v>
      </c>
      <c r="C30">
        <v>115</v>
      </c>
      <c r="D30" t="s">
        <v>3</v>
      </c>
      <c r="E30">
        <v>8.6702422393000003</v>
      </c>
      <c r="F30">
        <v>8.5623241269000001</v>
      </c>
      <c r="G30">
        <v>8.2613915107999993</v>
      </c>
      <c r="H30">
        <v>8.1958314976000004</v>
      </c>
      <c r="I30">
        <v>8.1507921547999995</v>
      </c>
      <c r="J30">
        <v>7.2651405646000002</v>
      </c>
      <c r="K30">
        <v>8.6360886733999997</v>
      </c>
      <c r="L30">
        <v>11.145832369400001</v>
      </c>
      <c r="M30">
        <v>12.348256835800001</v>
      </c>
      <c r="N30">
        <v>12.6618311824</v>
      </c>
      <c r="O30">
        <v>13.4866722068</v>
      </c>
      <c r="P30">
        <v>14.2098584403</v>
      </c>
      <c r="Q30">
        <v>13.6449106067</v>
      </c>
      <c r="R30">
        <v>14.1518860898</v>
      </c>
      <c r="S30">
        <v>13.7555480704</v>
      </c>
      <c r="T30">
        <v>14.147711876400001</v>
      </c>
      <c r="U30">
        <v>13.4138003396</v>
      </c>
      <c r="V30">
        <v>11.8791961734</v>
      </c>
      <c r="W30">
        <v>11.1886319152</v>
      </c>
      <c r="X30">
        <v>11.0149153227</v>
      </c>
      <c r="Y30">
        <v>10.8643712347</v>
      </c>
      <c r="Z30">
        <v>10.2427579118</v>
      </c>
      <c r="AA30">
        <v>9.0013593967999999</v>
      </c>
      <c r="AB30">
        <v>9.5846075949999996</v>
      </c>
      <c r="AC30">
        <f t="shared" si="0"/>
        <v>11.020164930608333</v>
      </c>
      <c r="AD30">
        <f t="shared" si="1"/>
        <v>11.080373846050001</v>
      </c>
    </row>
    <row r="31" spans="1:30" x14ac:dyDescent="0.25">
      <c r="A31" t="s">
        <v>112</v>
      </c>
      <c r="B31" t="s">
        <v>126</v>
      </c>
      <c r="C31">
        <v>115</v>
      </c>
      <c r="D31" t="s">
        <v>4</v>
      </c>
      <c r="E31">
        <v>0.52049833499999998</v>
      </c>
      <c r="F31">
        <v>0.49969112999999998</v>
      </c>
      <c r="G31">
        <v>0.47980000499999997</v>
      </c>
      <c r="H31">
        <v>0.46633065000000001</v>
      </c>
      <c r="I31">
        <v>0.47800375499999997</v>
      </c>
      <c r="J31">
        <v>0.491616465</v>
      </c>
      <c r="K31">
        <v>0.51494287500000002</v>
      </c>
      <c r="L31">
        <v>0.56487684000000005</v>
      </c>
      <c r="M31">
        <v>0.61056131999999996</v>
      </c>
      <c r="N31">
        <v>0.64994302500000001</v>
      </c>
      <c r="O31">
        <v>0.68873742000000004</v>
      </c>
      <c r="P31">
        <v>0.71211617999999999</v>
      </c>
      <c r="Q31">
        <v>0.72503198999999996</v>
      </c>
      <c r="R31">
        <v>0.72642886500000003</v>
      </c>
      <c r="S31">
        <v>0.73091079000000003</v>
      </c>
      <c r="T31">
        <v>0.73189369500000001</v>
      </c>
      <c r="U31">
        <v>0.71768288999999996</v>
      </c>
      <c r="V31">
        <v>0.68443085999999997</v>
      </c>
      <c r="W31">
        <v>0.72389400000000004</v>
      </c>
      <c r="X31">
        <v>0.70307759999999997</v>
      </c>
      <c r="Y31">
        <v>0.68565240000000005</v>
      </c>
      <c r="Z31">
        <v>0.62786785499999997</v>
      </c>
      <c r="AA31">
        <v>0.57345930000000001</v>
      </c>
      <c r="AB31">
        <v>0.53547124499999998</v>
      </c>
      <c r="AC31">
        <f t="shared" si="0"/>
        <v>0.61845497874999988</v>
      </c>
      <c r="AD31">
        <f t="shared" si="1"/>
        <v>0.63890544000000005</v>
      </c>
    </row>
    <row r="32" spans="1:30" x14ac:dyDescent="0.25">
      <c r="A32" t="s">
        <v>112</v>
      </c>
      <c r="B32" t="s">
        <v>127</v>
      </c>
      <c r="C32">
        <v>115</v>
      </c>
      <c r="D32" t="s">
        <v>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f t="shared" si="0"/>
        <v>0</v>
      </c>
      <c r="AD32">
        <f t="shared" si="1"/>
        <v>0</v>
      </c>
    </row>
    <row r="33" spans="1:30" x14ac:dyDescent="0.25">
      <c r="A33" t="s">
        <v>112</v>
      </c>
      <c r="B33" t="s">
        <v>127</v>
      </c>
      <c r="C33">
        <v>115</v>
      </c>
      <c r="D33" t="s">
        <v>3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f t="shared" si="0"/>
        <v>0</v>
      </c>
      <c r="AD33">
        <f t="shared" si="1"/>
        <v>0</v>
      </c>
    </row>
    <row r="34" spans="1:30" x14ac:dyDescent="0.25">
      <c r="A34" t="s">
        <v>112</v>
      </c>
      <c r="B34" t="s">
        <v>127</v>
      </c>
      <c r="C34">
        <v>115</v>
      </c>
      <c r="D34" t="s">
        <v>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f t="shared" si="0"/>
        <v>0</v>
      </c>
      <c r="AD34">
        <f t="shared" si="1"/>
        <v>0</v>
      </c>
    </row>
    <row r="35" spans="1:30" x14ac:dyDescent="0.25">
      <c r="A35" t="s">
        <v>112</v>
      </c>
      <c r="B35" t="s">
        <v>129</v>
      </c>
      <c r="C35">
        <v>115</v>
      </c>
      <c r="D35" t="s">
        <v>2</v>
      </c>
      <c r="E35">
        <v>4.5738543949999997</v>
      </c>
      <c r="F35">
        <v>4.3901706100000002</v>
      </c>
      <c r="G35">
        <v>4.2564401150000002</v>
      </c>
      <c r="H35">
        <v>4.1830723900000004</v>
      </c>
      <c r="I35">
        <v>4.4406646649999999</v>
      </c>
      <c r="J35">
        <v>4.7923264100000003</v>
      </c>
      <c r="K35">
        <v>5.2319722950000003</v>
      </c>
      <c r="L35">
        <v>5.3108964050000003</v>
      </c>
      <c r="M35">
        <v>4.8244780199999999</v>
      </c>
      <c r="N35">
        <v>5.1814636900000002</v>
      </c>
      <c r="O35">
        <v>5.5427794199999996</v>
      </c>
      <c r="P35">
        <v>5.7858577200000001</v>
      </c>
      <c r="Q35">
        <v>6.4892883499999998</v>
      </c>
      <c r="R35">
        <v>6.2953792799999997</v>
      </c>
      <c r="S35">
        <v>6.1806198849999996</v>
      </c>
      <c r="T35">
        <v>6.1889313149999996</v>
      </c>
      <c r="U35">
        <v>6.2148594700000004</v>
      </c>
      <c r="V35">
        <v>6.2874254049999996</v>
      </c>
      <c r="W35">
        <v>7.0202920000000004</v>
      </c>
      <c r="X35">
        <v>6.9776612</v>
      </c>
      <c r="Y35">
        <v>6.5451674000000004</v>
      </c>
      <c r="Z35">
        <v>5.8014598949999998</v>
      </c>
      <c r="AA35">
        <v>5.1842756400000001</v>
      </c>
      <c r="AB35">
        <v>4.6992902049999996</v>
      </c>
      <c r="AC35">
        <f t="shared" si="0"/>
        <v>5.516609424166667</v>
      </c>
      <c r="AD35">
        <f t="shared" si="1"/>
        <v>5.4268379124999999</v>
      </c>
    </row>
    <row r="36" spans="1:30" x14ac:dyDescent="0.25">
      <c r="A36" t="s">
        <v>112</v>
      </c>
      <c r="B36" t="s">
        <v>129</v>
      </c>
      <c r="C36">
        <v>115</v>
      </c>
      <c r="D36" t="s">
        <v>3</v>
      </c>
      <c r="E36">
        <v>1.5578470738000001</v>
      </c>
      <c r="F36">
        <v>1.5992374336999999</v>
      </c>
      <c r="G36">
        <v>1.5757451069999999</v>
      </c>
      <c r="H36">
        <v>1.5526907583</v>
      </c>
      <c r="I36">
        <v>1.5954889750000001</v>
      </c>
      <c r="J36">
        <v>1.4901810673</v>
      </c>
      <c r="K36">
        <v>1.4111046696</v>
      </c>
      <c r="L36">
        <v>1.1274661634000001</v>
      </c>
      <c r="M36">
        <v>0.74455266710000001</v>
      </c>
      <c r="N36">
        <v>0.62953057469999996</v>
      </c>
      <c r="O36">
        <v>0.60477940640000005</v>
      </c>
      <c r="P36">
        <v>1.1627033972</v>
      </c>
      <c r="Q36">
        <v>1.7394934870000001</v>
      </c>
      <c r="R36">
        <v>1.7134182108</v>
      </c>
      <c r="S36">
        <v>1.6922713262</v>
      </c>
      <c r="T36">
        <v>1.298212699</v>
      </c>
      <c r="U36">
        <v>1.7167719881000001</v>
      </c>
      <c r="V36">
        <v>1.6644559366</v>
      </c>
      <c r="W36">
        <v>1.5731623209000001</v>
      </c>
      <c r="X36">
        <v>1.5669574735</v>
      </c>
      <c r="Y36">
        <v>1.5375395822</v>
      </c>
      <c r="Z36">
        <v>1.4438083905000001</v>
      </c>
      <c r="AA36">
        <v>1.42368508</v>
      </c>
      <c r="AB36">
        <v>1.337539263</v>
      </c>
      <c r="AC36">
        <f t="shared" si="0"/>
        <v>1.4066101271375</v>
      </c>
      <c r="AD36">
        <f t="shared" si="1"/>
        <v>1.5451151702499999</v>
      </c>
    </row>
    <row r="37" spans="1:30" x14ac:dyDescent="0.25">
      <c r="A37" t="s">
        <v>112</v>
      </c>
      <c r="B37" t="s">
        <v>129</v>
      </c>
      <c r="C37">
        <v>115</v>
      </c>
      <c r="D37" t="s">
        <v>4</v>
      </c>
      <c r="E37">
        <v>6.9652605000000006E-2</v>
      </c>
      <c r="F37">
        <v>6.6855390000000001E-2</v>
      </c>
      <c r="G37">
        <v>6.4818885000000007E-2</v>
      </c>
      <c r="H37">
        <v>6.3701610000000006E-2</v>
      </c>
      <c r="I37">
        <v>6.7624334999999994E-2</v>
      </c>
      <c r="J37">
        <v>7.2979589999999997E-2</v>
      </c>
      <c r="K37">
        <v>7.9674704999999998E-2</v>
      </c>
      <c r="L37">
        <v>8.0876594999999996E-2</v>
      </c>
      <c r="M37">
        <v>7.34692084E-2</v>
      </c>
      <c r="N37">
        <v>7.8905538400000003E-2</v>
      </c>
      <c r="O37">
        <v>8.4407808400000006E-2</v>
      </c>
      <c r="P37">
        <v>8.8109508399999995E-2</v>
      </c>
      <c r="Q37">
        <v>9.8821649999999997E-2</v>
      </c>
      <c r="R37">
        <v>9.5868720000000004E-2</v>
      </c>
      <c r="S37">
        <v>9.4121115000000005E-2</v>
      </c>
      <c r="T37">
        <v>9.4247684999999998E-2</v>
      </c>
      <c r="U37">
        <v>9.4642530000000002E-2</v>
      </c>
      <c r="V37">
        <v>9.5747595000000005E-2</v>
      </c>
      <c r="W37">
        <v>0.106908</v>
      </c>
      <c r="X37">
        <v>0.1062588</v>
      </c>
      <c r="Y37">
        <v>9.96726E-2</v>
      </c>
      <c r="Z37">
        <v>8.8347104999999995E-2</v>
      </c>
      <c r="AA37">
        <v>7.8948359999999995E-2</v>
      </c>
      <c r="AB37">
        <v>7.1562794999999998E-2</v>
      </c>
      <c r="AC37">
        <f t="shared" si="0"/>
        <v>8.4009280566666678E-2</v>
      </c>
      <c r="AD37">
        <f t="shared" si="1"/>
        <v>8.2642201700000001E-2</v>
      </c>
    </row>
    <row r="38" spans="1:30" x14ac:dyDescent="0.25">
      <c r="A38" t="s">
        <v>112</v>
      </c>
      <c r="B38" t="s">
        <v>130</v>
      </c>
      <c r="C38">
        <v>115</v>
      </c>
      <c r="D38" t="s">
        <v>2</v>
      </c>
      <c r="E38">
        <v>25.861782744999999</v>
      </c>
      <c r="F38">
        <v>24.541254315</v>
      </c>
      <c r="G38">
        <v>23.538995145000001</v>
      </c>
      <c r="H38">
        <v>22.966785004999998</v>
      </c>
      <c r="I38">
        <v>23.524354105</v>
      </c>
      <c r="J38">
        <v>25.192908644999999</v>
      </c>
      <c r="K38">
        <v>26.849700315</v>
      </c>
      <c r="L38">
        <v>29.595843869999999</v>
      </c>
      <c r="M38">
        <v>32.562986950000003</v>
      </c>
      <c r="N38">
        <v>34.899486735000004</v>
      </c>
      <c r="O38">
        <v>37.481937080000002</v>
      </c>
      <c r="P38">
        <v>38.723431079999997</v>
      </c>
      <c r="Q38">
        <v>39.173142679999998</v>
      </c>
      <c r="R38">
        <v>38.70962729</v>
      </c>
      <c r="S38">
        <v>38.863641889999997</v>
      </c>
      <c r="T38">
        <v>38.915904019999999</v>
      </c>
      <c r="U38">
        <v>37.446190444999999</v>
      </c>
      <c r="V38">
        <v>35.075421525000003</v>
      </c>
      <c r="W38">
        <v>37.796538200000001</v>
      </c>
      <c r="X38">
        <v>37.287056800000002</v>
      </c>
      <c r="Y38">
        <v>35.942669700000003</v>
      </c>
      <c r="Z38">
        <v>32.609081009999997</v>
      </c>
      <c r="AA38">
        <v>29.729091714999999</v>
      </c>
      <c r="AB38">
        <v>26.895662385000001</v>
      </c>
      <c r="AC38">
        <f t="shared" si="0"/>
        <v>32.25764556875</v>
      </c>
      <c r="AD38">
        <f t="shared" si="1"/>
        <v>33.754283872499997</v>
      </c>
    </row>
    <row r="39" spans="1:30" x14ac:dyDescent="0.25">
      <c r="A39" t="s">
        <v>112</v>
      </c>
      <c r="B39" t="s">
        <v>130</v>
      </c>
      <c r="C39">
        <v>115</v>
      </c>
      <c r="D39" t="s">
        <v>3</v>
      </c>
      <c r="E39">
        <v>8.7096249681</v>
      </c>
      <c r="F39">
        <v>8.5943043555000003</v>
      </c>
      <c r="G39">
        <v>8.3388876426999996</v>
      </c>
      <c r="H39">
        <v>8.1825357544999999</v>
      </c>
      <c r="I39">
        <v>7.8483343487999999</v>
      </c>
      <c r="J39">
        <v>7.6080417718</v>
      </c>
      <c r="K39">
        <v>8.1387394500999992</v>
      </c>
      <c r="L39">
        <v>9.1041007845999999</v>
      </c>
      <c r="M39">
        <v>10.125509512700001</v>
      </c>
      <c r="N39">
        <v>11.359061287499999</v>
      </c>
      <c r="O39">
        <v>12.465416916000001</v>
      </c>
      <c r="P39">
        <v>12.8373729602</v>
      </c>
      <c r="Q39">
        <v>12.9864588076</v>
      </c>
      <c r="R39">
        <v>13.1978280725</v>
      </c>
      <c r="S39">
        <v>13.330829125599999</v>
      </c>
      <c r="T39">
        <v>13.1872199961</v>
      </c>
      <c r="U39">
        <v>12.558645373399999</v>
      </c>
      <c r="V39">
        <v>11.885816653999999</v>
      </c>
      <c r="W39">
        <v>11.527937271900001</v>
      </c>
      <c r="X39">
        <v>10.817474813</v>
      </c>
      <c r="Y39">
        <v>10.272722680199999</v>
      </c>
      <c r="Z39">
        <v>9.5236123757000009</v>
      </c>
      <c r="AA39">
        <v>8.9554663929</v>
      </c>
      <c r="AB39">
        <v>8.3830967683999997</v>
      </c>
      <c r="AC39">
        <f t="shared" si="0"/>
        <v>10.414126586825001</v>
      </c>
      <c r="AD39">
        <f t="shared" si="1"/>
        <v>10.19911609645</v>
      </c>
    </row>
    <row r="40" spans="1:30" x14ac:dyDescent="0.25">
      <c r="A40" t="s">
        <v>112</v>
      </c>
      <c r="B40" t="s">
        <v>130</v>
      </c>
      <c r="C40">
        <v>115</v>
      </c>
      <c r="D40" t="s">
        <v>4</v>
      </c>
      <c r="E40">
        <v>0.39383425500000002</v>
      </c>
      <c r="F40">
        <v>0.373724685</v>
      </c>
      <c r="G40">
        <v>0.358461855</v>
      </c>
      <c r="H40">
        <v>0.34974799499999998</v>
      </c>
      <c r="I40">
        <v>0.358238895</v>
      </c>
      <c r="J40">
        <v>0.383648355</v>
      </c>
      <c r="K40">
        <v>0.40887868500000002</v>
      </c>
      <c r="L40">
        <v>0.45069812999999997</v>
      </c>
      <c r="M40">
        <v>0.49588304999999999</v>
      </c>
      <c r="N40">
        <v>0.53146426499999999</v>
      </c>
      <c r="O40">
        <v>0.57079091999999998</v>
      </c>
      <c r="P40">
        <v>0.58969691999999996</v>
      </c>
      <c r="Q40">
        <v>0.59654532000000005</v>
      </c>
      <c r="R40">
        <v>0.58948670999999997</v>
      </c>
      <c r="S40">
        <v>0.59183211000000002</v>
      </c>
      <c r="T40">
        <v>0.59262798000000005</v>
      </c>
      <c r="U40">
        <v>0.57024655499999999</v>
      </c>
      <c r="V40">
        <v>0.53414347500000003</v>
      </c>
      <c r="W40">
        <v>0.57558180000000003</v>
      </c>
      <c r="X40">
        <v>0.56782319999999997</v>
      </c>
      <c r="Y40">
        <v>0.54735029999999996</v>
      </c>
      <c r="Z40">
        <v>0.49658499</v>
      </c>
      <c r="AA40">
        <v>0.45272728499999998</v>
      </c>
      <c r="AB40">
        <v>0.40957861499999998</v>
      </c>
      <c r="AC40">
        <f t="shared" si="0"/>
        <v>0.49123318124999998</v>
      </c>
      <c r="AD40">
        <f t="shared" si="1"/>
        <v>0.5140246275</v>
      </c>
    </row>
    <row r="41" spans="1:30" x14ac:dyDescent="0.25">
      <c r="A41" t="s">
        <v>112</v>
      </c>
      <c r="B41" t="s">
        <v>131</v>
      </c>
      <c r="C41">
        <v>115</v>
      </c>
      <c r="D41" t="s">
        <v>2</v>
      </c>
      <c r="E41">
        <v>27.64234853</v>
      </c>
      <c r="F41">
        <v>26.015238849999999</v>
      </c>
      <c r="G41">
        <v>25.03201185</v>
      </c>
      <c r="H41">
        <v>24.143393114999999</v>
      </c>
      <c r="I41">
        <v>24.633557679999999</v>
      </c>
      <c r="J41">
        <v>25.760261750000002</v>
      </c>
      <c r="K41">
        <v>28.250157555000001</v>
      </c>
      <c r="L41">
        <v>33.804131275000003</v>
      </c>
      <c r="M41">
        <v>39.195342609999997</v>
      </c>
      <c r="N41">
        <v>42.923227785000002</v>
      </c>
      <c r="O41">
        <v>46.614883675000002</v>
      </c>
      <c r="P41">
        <v>48.635428949999998</v>
      </c>
      <c r="Q41">
        <v>48.882725020000002</v>
      </c>
      <c r="R41">
        <v>48.718130535</v>
      </c>
      <c r="S41">
        <v>50.071003410000003</v>
      </c>
      <c r="T41">
        <v>50.138337024999998</v>
      </c>
      <c r="U41">
        <v>48.637770295000003</v>
      </c>
      <c r="V41">
        <v>43.989241079999999</v>
      </c>
      <c r="W41">
        <v>43.424670599999999</v>
      </c>
      <c r="X41">
        <v>40.485391200000002</v>
      </c>
      <c r="Y41">
        <v>38.094658299999999</v>
      </c>
      <c r="Z41">
        <v>34.051825285</v>
      </c>
      <c r="AA41">
        <v>30.956332764999999</v>
      </c>
      <c r="AB41">
        <v>28.502404235</v>
      </c>
      <c r="AC41">
        <f t="shared" si="0"/>
        <v>37.441769723958323</v>
      </c>
      <c r="AD41">
        <f t="shared" si="1"/>
        <v>38.645000455000002</v>
      </c>
    </row>
    <row r="42" spans="1:30" x14ac:dyDescent="0.25">
      <c r="A42" t="s">
        <v>112</v>
      </c>
      <c r="B42" t="s">
        <v>131</v>
      </c>
      <c r="C42">
        <v>115</v>
      </c>
      <c r="D42" t="s">
        <v>3</v>
      </c>
      <c r="E42">
        <v>8.3894083796000007</v>
      </c>
      <c r="F42">
        <v>8.1182656995000002</v>
      </c>
      <c r="G42">
        <v>7.9306553714000003</v>
      </c>
      <c r="H42">
        <v>7.6579152618000004</v>
      </c>
      <c r="I42">
        <v>7.7052344307</v>
      </c>
      <c r="J42">
        <v>7.5233873511000002</v>
      </c>
      <c r="K42">
        <v>8.5632490890999993</v>
      </c>
      <c r="L42">
        <v>10.648133852000001</v>
      </c>
      <c r="M42">
        <v>12.6025387643</v>
      </c>
      <c r="N42">
        <v>14.0012748376</v>
      </c>
      <c r="O42">
        <v>15.321571325000001</v>
      </c>
      <c r="P42">
        <v>15.951149000699999</v>
      </c>
      <c r="Q42">
        <v>16.308544248499999</v>
      </c>
      <c r="R42">
        <v>16.1851008509</v>
      </c>
      <c r="S42">
        <v>16.404177882599999</v>
      </c>
      <c r="T42">
        <v>16.283131779000001</v>
      </c>
      <c r="U42">
        <v>15.7435183641</v>
      </c>
      <c r="V42">
        <v>13.6785203304</v>
      </c>
      <c r="W42">
        <v>12.4452918942</v>
      </c>
      <c r="X42">
        <v>11.134368218100001</v>
      </c>
      <c r="Y42">
        <v>10.1324094775</v>
      </c>
      <c r="Z42">
        <v>8.9287030786999999</v>
      </c>
      <c r="AA42">
        <v>8.4254088506000002</v>
      </c>
      <c r="AB42">
        <v>8.1462311193999994</v>
      </c>
      <c r="AC42">
        <f t="shared" si="0"/>
        <v>11.592841227366668</v>
      </c>
      <c r="AD42">
        <f t="shared" si="1"/>
        <v>10.891251035050001</v>
      </c>
    </row>
    <row r="43" spans="1:30" x14ac:dyDescent="0.25">
      <c r="A43" t="s">
        <v>112</v>
      </c>
      <c r="B43" t="s">
        <v>131</v>
      </c>
      <c r="C43">
        <v>115</v>
      </c>
      <c r="D43" t="s">
        <v>4</v>
      </c>
      <c r="E43">
        <v>0.42094946999999999</v>
      </c>
      <c r="F43">
        <v>0.39617115000000003</v>
      </c>
      <c r="G43">
        <v>0.38119815000000001</v>
      </c>
      <c r="H43">
        <v>0.36766588500000003</v>
      </c>
      <c r="I43">
        <v>0.37513032000000002</v>
      </c>
      <c r="J43">
        <v>0.39228825000000001</v>
      </c>
      <c r="K43">
        <v>0.43020544500000002</v>
      </c>
      <c r="L43">
        <v>0.51478372500000003</v>
      </c>
      <c r="M43">
        <v>0.59688339000000001</v>
      </c>
      <c r="N43">
        <v>0.65365321499999995</v>
      </c>
      <c r="O43">
        <v>0.70987132500000005</v>
      </c>
      <c r="P43">
        <v>0.74064105000000002</v>
      </c>
      <c r="Q43">
        <v>0.74440698000000005</v>
      </c>
      <c r="R43">
        <v>0.74190046499999995</v>
      </c>
      <c r="S43">
        <v>0.76250258999999998</v>
      </c>
      <c r="T43">
        <v>0.76352797500000003</v>
      </c>
      <c r="U43">
        <v>0.74067670500000005</v>
      </c>
      <c r="V43">
        <v>0.66988692000000005</v>
      </c>
      <c r="W43">
        <v>0.66128940000000003</v>
      </c>
      <c r="X43">
        <v>0.61652879999999999</v>
      </c>
      <c r="Y43">
        <v>0.58012169999999996</v>
      </c>
      <c r="Z43">
        <v>0.51855571499999997</v>
      </c>
      <c r="AA43">
        <v>0.47141623500000002</v>
      </c>
      <c r="AB43">
        <v>0.434046765</v>
      </c>
      <c r="AC43">
        <f t="shared" si="0"/>
        <v>0.57017923437499995</v>
      </c>
      <c r="AD43">
        <f t="shared" si="1"/>
        <v>0.58850254499999999</v>
      </c>
    </row>
    <row r="44" spans="1:30" x14ac:dyDescent="0.25">
      <c r="A44" t="s">
        <v>112</v>
      </c>
      <c r="B44" t="s">
        <v>132</v>
      </c>
      <c r="C44">
        <v>115</v>
      </c>
      <c r="D44" t="s">
        <v>2</v>
      </c>
      <c r="E44">
        <v>3.0257161049999999</v>
      </c>
      <c r="F44">
        <v>2.9479700549999999</v>
      </c>
      <c r="G44">
        <v>2.9169474800000001</v>
      </c>
      <c r="H44">
        <v>2.8612979350000001</v>
      </c>
      <c r="I44">
        <v>2.9039563149999998</v>
      </c>
      <c r="J44">
        <v>2.8810294550000002</v>
      </c>
      <c r="K44">
        <v>2.751044915</v>
      </c>
      <c r="L44">
        <v>3.1424336799999999</v>
      </c>
      <c r="M44">
        <v>3.2628952400000002</v>
      </c>
      <c r="N44">
        <v>3.3242764999999999</v>
      </c>
      <c r="O44">
        <v>3.270815625</v>
      </c>
      <c r="P44">
        <v>3.4821069900000001</v>
      </c>
      <c r="Q44">
        <v>3.3724814150000002</v>
      </c>
      <c r="R44">
        <v>3.338183715</v>
      </c>
      <c r="S44">
        <v>3.4370875650000001</v>
      </c>
      <c r="T44">
        <v>3.4417101699999999</v>
      </c>
      <c r="U44">
        <v>3.3520377400000001</v>
      </c>
      <c r="V44">
        <v>3.3256279200000001</v>
      </c>
      <c r="W44">
        <v>3.8849581999999998</v>
      </c>
      <c r="X44">
        <v>4.1359756000000001</v>
      </c>
      <c r="Y44">
        <v>4.0084968999999999</v>
      </c>
      <c r="Z44">
        <v>3.5255809500000002</v>
      </c>
      <c r="AA44">
        <v>3.159094955</v>
      </c>
      <c r="AB44">
        <v>2.96729083</v>
      </c>
      <c r="AC44">
        <f t="shared" si="0"/>
        <v>3.2799590106249998</v>
      </c>
      <c r="AD44">
        <f t="shared" si="1"/>
        <v>3.2975460624999999</v>
      </c>
    </row>
    <row r="45" spans="1:30" x14ac:dyDescent="0.25">
      <c r="A45" t="s">
        <v>112</v>
      </c>
      <c r="B45" t="s">
        <v>132</v>
      </c>
      <c r="C45">
        <v>115</v>
      </c>
      <c r="D45" t="s">
        <v>3</v>
      </c>
      <c r="E45">
        <v>1.3899906352</v>
      </c>
      <c r="F45">
        <v>1.3534193508000001</v>
      </c>
      <c r="G45">
        <v>1.3383302168</v>
      </c>
      <c r="H45">
        <v>1.3119668405</v>
      </c>
      <c r="I45">
        <v>1.3306832844000001</v>
      </c>
      <c r="J45">
        <v>1.319340543</v>
      </c>
      <c r="K45">
        <v>1.2638088095</v>
      </c>
      <c r="L45">
        <v>1.4426980165000001</v>
      </c>
      <c r="M45">
        <v>1.4970551661</v>
      </c>
      <c r="N45">
        <v>1.5242525021</v>
      </c>
      <c r="O45">
        <v>1.4987896532</v>
      </c>
      <c r="P45">
        <v>1.5945983887999999</v>
      </c>
      <c r="Q45">
        <v>1.5434163751000001</v>
      </c>
      <c r="R45">
        <v>1.5267496959</v>
      </c>
      <c r="S45">
        <v>1.5709849122999999</v>
      </c>
      <c r="T45">
        <v>1.5660840001</v>
      </c>
      <c r="U45">
        <v>1.4889201902</v>
      </c>
      <c r="V45">
        <v>1.5422071883999999</v>
      </c>
      <c r="W45">
        <v>1.8116729073</v>
      </c>
      <c r="X45">
        <v>1.829805804</v>
      </c>
      <c r="Y45">
        <v>1.6465913053000001</v>
      </c>
      <c r="Z45">
        <v>1.4708947016</v>
      </c>
      <c r="AA45">
        <v>1.3524263346000001</v>
      </c>
      <c r="AB45">
        <v>1.3398116255999999</v>
      </c>
      <c r="AC45">
        <f t="shared" si="0"/>
        <v>1.4814374353041664</v>
      </c>
      <c r="AD45">
        <f t="shared" si="1"/>
        <v>1.49298767815</v>
      </c>
    </row>
    <row r="46" spans="1:30" x14ac:dyDescent="0.25">
      <c r="A46" t="s">
        <v>112</v>
      </c>
      <c r="B46" t="s">
        <v>132</v>
      </c>
      <c r="C46">
        <v>115</v>
      </c>
      <c r="D46" t="s">
        <v>4</v>
      </c>
      <c r="E46">
        <v>4.6076895E-2</v>
      </c>
      <c r="F46">
        <v>4.4892944999999997E-2</v>
      </c>
      <c r="G46">
        <v>4.4420519999999998E-2</v>
      </c>
      <c r="H46">
        <v>4.3573065000000001E-2</v>
      </c>
      <c r="I46">
        <v>4.4222684999999998E-2</v>
      </c>
      <c r="J46">
        <v>4.3873545E-2</v>
      </c>
      <c r="K46">
        <v>4.1894084999999998E-2</v>
      </c>
      <c r="L46">
        <v>4.7854319999999999E-2</v>
      </c>
      <c r="M46">
        <v>4.9688759999999998E-2</v>
      </c>
      <c r="N46">
        <v>5.0623500000000002E-2</v>
      </c>
      <c r="O46">
        <v>4.9809375000000003E-2</v>
      </c>
      <c r="P46">
        <v>5.3027009999999999E-2</v>
      </c>
      <c r="Q46">
        <v>5.1357584999999997E-2</v>
      </c>
      <c r="R46">
        <v>5.0835285000000001E-2</v>
      </c>
      <c r="S46">
        <v>5.2341434999999999E-2</v>
      </c>
      <c r="T46">
        <v>5.241183E-2</v>
      </c>
      <c r="U46">
        <v>5.1046260000000003E-2</v>
      </c>
      <c r="V46">
        <v>5.0644080000000001E-2</v>
      </c>
      <c r="W46">
        <v>5.91618E-2</v>
      </c>
      <c r="X46">
        <v>6.2984399999999996E-2</v>
      </c>
      <c r="Y46">
        <v>6.1043100000000003E-2</v>
      </c>
      <c r="Z46">
        <v>5.3689050000000002E-2</v>
      </c>
      <c r="AA46">
        <v>4.8108045000000002E-2</v>
      </c>
      <c r="AB46">
        <v>4.5187169999999999E-2</v>
      </c>
      <c r="AC46">
        <f t="shared" si="0"/>
        <v>4.9948614374999999E-2</v>
      </c>
      <c r="AD46">
        <f t="shared" si="1"/>
        <v>5.0216437500000002E-2</v>
      </c>
    </row>
    <row r="47" spans="1:30" x14ac:dyDescent="0.25">
      <c r="A47" t="s">
        <v>112</v>
      </c>
      <c r="B47" t="s">
        <v>133</v>
      </c>
      <c r="C47">
        <v>115</v>
      </c>
      <c r="D47" t="s">
        <v>2</v>
      </c>
      <c r="E47">
        <v>8.2304472400000002</v>
      </c>
      <c r="F47">
        <v>8.2360400699999996</v>
      </c>
      <c r="G47">
        <v>7.9448425499999997</v>
      </c>
      <c r="H47">
        <v>7.9306457449999996</v>
      </c>
      <c r="I47">
        <v>8.0109133949999993</v>
      </c>
      <c r="J47">
        <v>7.9872103550000002</v>
      </c>
      <c r="K47">
        <v>8.0536633799999997</v>
      </c>
      <c r="L47">
        <v>10.038329044999999</v>
      </c>
      <c r="M47">
        <v>11.163872785000001</v>
      </c>
      <c r="N47">
        <v>11.710764485</v>
      </c>
      <c r="O47">
        <v>12.38648729</v>
      </c>
      <c r="P47">
        <v>11.893196335000001</v>
      </c>
      <c r="Q47">
        <v>12.254162389999999</v>
      </c>
      <c r="R47">
        <v>12.137200535</v>
      </c>
      <c r="S47">
        <v>11.704511705</v>
      </c>
      <c r="T47">
        <v>11.720251019999999</v>
      </c>
      <c r="U47">
        <v>12.115654644999999</v>
      </c>
      <c r="V47">
        <v>11.841507475</v>
      </c>
      <c r="W47">
        <v>11.7619638</v>
      </c>
      <c r="X47">
        <v>11.79242</v>
      </c>
      <c r="Y47">
        <v>11.874962999999999</v>
      </c>
      <c r="Z47">
        <v>10.830746769999999</v>
      </c>
      <c r="AA47">
        <v>9.6452726749999993</v>
      </c>
      <c r="AB47">
        <v>8.1287351549999993</v>
      </c>
      <c r="AC47">
        <f t="shared" si="0"/>
        <v>10.391408410208332</v>
      </c>
      <c r="AD47">
        <f t="shared" si="1"/>
        <v>11.434192245</v>
      </c>
    </row>
    <row r="48" spans="1:30" x14ac:dyDescent="0.25">
      <c r="A48" t="s">
        <v>112</v>
      </c>
      <c r="B48" t="s">
        <v>133</v>
      </c>
      <c r="C48">
        <v>115</v>
      </c>
      <c r="D48" t="s">
        <v>3</v>
      </c>
      <c r="E48">
        <v>2.6641064440000002</v>
      </c>
      <c r="F48">
        <v>2.6422041852999998</v>
      </c>
      <c r="G48">
        <v>2.5083946506000001</v>
      </c>
      <c r="H48">
        <v>2.6038618970999998</v>
      </c>
      <c r="I48">
        <v>2.5496769976000002</v>
      </c>
      <c r="J48">
        <v>2.5159316851</v>
      </c>
      <c r="K48">
        <v>2.5250576878</v>
      </c>
      <c r="L48">
        <v>3.1693631081999998</v>
      </c>
      <c r="M48">
        <v>3.9998803986000002</v>
      </c>
      <c r="N48">
        <v>3.9152330034</v>
      </c>
      <c r="O48">
        <v>4.0403907573</v>
      </c>
      <c r="P48">
        <v>3.6318766708000001</v>
      </c>
      <c r="Q48">
        <v>3.3998835592000001</v>
      </c>
      <c r="R48">
        <v>3.6146736064999998</v>
      </c>
      <c r="S48">
        <v>3.4589464572000002</v>
      </c>
      <c r="T48">
        <v>3.5438367809</v>
      </c>
      <c r="U48">
        <v>4.1223762476000001</v>
      </c>
      <c r="V48">
        <v>4.0249939239000003</v>
      </c>
      <c r="W48">
        <v>3.2822340495</v>
      </c>
      <c r="X48">
        <v>3.2479540602000001</v>
      </c>
      <c r="Y48">
        <v>3.4635308740999999</v>
      </c>
      <c r="Z48">
        <v>3.0569650785000002</v>
      </c>
      <c r="AA48">
        <v>2.4799211418999998</v>
      </c>
      <c r="AB48">
        <v>2.5605112958</v>
      </c>
      <c r="AC48">
        <f t="shared" si="0"/>
        <v>3.2092418567124992</v>
      </c>
      <c r="AD48">
        <f t="shared" si="1"/>
        <v>3.26509405485</v>
      </c>
    </row>
    <row r="49" spans="1:30" x14ac:dyDescent="0.25">
      <c r="A49" t="s">
        <v>112</v>
      </c>
      <c r="B49" t="s">
        <v>133</v>
      </c>
      <c r="C49">
        <v>115</v>
      </c>
      <c r="D49" t="s">
        <v>4</v>
      </c>
      <c r="E49">
        <v>0.12533675999999999</v>
      </c>
      <c r="F49">
        <v>0.12542192999999999</v>
      </c>
      <c r="G49">
        <v>0.12098745</v>
      </c>
      <c r="H49">
        <v>0.12077125499999999</v>
      </c>
      <c r="I49">
        <v>0.121993605</v>
      </c>
      <c r="J49">
        <v>0.121632645</v>
      </c>
      <c r="K49">
        <v>0.12264462</v>
      </c>
      <c r="L49">
        <v>0.152867955</v>
      </c>
      <c r="M49">
        <v>0.17000821499999999</v>
      </c>
      <c r="N49">
        <v>0.178336515</v>
      </c>
      <c r="O49">
        <v>0.18862671</v>
      </c>
      <c r="P49">
        <v>0.18111466500000001</v>
      </c>
      <c r="Q49">
        <v>0.18661161000000001</v>
      </c>
      <c r="R49">
        <v>0.184830465</v>
      </c>
      <c r="S49">
        <v>0.17824129499999999</v>
      </c>
      <c r="T49">
        <v>0.17848098000000001</v>
      </c>
      <c r="U49">
        <v>0.18450235500000001</v>
      </c>
      <c r="V49">
        <v>0.18032752499999999</v>
      </c>
      <c r="W49">
        <v>0.1791162</v>
      </c>
      <c r="X49">
        <v>0.17957999999999999</v>
      </c>
      <c r="Y49">
        <v>0.180837</v>
      </c>
      <c r="Z49">
        <v>0.16493522999999999</v>
      </c>
      <c r="AA49">
        <v>0.14688232500000001</v>
      </c>
      <c r="AB49">
        <v>0.12378784499999999</v>
      </c>
      <c r="AC49">
        <f t="shared" si="0"/>
        <v>0.158244798125</v>
      </c>
      <c r="AD49">
        <f t="shared" si="1"/>
        <v>0.17412475499999999</v>
      </c>
    </row>
    <row r="50" spans="1:30" x14ac:dyDescent="0.25">
      <c r="A50" t="s">
        <v>408</v>
      </c>
      <c r="B50" t="s">
        <v>409</v>
      </c>
      <c r="C50">
        <v>115</v>
      </c>
      <c r="D50" t="s">
        <v>2</v>
      </c>
      <c r="E50">
        <v>2.3299544600000002</v>
      </c>
      <c r="F50">
        <v>2.1724155299999999</v>
      </c>
      <c r="G50">
        <v>2.0954170950000002</v>
      </c>
      <c r="H50">
        <v>2.0323179950000001</v>
      </c>
      <c r="I50">
        <v>2.1221559050000001</v>
      </c>
      <c r="J50">
        <v>2.2596008350000001</v>
      </c>
      <c r="K50">
        <v>2.0056698050000001</v>
      </c>
      <c r="L50">
        <v>1.780707625</v>
      </c>
      <c r="M50">
        <v>1.7366869899999999</v>
      </c>
      <c r="N50">
        <v>1.786119215</v>
      </c>
      <c r="O50">
        <v>1.91456026</v>
      </c>
      <c r="P50">
        <v>2.1013586150000001</v>
      </c>
      <c r="Q50">
        <v>2.249264245</v>
      </c>
      <c r="R50">
        <v>2.293618795</v>
      </c>
      <c r="S50">
        <v>2.303850975</v>
      </c>
      <c r="T50">
        <v>2.3870095999999998</v>
      </c>
      <c r="U50">
        <v>2.5643903699999999</v>
      </c>
      <c r="V50">
        <v>2.8232877699999999</v>
      </c>
      <c r="W50">
        <v>3.3859522750000002</v>
      </c>
      <c r="X50">
        <v>3.67991666</v>
      </c>
      <c r="Y50">
        <v>3.6998560149999999</v>
      </c>
      <c r="Z50">
        <v>3.316054705</v>
      </c>
      <c r="AA50">
        <v>2.9962715000000002</v>
      </c>
      <c r="AB50">
        <v>2.6200546899999999</v>
      </c>
      <c r="AC50">
        <f t="shared" si="0"/>
        <v>2.4440204970833332</v>
      </c>
      <c r="AD50">
        <f t="shared" si="1"/>
        <v>2.276609815</v>
      </c>
    </row>
    <row r="51" spans="1:30" x14ac:dyDescent="0.25">
      <c r="A51" t="s">
        <v>408</v>
      </c>
      <c r="B51" t="s">
        <v>409</v>
      </c>
      <c r="C51">
        <v>115</v>
      </c>
      <c r="D51" t="s">
        <v>3</v>
      </c>
      <c r="E51">
        <v>0.81942314429999996</v>
      </c>
      <c r="F51">
        <v>0.78610113400000003</v>
      </c>
      <c r="G51">
        <v>0.7631038363</v>
      </c>
      <c r="H51">
        <v>0.71529770979999996</v>
      </c>
      <c r="I51">
        <v>0.70404894250000005</v>
      </c>
      <c r="J51">
        <v>0.70894816859999998</v>
      </c>
      <c r="K51">
        <v>0.78459105819999997</v>
      </c>
      <c r="L51">
        <v>0.76222388279999997</v>
      </c>
      <c r="M51">
        <v>0.7777974285</v>
      </c>
      <c r="N51">
        <v>0.82988289999999998</v>
      </c>
      <c r="O51">
        <v>0.89964385120000001</v>
      </c>
      <c r="P51">
        <v>0.95856979220000005</v>
      </c>
      <c r="Q51">
        <v>1.0342079900000001</v>
      </c>
      <c r="R51">
        <v>1.0293138216</v>
      </c>
      <c r="S51">
        <v>1.0609096812000001</v>
      </c>
      <c r="T51">
        <v>1.0128999427000001</v>
      </c>
      <c r="U51">
        <v>1.0308483848000001</v>
      </c>
      <c r="V51">
        <v>1.0722451232000001</v>
      </c>
      <c r="W51">
        <v>1.0315726011999999</v>
      </c>
      <c r="X51">
        <v>1.0169740214</v>
      </c>
      <c r="Y51">
        <v>0.96074550729999997</v>
      </c>
      <c r="Z51">
        <v>0.90605390779999995</v>
      </c>
      <c r="AA51">
        <v>0.83263414260000002</v>
      </c>
      <c r="AB51">
        <v>0.77197045350000004</v>
      </c>
      <c r="AC51">
        <f t="shared" si="0"/>
        <v>0.88625030940416671</v>
      </c>
      <c r="AD51">
        <f t="shared" si="1"/>
        <v>0.86613899689999996</v>
      </c>
    </row>
    <row r="52" spans="1:30" x14ac:dyDescent="0.25">
      <c r="A52" t="s">
        <v>408</v>
      </c>
      <c r="B52" t="s">
        <v>409</v>
      </c>
      <c r="C52">
        <v>115</v>
      </c>
      <c r="D52" t="s">
        <v>4</v>
      </c>
      <c r="E52">
        <v>3.5481539999999999E-2</v>
      </c>
      <c r="F52">
        <v>3.3082470000000003E-2</v>
      </c>
      <c r="G52">
        <v>3.1909905000000002E-2</v>
      </c>
      <c r="H52">
        <v>3.0949005000000002E-2</v>
      </c>
      <c r="I52">
        <v>3.2317094999999997E-2</v>
      </c>
      <c r="J52">
        <v>3.4410165E-2</v>
      </c>
      <c r="K52">
        <v>3.0543194999999999E-2</v>
      </c>
      <c r="L52">
        <v>2.7117374999999999E-2</v>
      </c>
      <c r="M52">
        <v>2.644701E-2</v>
      </c>
      <c r="N52">
        <v>2.7199785000000001E-2</v>
      </c>
      <c r="O52">
        <v>2.9155739999999999E-2</v>
      </c>
      <c r="P52">
        <v>3.2000384999999999E-2</v>
      </c>
      <c r="Q52">
        <v>3.4252755000000003E-2</v>
      </c>
      <c r="R52">
        <v>3.4928204999999997E-2</v>
      </c>
      <c r="S52">
        <v>3.5084024999999998E-2</v>
      </c>
      <c r="T52">
        <v>3.6350399999999998E-2</v>
      </c>
      <c r="U52">
        <v>3.9051629999999997E-2</v>
      </c>
      <c r="V52">
        <v>4.2994230000000001E-2</v>
      </c>
      <c r="W52">
        <v>5.1562724999999997E-2</v>
      </c>
      <c r="X52">
        <v>5.603934E-2</v>
      </c>
      <c r="Y52">
        <v>5.6342984999999998E-2</v>
      </c>
      <c r="Z52">
        <v>5.0498294999999999E-2</v>
      </c>
      <c r="AA52">
        <v>4.5628500000000002E-2</v>
      </c>
      <c r="AB52">
        <v>3.989931E-2</v>
      </c>
      <c r="AC52">
        <f t="shared" si="0"/>
        <v>3.7218586249999998E-2</v>
      </c>
      <c r="AD52">
        <f t="shared" si="1"/>
        <v>3.4669184999999998E-2</v>
      </c>
    </row>
    <row r="53" spans="1:30" x14ac:dyDescent="0.25">
      <c r="A53" t="s">
        <v>408</v>
      </c>
      <c r="B53" t="s">
        <v>410</v>
      </c>
      <c r="C53">
        <v>115</v>
      </c>
      <c r="D53" t="s">
        <v>2</v>
      </c>
      <c r="E53">
        <v>1.0188327800000001</v>
      </c>
      <c r="F53">
        <v>0.99952776499999996</v>
      </c>
      <c r="G53">
        <v>0.97430191499999996</v>
      </c>
      <c r="H53">
        <v>0.97773858000000002</v>
      </c>
      <c r="I53">
        <v>0.97097359999999999</v>
      </c>
      <c r="J53">
        <v>1.0187638299999999</v>
      </c>
      <c r="K53">
        <v>1.0633143949999999</v>
      </c>
      <c r="L53">
        <v>1.0894750099999999</v>
      </c>
      <c r="M53">
        <v>1.137427765</v>
      </c>
      <c r="N53">
        <v>1.2340464149999999</v>
      </c>
      <c r="O53">
        <v>1.3392788900000001</v>
      </c>
      <c r="P53">
        <v>1.4208585600000001</v>
      </c>
      <c r="Q53">
        <v>1.4125510699999999</v>
      </c>
      <c r="R53">
        <v>1.3905678400000001</v>
      </c>
      <c r="S53">
        <v>1.3802962599999999</v>
      </c>
      <c r="T53">
        <v>1.36350989</v>
      </c>
      <c r="U53">
        <v>1.364860325</v>
      </c>
      <c r="V53">
        <v>1.3493396799999999</v>
      </c>
      <c r="W53">
        <v>1.47869973</v>
      </c>
      <c r="X53">
        <v>1.430437685</v>
      </c>
      <c r="Y53">
        <v>1.3678251749999999</v>
      </c>
      <c r="Z53">
        <v>1.2418289</v>
      </c>
      <c r="AA53">
        <v>1.165216585</v>
      </c>
      <c r="AB53">
        <v>1.0817535949999999</v>
      </c>
      <c r="AC53">
        <f t="shared" si="0"/>
        <v>1.2196427599999999</v>
      </c>
      <c r="AD53">
        <f t="shared" si="1"/>
        <v>1.2379376574999998</v>
      </c>
    </row>
    <row r="54" spans="1:30" x14ac:dyDescent="0.25">
      <c r="A54" t="s">
        <v>408</v>
      </c>
      <c r="B54" t="s">
        <v>410</v>
      </c>
      <c r="C54">
        <v>115</v>
      </c>
      <c r="D54" t="s">
        <v>3</v>
      </c>
      <c r="E54">
        <v>9.1130818000000006E-3</v>
      </c>
      <c r="F54">
        <v>0.42784336020000002</v>
      </c>
      <c r="G54">
        <v>6.1621495000000002E-3</v>
      </c>
      <c r="H54">
        <v>0.38464070109999998</v>
      </c>
      <c r="I54">
        <v>0.1493916404</v>
      </c>
      <c r="J54">
        <v>0.4977874249</v>
      </c>
      <c r="K54">
        <v>4.6625698899999998E-2</v>
      </c>
      <c r="L54">
        <v>4.8723289000000003E-3</v>
      </c>
      <c r="M54">
        <v>5.1664618000000002E-2</v>
      </c>
      <c r="N54">
        <v>0.14899529759999999</v>
      </c>
      <c r="O54">
        <v>1.6941512700000001E-2</v>
      </c>
      <c r="P54">
        <v>0.24506271839999999</v>
      </c>
      <c r="Q54">
        <v>0.45666979149999998</v>
      </c>
      <c r="R54">
        <v>0.37989163040000001</v>
      </c>
      <c r="S54">
        <v>1.7460371200000002E-2</v>
      </c>
      <c r="T54">
        <v>0.44189119129999999</v>
      </c>
      <c r="U54">
        <v>0.34916618389999998</v>
      </c>
      <c r="V54">
        <v>8.5467989899999999E-2</v>
      </c>
      <c r="W54">
        <v>8.0539394700000003E-2</v>
      </c>
      <c r="X54">
        <v>2.6379288300000001E-2</v>
      </c>
      <c r="Y54">
        <v>0.14352450759999999</v>
      </c>
      <c r="Z54">
        <v>0.50793269100000005</v>
      </c>
      <c r="AA54">
        <v>8.1211687500000004E-2</v>
      </c>
      <c r="AB54">
        <v>0.45358723880000001</v>
      </c>
      <c r="AC54">
        <f t="shared" si="0"/>
        <v>0.20886760410416663</v>
      </c>
      <c r="AD54">
        <f t="shared" si="1"/>
        <v>0.14625990259999999</v>
      </c>
    </row>
    <row r="55" spans="1:30" x14ac:dyDescent="0.25">
      <c r="A55" t="s">
        <v>408</v>
      </c>
      <c r="B55" t="s">
        <v>410</v>
      </c>
      <c r="C55">
        <v>115</v>
      </c>
      <c r="D55" t="s">
        <v>4</v>
      </c>
      <c r="E55">
        <v>1.551522E-2</v>
      </c>
      <c r="F55">
        <v>1.5221235E-2</v>
      </c>
      <c r="G55">
        <v>1.4837085E-2</v>
      </c>
      <c r="H55">
        <v>1.488942E-2</v>
      </c>
      <c r="I55">
        <v>1.47864E-2</v>
      </c>
      <c r="J55">
        <v>1.5514170000000001E-2</v>
      </c>
      <c r="K55">
        <v>1.6192604999999999E-2</v>
      </c>
      <c r="L55">
        <v>1.659099E-2</v>
      </c>
      <c r="M55">
        <v>1.7321235000000001E-2</v>
      </c>
      <c r="N55">
        <v>1.8792585000000001E-2</v>
      </c>
      <c r="O55">
        <v>2.0395110000000001E-2</v>
      </c>
      <c r="P55">
        <v>2.1637440000000001E-2</v>
      </c>
      <c r="Q55">
        <v>2.1510930000000001E-2</v>
      </c>
      <c r="R55">
        <v>2.1176159999999999E-2</v>
      </c>
      <c r="S55">
        <v>2.1019739999999999E-2</v>
      </c>
      <c r="T55">
        <v>2.0764109999999999E-2</v>
      </c>
      <c r="U55">
        <v>2.0784674999999999E-2</v>
      </c>
      <c r="V55">
        <v>2.0548319999999998E-2</v>
      </c>
      <c r="W55">
        <v>2.251827E-2</v>
      </c>
      <c r="X55">
        <v>2.1783315000000001E-2</v>
      </c>
      <c r="Y55">
        <v>2.0829825E-2</v>
      </c>
      <c r="Z55">
        <v>1.89111E-2</v>
      </c>
      <c r="AA55">
        <v>1.7744414999999999E-2</v>
      </c>
      <c r="AB55">
        <v>1.6473405E-2</v>
      </c>
      <c r="AC55">
        <f t="shared" si="0"/>
        <v>1.8573240000000001E-2</v>
      </c>
      <c r="AD55">
        <f t="shared" si="1"/>
        <v>1.88518425E-2</v>
      </c>
    </row>
    <row r="56" spans="1:30" x14ac:dyDescent="0.25">
      <c r="A56" t="s">
        <v>408</v>
      </c>
      <c r="B56" t="s">
        <v>411</v>
      </c>
      <c r="C56">
        <v>115</v>
      </c>
      <c r="D56" t="s">
        <v>2</v>
      </c>
      <c r="E56">
        <v>0.53725347499999998</v>
      </c>
      <c r="F56">
        <v>0.53904125000000003</v>
      </c>
      <c r="G56">
        <v>0.53920279000000004</v>
      </c>
      <c r="H56">
        <v>0.53523915</v>
      </c>
      <c r="I56">
        <v>0.54062513000000001</v>
      </c>
      <c r="J56">
        <v>0.5746155101</v>
      </c>
      <c r="K56">
        <v>0.55978731999999998</v>
      </c>
      <c r="L56">
        <v>0.52909176499999999</v>
      </c>
      <c r="M56">
        <v>0.51780662</v>
      </c>
      <c r="N56">
        <v>0.52255037999999998</v>
      </c>
      <c r="O56">
        <v>0.54179924999999995</v>
      </c>
      <c r="P56">
        <v>0.57653429</v>
      </c>
      <c r="Q56">
        <v>0.56947479499999998</v>
      </c>
      <c r="R56">
        <v>0.58240292000000005</v>
      </c>
      <c r="S56">
        <v>0.57092569999999998</v>
      </c>
      <c r="T56">
        <v>0.56552691499999996</v>
      </c>
      <c r="U56">
        <v>0.58393558000000001</v>
      </c>
      <c r="V56">
        <v>0.61236464999999995</v>
      </c>
      <c r="W56">
        <v>0.66020314499999999</v>
      </c>
      <c r="X56">
        <v>0.64984980999999997</v>
      </c>
      <c r="Y56">
        <v>0.62411668499999995</v>
      </c>
      <c r="Z56">
        <v>0.58876897500000003</v>
      </c>
      <c r="AA56">
        <v>0.56847502000000005</v>
      </c>
      <c r="AB56">
        <v>0.53506086500000005</v>
      </c>
      <c r="AC56">
        <f t="shared" si="0"/>
        <v>0.56769383292083331</v>
      </c>
      <c r="AD56">
        <f t="shared" si="1"/>
        <v>0.56700096750000006</v>
      </c>
    </row>
    <row r="57" spans="1:30" x14ac:dyDescent="0.25">
      <c r="A57" t="s">
        <v>408</v>
      </c>
      <c r="B57" t="s">
        <v>411</v>
      </c>
      <c r="C57">
        <v>115</v>
      </c>
      <c r="D57" t="s">
        <v>3</v>
      </c>
      <c r="E57">
        <v>0.13067750559999999</v>
      </c>
      <c r="F57">
        <v>0.1197531988</v>
      </c>
      <c r="G57">
        <v>0.1117544753</v>
      </c>
      <c r="H57">
        <v>0.1098278917</v>
      </c>
      <c r="I57">
        <v>0.11944957320000001</v>
      </c>
      <c r="J57">
        <v>0.13672461920000001</v>
      </c>
      <c r="K57">
        <v>0.1429671055</v>
      </c>
      <c r="L57">
        <v>0.13603615960000001</v>
      </c>
      <c r="M57">
        <v>0.14345530779999999</v>
      </c>
      <c r="N57">
        <v>0.13100915390000001</v>
      </c>
      <c r="O57">
        <v>0.14108032149999999</v>
      </c>
      <c r="P57">
        <v>0.1489978086</v>
      </c>
      <c r="Q57">
        <v>0.17085601780000001</v>
      </c>
      <c r="R57">
        <v>0.1560925558</v>
      </c>
      <c r="S57">
        <v>0.15805648289999999</v>
      </c>
      <c r="T57">
        <v>0.20358481</v>
      </c>
      <c r="U57">
        <v>0.2250116408</v>
      </c>
      <c r="V57">
        <v>0.24840634319999999</v>
      </c>
      <c r="W57">
        <v>0.26339341970000002</v>
      </c>
      <c r="X57">
        <v>0.28727092910000002</v>
      </c>
      <c r="Y57">
        <v>0.28508263179999999</v>
      </c>
      <c r="Z57">
        <v>0.24272011369999999</v>
      </c>
      <c r="AA57">
        <v>0.19501529109999999</v>
      </c>
      <c r="AB57">
        <v>0.18661302239999999</v>
      </c>
      <c r="AC57">
        <f t="shared" si="0"/>
        <v>0.17474318245833334</v>
      </c>
      <c r="AD57">
        <f t="shared" si="1"/>
        <v>0.15254518220000002</v>
      </c>
    </row>
    <row r="58" spans="1:30" x14ac:dyDescent="0.25">
      <c r="A58" t="s">
        <v>408</v>
      </c>
      <c r="B58" t="s">
        <v>411</v>
      </c>
      <c r="C58">
        <v>115</v>
      </c>
      <c r="D58" t="s">
        <v>4</v>
      </c>
      <c r="E58">
        <v>8.1815250000000003E-3</v>
      </c>
      <c r="F58">
        <v>8.2087500000000008E-3</v>
      </c>
      <c r="G58">
        <v>8.21121E-3</v>
      </c>
      <c r="H58">
        <v>8.1508498999999998E-3</v>
      </c>
      <c r="I58">
        <v>8.2328699999999998E-3</v>
      </c>
      <c r="J58">
        <v>8.7504899000000001E-3</v>
      </c>
      <c r="K58">
        <v>8.5246799999999998E-3</v>
      </c>
      <c r="L58">
        <v>8.0572349999999994E-3</v>
      </c>
      <c r="M58">
        <v>7.8853800000000009E-3</v>
      </c>
      <c r="N58">
        <v>7.9576200000000003E-3</v>
      </c>
      <c r="O58">
        <v>8.2507499999999994E-3</v>
      </c>
      <c r="P58">
        <v>8.7797099999999996E-3</v>
      </c>
      <c r="Q58">
        <v>8.6722050000000005E-3</v>
      </c>
      <c r="R58">
        <v>8.8690799999999997E-3</v>
      </c>
      <c r="S58">
        <v>8.6943000000000003E-3</v>
      </c>
      <c r="T58">
        <v>8.6120850000000002E-3</v>
      </c>
      <c r="U58">
        <v>8.8924199999999998E-3</v>
      </c>
      <c r="V58">
        <v>9.3253499999999996E-3</v>
      </c>
      <c r="W58">
        <v>1.0053855E-2</v>
      </c>
      <c r="X58">
        <v>9.8961899999999992E-3</v>
      </c>
      <c r="Y58">
        <v>9.5043149999999993E-3</v>
      </c>
      <c r="Z58">
        <v>8.9660250000000007E-3</v>
      </c>
      <c r="AA58">
        <v>8.6569799999999999E-3</v>
      </c>
      <c r="AB58">
        <v>8.1481350000000008E-3</v>
      </c>
      <c r="AC58">
        <f t="shared" si="0"/>
        <v>8.6450837416666669E-3</v>
      </c>
      <c r="AD58">
        <f t="shared" si="1"/>
        <v>8.6345325000000001E-3</v>
      </c>
    </row>
    <row r="59" spans="1:30" x14ac:dyDescent="0.25">
      <c r="A59" t="s">
        <v>408</v>
      </c>
      <c r="B59" t="s">
        <v>427</v>
      </c>
      <c r="C59">
        <v>115</v>
      </c>
      <c r="D59" t="s">
        <v>2</v>
      </c>
      <c r="E59">
        <v>2.0710708499999999</v>
      </c>
      <c r="F59">
        <v>1.9990555299999999</v>
      </c>
      <c r="G59">
        <v>1.9672902649999999</v>
      </c>
      <c r="H59">
        <v>1.86538709</v>
      </c>
      <c r="I59">
        <v>1.8585669499999999</v>
      </c>
      <c r="J59">
        <v>1.9431459449999999</v>
      </c>
      <c r="K59">
        <v>1.80313312</v>
      </c>
      <c r="L59">
        <v>1.829065215</v>
      </c>
      <c r="M59">
        <v>1.914137695</v>
      </c>
      <c r="N59">
        <v>2.0783933399999999</v>
      </c>
      <c r="O59">
        <v>2.2250293050000001</v>
      </c>
      <c r="P59">
        <v>2.3691476100000002</v>
      </c>
      <c r="Q59">
        <v>2.3478883549999998</v>
      </c>
      <c r="R59">
        <v>2.3656006249999999</v>
      </c>
      <c r="S59">
        <v>2.3844525399999998</v>
      </c>
      <c r="T59">
        <v>2.3731309500000002</v>
      </c>
      <c r="U59">
        <v>2.4272005550000002</v>
      </c>
      <c r="V59">
        <v>2.492182975</v>
      </c>
      <c r="W59">
        <v>2.849296695</v>
      </c>
      <c r="X59">
        <v>3.0223759700000001</v>
      </c>
      <c r="Y59">
        <v>2.8814027699999998</v>
      </c>
      <c r="Z59">
        <v>2.5851689449999999</v>
      </c>
      <c r="AA59">
        <v>2.3932485899999998</v>
      </c>
      <c r="AB59">
        <v>2.1925873450000002</v>
      </c>
      <c r="AC59">
        <f t="shared" si="0"/>
        <v>2.2599149679166666</v>
      </c>
      <c r="AD59">
        <f t="shared" si="1"/>
        <v>2.2864588299999999</v>
      </c>
    </row>
    <row r="60" spans="1:30" x14ac:dyDescent="0.25">
      <c r="A60" t="s">
        <v>408</v>
      </c>
      <c r="B60" t="s">
        <v>427</v>
      </c>
      <c r="C60">
        <v>115</v>
      </c>
      <c r="D60" t="s">
        <v>3</v>
      </c>
      <c r="E60">
        <v>0.23895021220000001</v>
      </c>
      <c r="F60">
        <v>0.39298194939999997</v>
      </c>
      <c r="G60">
        <v>0.2498738147</v>
      </c>
      <c r="H60">
        <v>0.39053082369999997</v>
      </c>
      <c r="I60">
        <v>3.4274595800000002E-2</v>
      </c>
      <c r="J60">
        <v>0.2814852806</v>
      </c>
      <c r="K60">
        <v>0.23277502</v>
      </c>
      <c r="L60">
        <v>1.15682554E-2</v>
      </c>
      <c r="M60">
        <v>0.17577746599999999</v>
      </c>
      <c r="N60">
        <v>0.13328716469999999</v>
      </c>
      <c r="O60">
        <v>9.8073760499999996E-2</v>
      </c>
      <c r="P60">
        <v>0.12860121499999999</v>
      </c>
      <c r="Q60">
        <v>0.36250282090000002</v>
      </c>
      <c r="R60">
        <v>0.1401348644</v>
      </c>
      <c r="S60">
        <v>7.7663057399999999E-2</v>
      </c>
      <c r="T60">
        <v>0.1024193066</v>
      </c>
      <c r="U60">
        <v>0.2234274232</v>
      </c>
      <c r="V60">
        <v>0.28709518880000001</v>
      </c>
      <c r="W60">
        <v>0.1772804935</v>
      </c>
      <c r="X60">
        <v>4.4832992600000003E-2</v>
      </c>
      <c r="Y60">
        <v>0.2145229957</v>
      </c>
      <c r="Z60">
        <v>0.22270065780000001</v>
      </c>
      <c r="AA60">
        <v>4.9054966700000001E-2</v>
      </c>
      <c r="AB60">
        <v>0.41931530090000002</v>
      </c>
      <c r="AC60">
        <f t="shared" si="0"/>
        <v>0.19538040110416668</v>
      </c>
      <c r="AD60">
        <f t="shared" si="1"/>
        <v>0.19590174459999998</v>
      </c>
    </row>
    <row r="61" spans="1:30" x14ac:dyDescent="0.25">
      <c r="A61" t="s">
        <v>408</v>
      </c>
      <c r="B61" t="s">
        <v>427</v>
      </c>
      <c r="C61">
        <v>115</v>
      </c>
      <c r="D61" t="s">
        <v>4</v>
      </c>
      <c r="E61">
        <v>3.1539150000000002E-2</v>
      </c>
      <c r="F61">
        <v>3.0442469999999999E-2</v>
      </c>
      <c r="G61">
        <v>2.9958735E-2</v>
      </c>
      <c r="H61">
        <v>2.840691E-2</v>
      </c>
      <c r="I61">
        <v>2.830305E-2</v>
      </c>
      <c r="J61">
        <v>2.9591055000000002E-2</v>
      </c>
      <c r="K61">
        <v>2.7458880000000001E-2</v>
      </c>
      <c r="L61">
        <v>2.7853784999999999E-2</v>
      </c>
      <c r="M61">
        <v>2.9149305E-2</v>
      </c>
      <c r="N61">
        <v>3.1650659999999997E-2</v>
      </c>
      <c r="O61">
        <v>3.3883694999999998E-2</v>
      </c>
      <c r="P61">
        <v>3.6078390000000002E-2</v>
      </c>
      <c r="Q61">
        <v>3.5754645000000002E-2</v>
      </c>
      <c r="R61">
        <v>3.6024374999999997E-2</v>
      </c>
      <c r="S61">
        <v>3.6311459999999997E-2</v>
      </c>
      <c r="T61">
        <v>3.6139049999999999E-2</v>
      </c>
      <c r="U61">
        <v>3.6962444999999997E-2</v>
      </c>
      <c r="V61">
        <v>3.7952025E-2</v>
      </c>
      <c r="W61">
        <v>4.3390304999999997E-2</v>
      </c>
      <c r="X61">
        <v>4.6026030000000002E-2</v>
      </c>
      <c r="Y61">
        <v>4.3879229999999998E-2</v>
      </c>
      <c r="Z61">
        <v>3.9368054999999999E-2</v>
      </c>
      <c r="AA61">
        <v>3.6445409999999998E-2</v>
      </c>
      <c r="AB61">
        <v>3.3389654999999997E-2</v>
      </c>
      <c r="AC61">
        <f t="shared" si="0"/>
        <v>3.441494875E-2</v>
      </c>
      <c r="AD61">
        <f t="shared" si="1"/>
        <v>3.4819169999999997E-2</v>
      </c>
    </row>
    <row r="62" spans="1:30" x14ac:dyDescent="0.25">
      <c r="A62" t="s">
        <v>408</v>
      </c>
      <c r="B62" t="s">
        <v>428</v>
      </c>
      <c r="C62">
        <v>115</v>
      </c>
      <c r="D62" t="s">
        <v>2</v>
      </c>
      <c r="E62">
        <v>9.7262367199999993</v>
      </c>
      <c r="F62">
        <v>9.2774608700000005</v>
      </c>
      <c r="G62">
        <v>9.0276461549999993</v>
      </c>
      <c r="H62">
        <v>8.7943449650000005</v>
      </c>
      <c r="I62">
        <v>8.7898661699999998</v>
      </c>
      <c r="J62">
        <v>9.0800422449999996</v>
      </c>
      <c r="K62">
        <v>8.6105961700000009</v>
      </c>
      <c r="L62">
        <v>8.4597847900000005</v>
      </c>
      <c r="M62">
        <v>8.7910688550000007</v>
      </c>
      <c r="N62">
        <v>9.4000076749999995</v>
      </c>
      <c r="O62">
        <v>10.22417589</v>
      </c>
      <c r="P62">
        <v>10.966758524999999</v>
      </c>
      <c r="Q62">
        <v>11.233597980000001</v>
      </c>
      <c r="R62">
        <v>11.26850638</v>
      </c>
      <c r="S62">
        <v>11.15655128</v>
      </c>
      <c r="T62">
        <v>11.071142914999999</v>
      </c>
      <c r="U62">
        <v>11.253064535</v>
      </c>
      <c r="V62">
        <v>11.5174474</v>
      </c>
      <c r="W62">
        <v>13.157727514999999</v>
      </c>
      <c r="X62">
        <v>13.781421634999999</v>
      </c>
      <c r="Y62">
        <v>13.368063429999999</v>
      </c>
      <c r="Z62">
        <v>12.340459225</v>
      </c>
      <c r="AA62">
        <v>11.38834542</v>
      </c>
      <c r="AB62">
        <v>10.413336275000001</v>
      </c>
      <c r="AC62">
        <f t="shared" si="0"/>
        <v>10.545735542499999</v>
      </c>
      <c r="AD62">
        <f t="shared" si="1"/>
        <v>10.690047400000001</v>
      </c>
    </row>
    <row r="63" spans="1:30" x14ac:dyDescent="0.25">
      <c r="A63" t="s">
        <v>408</v>
      </c>
      <c r="B63" t="s">
        <v>428</v>
      </c>
      <c r="C63">
        <v>115</v>
      </c>
      <c r="D63" t="s">
        <v>3</v>
      </c>
      <c r="E63">
        <v>1.9390841894999999</v>
      </c>
      <c r="F63">
        <v>1.8988645707</v>
      </c>
      <c r="G63">
        <v>1.8899959743000001</v>
      </c>
      <c r="H63">
        <v>1.8344224997</v>
      </c>
      <c r="I63">
        <v>1.8226796403000001</v>
      </c>
      <c r="J63">
        <v>1.3835252367999999</v>
      </c>
      <c r="K63">
        <v>1.0160407927999999</v>
      </c>
      <c r="L63">
        <v>1.0867270319</v>
      </c>
      <c r="M63">
        <v>1.2230822777000001</v>
      </c>
      <c r="N63">
        <v>1.4091167251000001</v>
      </c>
      <c r="O63">
        <v>1.5826753846999999</v>
      </c>
      <c r="P63">
        <v>1.7166124518000001</v>
      </c>
      <c r="Q63">
        <v>1.7108991653000001</v>
      </c>
      <c r="R63">
        <v>1.7978801346</v>
      </c>
      <c r="S63">
        <v>1.8138485907999999</v>
      </c>
      <c r="T63">
        <v>1.7750183372999999</v>
      </c>
      <c r="U63">
        <v>1.7569492952000001</v>
      </c>
      <c r="V63">
        <v>1.6477987693</v>
      </c>
      <c r="W63">
        <v>2.2006681592000001</v>
      </c>
      <c r="X63">
        <v>2.3348633330999999</v>
      </c>
      <c r="Y63">
        <v>2.2073570730999998</v>
      </c>
      <c r="Z63">
        <v>2.0063300936999999</v>
      </c>
      <c r="AA63">
        <v>1.9909487974</v>
      </c>
      <c r="AB63">
        <v>1.9514584369000001</v>
      </c>
      <c r="AC63">
        <f t="shared" si="0"/>
        <v>1.7498686233833334</v>
      </c>
      <c r="AD63">
        <f t="shared" si="1"/>
        <v>1.8058643626999999</v>
      </c>
    </row>
    <row r="64" spans="1:30" x14ac:dyDescent="0.25">
      <c r="A64" t="s">
        <v>408</v>
      </c>
      <c r="B64" t="s">
        <v>428</v>
      </c>
      <c r="C64">
        <v>115</v>
      </c>
      <c r="D64" t="s">
        <v>4</v>
      </c>
      <c r="E64">
        <v>0.14811527999999999</v>
      </c>
      <c r="F64">
        <v>0.14128113</v>
      </c>
      <c r="G64">
        <v>0.13747684499999999</v>
      </c>
      <c r="H64">
        <v>0.133924035</v>
      </c>
      <c r="I64">
        <v>0.13385583000000001</v>
      </c>
      <c r="J64">
        <v>0.138274755</v>
      </c>
      <c r="K64">
        <v>0.13112583</v>
      </c>
      <c r="L64">
        <v>0.12882921</v>
      </c>
      <c r="M64">
        <v>0.133874145</v>
      </c>
      <c r="N64">
        <v>0.14314732499999999</v>
      </c>
      <c r="O64">
        <v>0.15569811</v>
      </c>
      <c r="P64">
        <v>0.16700647499999999</v>
      </c>
      <c r="Q64">
        <v>0.17107001999999999</v>
      </c>
      <c r="R64">
        <v>0.17160162000000001</v>
      </c>
      <c r="S64">
        <v>0.16989672</v>
      </c>
      <c r="T64">
        <v>0.16859608500000001</v>
      </c>
      <c r="U64">
        <v>0.171366465</v>
      </c>
      <c r="V64">
        <v>0.17539260000000001</v>
      </c>
      <c r="W64">
        <v>0.20037148499999999</v>
      </c>
      <c r="X64">
        <v>0.209869365</v>
      </c>
      <c r="Y64">
        <v>0.20357457000000001</v>
      </c>
      <c r="Z64">
        <v>0.18792577499999999</v>
      </c>
      <c r="AA64">
        <v>0.17342658</v>
      </c>
      <c r="AB64">
        <v>0.158578725</v>
      </c>
      <c r="AC64">
        <f t="shared" si="0"/>
        <v>0.16059495749999997</v>
      </c>
      <c r="AD64">
        <f t="shared" si="1"/>
        <v>0.16279260000000001</v>
      </c>
    </row>
    <row r="65" spans="1:30" x14ac:dyDescent="0.25">
      <c r="A65" t="s">
        <v>408</v>
      </c>
      <c r="B65" t="s">
        <v>429</v>
      </c>
      <c r="C65">
        <v>34</v>
      </c>
      <c r="D65" t="s">
        <v>2</v>
      </c>
      <c r="E65">
        <v>0.46876317000000001</v>
      </c>
      <c r="F65">
        <v>0.39212249999999998</v>
      </c>
      <c r="G65">
        <v>0.37327152000000002</v>
      </c>
      <c r="H65">
        <v>0.33921481999999997</v>
      </c>
      <c r="I65">
        <v>0.33903633999999999</v>
      </c>
      <c r="J65">
        <v>0.57953328999999998</v>
      </c>
      <c r="K65">
        <v>0.57342422999999998</v>
      </c>
      <c r="L65">
        <v>0.45940752000000001</v>
      </c>
      <c r="M65">
        <v>0.69039846999999999</v>
      </c>
      <c r="N65">
        <v>0.83730400000000005</v>
      </c>
      <c r="O65">
        <v>1.0281301599999999</v>
      </c>
      <c r="P65">
        <v>1.18514988</v>
      </c>
      <c r="Q65">
        <v>1.2657209899999999</v>
      </c>
      <c r="R65">
        <v>1.06651403</v>
      </c>
      <c r="S65">
        <v>0.90949139999999995</v>
      </c>
      <c r="T65">
        <v>0.78924729000000005</v>
      </c>
      <c r="U65">
        <v>0.82445926000000003</v>
      </c>
      <c r="V65">
        <v>0.75029402999999995</v>
      </c>
      <c r="W65">
        <v>0.86686571999999995</v>
      </c>
      <c r="X65">
        <v>0.88987605999999997</v>
      </c>
      <c r="Y65">
        <v>0.86487431000000004</v>
      </c>
      <c r="Z65">
        <v>0.75640987999999998</v>
      </c>
      <c r="AA65">
        <v>0.79488007999999999</v>
      </c>
      <c r="AB65">
        <v>0.69014142000000001</v>
      </c>
      <c r="AC65">
        <f t="shared" si="0"/>
        <v>0.73893876541666659</v>
      </c>
      <c r="AD65">
        <f t="shared" si="1"/>
        <v>0.77282858500000007</v>
      </c>
    </row>
    <row r="66" spans="1:30" x14ac:dyDescent="0.25">
      <c r="A66" t="s">
        <v>408</v>
      </c>
      <c r="B66" t="s">
        <v>429</v>
      </c>
      <c r="C66">
        <v>34</v>
      </c>
      <c r="D66" t="s">
        <v>3</v>
      </c>
      <c r="E66">
        <v>5.2911002399999997E-2</v>
      </c>
      <c r="F66">
        <v>9.8958924200000006E-2</v>
      </c>
      <c r="G66">
        <v>4.4718916400000003E-2</v>
      </c>
      <c r="H66">
        <v>2.4127488999999998E-2</v>
      </c>
      <c r="I66">
        <v>2.73159727E-2</v>
      </c>
      <c r="J66">
        <v>4.4078768300000001E-2</v>
      </c>
      <c r="K66">
        <v>6.4309000500000005E-2</v>
      </c>
      <c r="L66">
        <v>7.3387710999999994E-2</v>
      </c>
      <c r="M66">
        <v>0.13542347190000001</v>
      </c>
      <c r="N66">
        <v>0.16643978849999999</v>
      </c>
      <c r="O66">
        <v>0.20611988549999999</v>
      </c>
      <c r="P66">
        <v>0.2289295489</v>
      </c>
      <c r="Q66">
        <v>0.60680111989999996</v>
      </c>
      <c r="R66">
        <v>0.22807202400000001</v>
      </c>
      <c r="S66">
        <v>0.17418395989999999</v>
      </c>
      <c r="T66">
        <v>6.0029421999999999E-2</v>
      </c>
      <c r="U66">
        <v>9.2462348499999999E-2</v>
      </c>
      <c r="V66">
        <v>0.1198551593</v>
      </c>
      <c r="W66">
        <v>0.1700379863</v>
      </c>
      <c r="X66">
        <v>0.176890094</v>
      </c>
      <c r="Y66">
        <v>0.17339029689999999</v>
      </c>
      <c r="Z66">
        <v>0.14611196060000001</v>
      </c>
      <c r="AA66">
        <v>0.16998361349999999</v>
      </c>
      <c r="AB66">
        <v>0.13217449370000001</v>
      </c>
      <c r="AC66">
        <f t="shared" si="0"/>
        <v>0.14236303991249999</v>
      </c>
      <c r="AD66">
        <f t="shared" si="1"/>
        <v>0.13379898280000002</v>
      </c>
    </row>
    <row r="67" spans="1:30" x14ac:dyDescent="0.25">
      <c r="A67" t="s">
        <v>408</v>
      </c>
      <c r="B67" t="s">
        <v>429</v>
      </c>
      <c r="C67">
        <v>34</v>
      </c>
      <c r="D67" t="s">
        <v>4</v>
      </c>
      <c r="E67">
        <v>1.449783E-2</v>
      </c>
      <c r="F67">
        <v>1.2127499999999999E-2</v>
      </c>
      <c r="G67">
        <v>1.1544479999999999E-2</v>
      </c>
      <c r="H67">
        <v>1.0491179999999999E-2</v>
      </c>
      <c r="I67">
        <v>1.0485660000000001E-2</v>
      </c>
      <c r="J67">
        <v>1.7923709999999999E-2</v>
      </c>
      <c r="K67">
        <v>1.773477E-2</v>
      </c>
      <c r="L67">
        <v>1.4208480000000001E-2</v>
      </c>
      <c r="M67">
        <v>2.1352530000000002E-2</v>
      </c>
      <c r="N67">
        <v>2.5895999999999999E-2</v>
      </c>
      <c r="O67">
        <v>3.1797840000000001E-2</v>
      </c>
      <c r="P67">
        <v>3.6654119999999998E-2</v>
      </c>
      <c r="Q67">
        <v>3.9146010000000002E-2</v>
      </c>
      <c r="R67">
        <v>3.2984970000000002E-2</v>
      </c>
      <c r="S67">
        <v>2.81286E-2</v>
      </c>
      <c r="T67">
        <v>2.4409710000000001E-2</v>
      </c>
      <c r="U67">
        <v>2.5498739999999999E-2</v>
      </c>
      <c r="V67">
        <v>2.3204969999999998E-2</v>
      </c>
      <c r="W67">
        <v>2.6810279999999999E-2</v>
      </c>
      <c r="X67">
        <v>2.7521940000000002E-2</v>
      </c>
      <c r="Y67">
        <v>2.6748689999999999E-2</v>
      </c>
      <c r="Z67">
        <v>2.3394120000000001E-2</v>
      </c>
      <c r="AA67">
        <v>2.4583919999999999E-2</v>
      </c>
      <c r="AB67">
        <v>2.1344579999999998E-2</v>
      </c>
      <c r="AC67">
        <f t="shared" ref="AC67:AC94" si="2">AVERAGE(E67:AB67)</f>
        <v>2.2853776249999999E-2</v>
      </c>
      <c r="AD67">
        <f t="shared" ref="AD67:AD94" si="3">MEDIAN(E67:AB67)</f>
        <v>2.3901915000000003E-2</v>
      </c>
    </row>
    <row r="68" spans="1:30" x14ac:dyDescent="0.25">
      <c r="A68" t="s">
        <v>408</v>
      </c>
      <c r="B68" t="s">
        <v>430</v>
      </c>
      <c r="C68">
        <v>34</v>
      </c>
      <c r="D68" t="s">
        <v>2</v>
      </c>
      <c r="E68">
        <v>4.7342343800000002</v>
      </c>
      <c r="F68">
        <v>4.7161361199999998</v>
      </c>
      <c r="G68">
        <v>4.6737791299999998</v>
      </c>
      <c r="H68">
        <v>4.7594485600000001</v>
      </c>
      <c r="I68">
        <v>4.6590942999999996</v>
      </c>
      <c r="J68">
        <v>4.7428819300000002</v>
      </c>
      <c r="K68">
        <v>4.6649550399999997</v>
      </c>
      <c r="L68">
        <v>4.77335157</v>
      </c>
      <c r="M68">
        <v>4.5291278799999999</v>
      </c>
      <c r="N68">
        <v>4.4568987699999996</v>
      </c>
      <c r="O68">
        <v>4.5681335199999999</v>
      </c>
      <c r="P68">
        <v>4.5916783299999997</v>
      </c>
      <c r="Q68">
        <v>4.2827740700000003</v>
      </c>
      <c r="R68">
        <v>4.6978186400000004</v>
      </c>
      <c r="S68">
        <v>4.8384938599999998</v>
      </c>
      <c r="T68">
        <v>4.9575671799999999</v>
      </c>
      <c r="U68">
        <v>5.26545197</v>
      </c>
      <c r="V68">
        <v>5.2625730099999997</v>
      </c>
      <c r="W68">
        <v>5.56999026</v>
      </c>
      <c r="X68">
        <v>5.5588837599999996</v>
      </c>
      <c r="Y68">
        <v>5.3879823699999996</v>
      </c>
      <c r="Z68">
        <v>5.0616122900000002</v>
      </c>
      <c r="AA68">
        <v>4.8651591600000001</v>
      </c>
      <c r="AB68">
        <v>4.8882635900000002</v>
      </c>
      <c r="AC68">
        <f t="shared" si="2"/>
        <v>4.8544287370833334</v>
      </c>
      <c r="AD68">
        <f t="shared" si="3"/>
        <v>4.7511652450000001</v>
      </c>
    </row>
    <row r="69" spans="1:30" x14ac:dyDescent="0.25">
      <c r="A69" t="s">
        <v>408</v>
      </c>
      <c r="B69" t="s">
        <v>430</v>
      </c>
      <c r="C69">
        <v>34</v>
      </c>
      <c r="D69" t="s">
        <v>3</v>
      </c>
      <c r="E69">
        <v>0.1159906847</v>
      </c>
      <c r="F69">
        <v>2.1091412300000001E-2</v>
      </c>
      <c r="G69">
        <v>0.1065991038</v>
      </c>
      <c r="H69">
        <v>6.38586763E-2</v>
      </c>
      <c r="I69">
        <v>0.1122306572</v>
      </c>
      <c r="J69">
        <v>0.17240252110000001</v>
      </c>
      <c r="K69">
        <v>0.1043313895</v>
      </c>
      <c r="L69">
        <v>0</v>
      </c>
      <c r="M69">
        <v>2.86452926E-2</v>
      </c>
      <c r="N69">
        <v>6.6112261300000003E-2</v>
      </c>
      <c r="O69">
        <v>0.17937027550000001</v>
      </c>
      <c r="P69">
        <v>0.32983108430000002</v>
      </c>
      <c r="Q69">
        <v>0.48186319509999997</v>
      </c>
      <c r="R69">
        <v>0.3503926195</v>
      </c>
      <c r="S69">
        <v>0.41109685210000002</v>
      </c>
      <c r="T69">
        <v>0.56536921790000005</v>
      </c>
      <c r="U69">
        <v>0.82384544550000005</v>
      </c>
      <c r="V69">
        <v>0.89869487910000001</v>
      </c>
      <c r="W69">
        <v>0.60305414280000003</v>
      </c>
      <c r="X69">
        <v>0.49807150979999998</v>
      </c>
      <c r="Y69">
        <v>0.3763025357</v>
      </c>
      <c r="Z69">
        <v>0.36782359260000003</v>
      </c>
      <c r="AA69">
        <v>0.26046334319999997</v>
      </c>
      <c r="AB69">
        <v>0.19318387340000001</v>
      </c>
      <c r="AC69">
        <f t="shared" si="2"/>
        <v>0.2971093568874999</v>
      </c>
      <c r="AD69">
        <f t="shared" si="3"/>
        <v>0.22682360829999998</v>
      </c>
    </row>
    <row r="70" spans="1:30" x14ac:dyDescent="0.25">
      <c r="A70" t="s">
        <v>408</v>
      </c>
      <c r="B70" t="s">
        <v>430</v>
      </c>
      <c r="C70">
        <v>34</v>
      </c>
      <c r="D70" t="s">
        <v>4</v>
      </c>
      <c r="E70">
        <v>0.14641962</v>
      </c>
      <c r="F70">
        <v>0.14585988</v>
      </c>
      <c r="G70">
        <v>0.14454987</v>
      </c>
      <c r="H70">
        <v>0.14719943999999999</v>
      </c>
      <c r="I70">
        <v>0.14409569999999999</v>
      </c>
      <c r="J70">
        <v>0.14668707</v>
      </c>
      <c r="K70">
        <v>0.14427696000000001</v>
      </c>
      <c r="L70">
        <v>0.14762943000000001</v>
      </c>
      <c r="M70">
        <v>0.14007612</v>
      </c>
      <c r="N70">
        <v>0.13784223000000001</v>
      </c>
      <c r="O70">
        <v>0.14128247999999999</v>
      </c>
      <c r="P70">
        <v>0.14201067000000001</v>
      </c>
      <c r="Q70">
        <v>0.13245693</v>
      </c>
      <c r="R70">
        <v>0.14529336000000001</v>
      </c>
      <c r="S70">
        <v>0.14964414000000001</v>
      </c>
      <c r="T70">
        <v>0.15332682</v>
      </c>
      <c r="U70">
        <v>0.16284903000000001</v>
      </c>
      <c r="V70">
        <v>0.16275998999999999</v>
      </c>
      <c r="W70">
        <v>0.17226774</v>
      </c>
      <c r="X70">
        <v>0.17192424000000001</v>
      </c>
      <c r="Y70">
        <v>0.16663863000000001</v>
      </c>
      <c r="Z70">
        <v>0.15654471</v>
      </c>
      <c r="AA70">
        <v>0.15046883999999999</v>
      </c>
      <c r="AB70">
        <v>0.15118340999999999</v>
      </c>
      <c r="AC70">
        <f t="shared" si="2"/>
        <v>0.15013697125</v>
      </c>
      <c r="AD70">
        <f t="shared" si="3"/>
        <v>0.14694325499999999</v>
      </c>
    </row>
    <row r="71" spans="1:30" x14ac:dyDescent="0.25">
      <c r="A71" t="s">
        <v>408</v>
      </c>
      <c r="B71" t="s">
        <v>434</v>
      </c>
      <c r="C71">
        <v>115</v>
      </c>
      <c r="D71" t="s">
        <v>2</v>
      </c>
      <c r="E71">
        <v>0.83232499999999998</v>
      </c>
      <c r="F71">
        <v>0.79637151500000003</v>
      </c>
      <c r="G71">
        <v>0.79545743499999999</v>
      </c>
      <c r="H71">
        <v>0.79490879000000003</v>
      </c>
      <c r="I71">
        <v>0.80421310000000001</v>
      </c>
      <c r="J71">
        <v>0.81056930500000002</v>
      </c>
      <c r="K71">
        <v>1.00424099</v>
      </c>
      <c r="L71">
        <v>1.2487711800000001</v>
      </c>
      <c r="M71">
        <v>1.34978687</v>
      </c>
      <c r="N71">
        <v>1.3875635900000001</v>
      </c>
      <c r="O71">
        <v>1.5340833250000001</v>
      </c>
      <c r="P71">
        <v>1.59728388</v>
      </c>
      <c r="Q71">
        <v>1.40618797</v>
      </c>
      <c r="R71">
        <v>1.55089235</v>
      </c>
      <c r="S71">
        <v>1.598590975</v>
      </c>
      <c r="T71">
        <v>1.5682096350000001</v>
      </c>
      <c r="U71">
        <v>1.4528030949999999</v>
      </c>
      <c r="V71">
        <v>1.1784471050000001</v>
      </c>
      <c r="W71">
        <v>1.200719925</v>
      </c>
      <c r="X71">
        <v>1.1305071550000001</v>
      </c>
      <c r="Y71">
        <v>1.0389494349999999</v>
      </c>
      <c r="Z71">
        <v>0.90683926500000001</v>
      </c>
      <c r="AA71">
        <v>0.85114243999999994</v>
      </c>
      <c r="AB71">
        <v>0.84911826499999998</v>
      </c>
      <c r="AC71">
        <f t="shared" si="2"/>
        <v>1.1536659414583332</v>
      </c>
      <c r="AD71">
        <f t="shared" si="3"/>
        <v>1.1544771300000001</v>
      </c>
    </row>
    <row r="72" spans="1:30" x14ac:dyDescent="0.25">
      <c r="A72" t="s">
        <v>408</v>
      </c>
      <c r="B72" t="s">
        <v>434</v>
      </c>
      <c r="C72">
        <v>115</v>
      </c>
      <c r="D72" t="s">
        <v>3</v>
      </c>
      <c r="E72">
        <v>0.17250660700000001</v>
      </c>
      <c r="F72">
        <v>0.16245865919999999</v>
      </c>
      <c r="G72">
        <v>0.17571536500000001</v>
      </c>
      <c r="H72">
        <v>0.18228761239999999</v>
      </c>
      <c r="I72">
        <v>0.1675461234</v>
      </c>
      <c r="J72">
        <v>0.13837215650000001</v>
      </c>
      <c r="K72">
        <v>0.23437512890000001</v>
      </c>
      <c r="L72">
        <v>0.34932627040000003</v>
      </c>
      <c r="M72">
        <v>0.4223544172</v>
      </c>
      <c r="N72">
        <v>0.43110612269999998</v>
      </c>
      <c r="O72">
        <v>0.5010643709</v>
      </c>
      <c r="P72">
        <v>0.52522851380000002</v>
      </c>
      <c r="Q72">
        <v>0.40641969849999998</v>
      </c>
      <c r="R72">
        <v>0.47406695469999999</v>
      </c>
      <c r="S72">
        <v>0.51744654850000005</v>
      </c>
      <c r="T72">
        <v>0.5001468671</v>
      </c>
      <c r="U72">
        <v>0.45019320429999998</v>
      </c>
      <c r="V72">
        <v>0.31206618739999997</v>
      </c>
      <c r="W72">
        <v>0.27165126410000001</v>
      </c>
      <c r="X72">
        <v>0.25951274149999998</v>
      </c>
      <c r="Y72">
        <v>0.2221254225</v>
      </c>
      <c r="Z72">
        <v>0.18026205000000001</v>
      </c>
      <c r="AA72">
        <v>0.1661715543</v>
      </c>
      <c r="AB72">
        <v>0.18318969769999999</v>
      </c>
      <c r="AC72">
        <f t="shared" si="2"/>
        <v>0.30856639741666658</v>
      </c>
      <c r="AD72">
        <f t="shared" si="3"/>
        <v>0.26558200279999999</v>
      </c>
    </row>
    <row r="73" spans="1:30" x14ac:dyDescent="0.25">
      <c r="A73" t="s">
        <v>408</v>
      </c>
      <c r="B73" t="s">
        <v>434</v>
      </c>
      <c r="C73">
        <v>115</v>
      </c>
      <c r="D73" t="s">
        <v>4</v>
      </c>
      <c r="E73">
        <v>1.2675000000000001E-2</v>
      </c>
      <c r="F73">
        <v>1.2127485E-2</v>
      </c>
      <c r="G73">
        <v>1.2113565E-2</v>
      </c>
      <c r="H73">
        <v>1.210521E-2</v>
      </c>
      <c r="I73">
        <v>1.22469E-2</v>
      </c>
      <c r="J73">
        <v>1.2343695E-2</v>
      </c>
      <c r="K73">
        <v>1.5293009999999999E-2</v>
      </c>
      <c r="L73">
        <v>1.901682E-2</v>
      </c>
      <c r="M73">
        <v>2.0555130000000001E-2</v>
      </c>
      <c r="N73">
        <v>2.1130409999999999E-2</v>
      </c>
      <c r="O73">
        <v>2.3361674999999998E-2</v>
      </c>
      <c r="P73">
        <v>2.4324120000000001E-2</v>
      </c>
      <c r="Q73">
        <v>2.1414030000000001E-2</v>
      </c>
      <c r="R73">
        <v>2.361765E-2</v>
      </c>
      <c r="S73">
        <v>2.4344024999999998E-2</v>
      </c>
      <c r="T73">
        <v>2.3881365000000002E-2</v>
      </c>
      <c r="U73">
        <v>2.2123904999999999E-2</v>
      </c>
      <c r="V73">
        <v>1.7945895E-2</v>
      </c>
      <c r="W73">
        <v>1.8285075000000001E-2</v>
      </c>
      <c r="X73">
        <v>1.7215845E-2</v>
      </c>
      <c r="Y73">
        <v>1.5821564999999999E-2</v>
      </c>
      <c r="Z73">
        <v>1.3809735E-2</v>
      </c>
      <c r="AA73">
        <v>1.296156E-2</v>
      </c>
      <c r="AB73">
        <v>1.2930735E-2</v>
      </c>
      <c r="AC73">
        <f t="shared" si="2"/>
        <v>1.7568516874999999E-2</v>
      </c>
      <c r="AD73">
        <f t="shared" si="3"/>
        <v>1.7580869999999998E-2</v>
      </c>
    </row>
    <row r="74" spans="1:30" x14ac:dyDescent="0.25">
      <c r="A74" t="s">
        <v>408</v>
      </c>
      <c r="B74" t="s">
        <v>435</v>
      </c>
      <c r="C74">
        <v>34</v>
      </c>
      <c r="D74" t="s">
        <v>2</v>
      </c>
      <c r="E74">
        <v>2.8290273099999999</v>
      </c>
      <c r="F74">
        <v>2.7875345899999999</v>
      </c>
      <c r="G74">
        <v>2.7574771999999999</v>
      </c>
      <c r="H74">
        <v>2.7189391000000001</v>
      </c>
      <c r="I74">
        <v>2.73877463</v>
      </c>
      <c r="J74">
        <v>2.80472396</v>
      </c>
      <c r="K74">
        <v>2.8781995199999999</v>
      </c>
      <c r="L74">
        <v>3.1710289399999998</v>
      </c>
      <c r="M74">
        <v>3.3030265399999998</v>
      </c>
      <c r="N74">
        <v>3.2968845</v>
      </c>
      <c r="O74">
        <v>3.5280131899999998</v>
      </c>
      <c r="P74">
        <v>3.64231799</v>
      </c>
      <c r="Q74">
        <v>3.38987646</v>
      </c>
      <c r="R74">
        <v>3.7279670500000002</v>
      </c>
      <c r="S74">
        <v>3.8165561800000001</v>
      </c>
      <c r="T74">
        <v>3.83690387</v>
      </c>
      <c r="U74">
        <v>3.70313699</v>
      </c>
      <c r="V74">
        <v>3.3693085800000002</v>
      </c>
      <c r="W74">
        <v>3.53969975</v>
      </c>
      <c r="X74">
        <v>3.5102757699999998</v>
      </c>
      <c r="Y74">
        <v>3.5772668799999998</v>
      </c>
      <c r="Z74">
        <v>3.3721865700000002</v>
      </c>
      <c r="AA74">
        <v>3.14858993</v>
      </c>
      <c r="AB74">
        <v>2.9696132899999999</v>
      </c>
      <c r="AC74">
        <f t="shared" si="2"/>
        <v>3.2673886995833334</v>
      </c>
      <c r="AD74">
        <f t="shared" si="3"/>
        <v>3.3361675599999998</v>
      </c>
    </row>
    <row r="75" spans="1:30" x14ac:dyDescent="0.25">
      <c r="A75" t="s">
        <v>408</v>
      </c>
      <c r="B75" t="s">
        <v>435</v>
      </c>
      <c r="C75">
        <v>34</v>
      </c>
      <c r="D75" t="s">
        <v>3</v>
      </c>
      <c r="E75">
        <v>0.37802844940000002</v>
      </c>
      <c r="F75">
        <v>0.63752591039999995</v>
      </c>
      <c r="G75">
        <v>0.48879439450000001</v>
      </c>
      <c r="H75">
        <v>0.44048134109999998</v>
      </c>
      <c r="I75">
        <v>0.43963531659999999</v>
      </c>
      <c r="J75">
        <v>0.35961736119999999</v>
      </c>
      <c r="K75">
        <v>0.43026650989999998</v>
      </c>
      <c r="L75">
        <v>0.46985862210000001</v>
      </c>
      <c r="M75">
        <v>0.4651306214</v>
      </c>
      <c r="N75">
        <v>0.4229847444</v>
      </c>
      <c r="O75">
        <v>0.42236434280000001</v>
      </c>
      <c r="P75">
        <v>0.27943631479999997</v>
      </c>
      <c r="Q75">
        <v>0.13567647769999999</v>
      </c>
      <c r="R75">
        <v>0.30637495529999997</v>
      </c>
      <c r="S75">
        <v>0.32743248149999998</v>
      </c>
      <c r="T75">
        <v>0.2830510873</v>
      </c>
      <c r="U75">
        <v>7.2197346999999995E-2</v>
      </c>
      <c r="V75">
        <v>0.12792528980000001</v>
      </c>
      <c r="W75">
        <v>0.16841805739999999</v>
      </c>
      <c r="X75">
        <v>0.23269783299999999</v>
      </c>
      <c r="Y75">
        <v>0.283700285</v>
      </c>
      <c r="Z75">
        <v>0.2738002712</v>
      </c>
      <c r="AA75">
        <v>0.2157754607</v>
      </c>
      <c r="AB75">
        <v>0.34963940929999998</v>
      </c>
      <c r="AC75">
        <f t="shared" si="2"/>
        <v>0.33378387015833327</v>
      </c>
      <c r="AD75">
        <f t="shared" si="3"/>
        <v>0.33853594539999998</v>
      </c>
    </row>
    <row r="76" spans="1:30" x14ac:dyDescent="0.25">
      <c r="A76" t="s">
        <v>408</v>
      </c>
      <c r="B76" t="s">
        <v>435</v>
      </c>
      <c r="C76">
        <v>34</v>
      </c>
      <c r="D76" t="s">
        <v>4</v>
      </c>
      <c r="E76">
        <v>8.7495690000000001E-2</v>
      </c>
      <c r="F76">
        <v>8.6212410000000003E-2</v>
      </c>
      <c r="G76">
        <v>8.5282800000000006E-2</v>
      </c>
      <c r="H76">
        <v>8.4090899900000002E-2</v>
      </c>
      <c r="I76">
        <v>8.4704370000000001E-2</v>
      </c>
      <c r="J76">
        <v>8.6744039999999994E-2</v>
      </c>
      <c r="K76">
        <v>8.9016479999999995E-2</v>
      </c>
      <c r="L76">
        <v>9.8073060000000004E-2</v>
      </c>
      <c r="M76">
        <v>0.10215546</v>
      </c>
      <c r="N76">
        <v>0.1019655</v>
      </c>
      <c r="O76">
        <v>0.10911381000000001</v>
      </c>
      <c r="P76">
        <v>0.11264900999999999</v>
      </c>
      <c r="Q76">
        <v>0.10484154</v>
      </c>
      <c r="R76">
        <v>0.11529795</v>
      </c>
      <c r="S76">
        <v>0.11803782</v>
      </c>
      <c r="T76">
        <v>0.11866713</v>
      </c>
      <c r="U76">
        <v>0.11453001</v>
      </c>
      <c r="V76">
        <v>0.10420542000000001</v>
      </c>
      <c r="W76">
        <v>0.10947525</v>
      </c>
      <c r="X76">
        <v>0.10856523</v>
      </c>
      <c r="Y76">
        <v>0.11063712000000001</v>
      </c>
      <c r="Z76">
        <v>0.10429442999999999</v>
      </c>
      <c r="AA76">
        <v>9.7379069999999998E-2</v>
      </c>
      <c r="AB76">
        <v>9.1843709999999995E-2</v>
      </c>
      <c r="AC76">
        <f t="shared" si="2"/>
        <v>0.10105325874583333</v>
      </c>
      <c r="AD76">
        <f t="shared" si="3"/>
        <v>0.10318044000000001</v>
      </c>
    </row>
    <row r="77" spans="1:30" x14ac:dyDescent="0.25">
      <c r="A77" t="s">
        <v>408</v>
      </c>
      <c r="B77" t="s">
        <v>436</v>
      </c>
      <c r="C77">
        <v>34</v>
      </c>
      <c r="D77" t="s">
        <v>2</v>
      </c>
      <c r="E77">
        <v>1.65574829</v>
      </c>
      <c r="F77">
        <v>1.65118056</v>
      </c>
      <c r="G77">
        <v>1.6744644399999999</v>
      </c>
      <c r="H77">
        <v>1.7065122699999999</v>
      </c>
      <c r="I77">
        <v>1.73226189</v>
      </c>
      <c r="J77">
        <v>1.8424800800000001</v>
      </c>
      <c r="K77">
        <v>1.7562839400000001</v>
      </c>
      <c r="L77">
        <v>1.5182847399999999</v>
      </c>
      <c r="M77">
        <v>1.31777313</v>
      </c>
      <c r="N77">
        <v>1.19780935</v>
      </c>
      <c r="O77">
        <v>1.03712206</v>
      </c>
      <c r="P77">
        <v>1.0145123300000001</v>
      </c>
      <c r="Q77">
        <v>1.05894512</v>
      </c>
      <c r="R77">
        <v>1.03429354</v>
      </c>
      <c r="S77">
        <v>1.07154639</v>
      </c>
      <c r="T77">
        <v>1.0796633499999999</v>
      </c>
      <c r="U77">
        <v>1.1500853499999999</v>
      </c>
      <c r="V77">
        <v>1.30424842</v>
      </c>
      <c r="W77">
        <v>1.52461884</v>
      </c>
      <c r="X77">
        <v>1.53740247</v>
      </c>
      <c r="Y77">
        <v>1.46844614</v>
      </c>
      <c r="Z77">
        <v>1.4728324800000001</v>
      </c>
      <c r="AA77">
        <v>1.5619231</v>
      </c>
      <c r="AB77">
        <v>1.6437396900000001</v>
      </c>
      <c r="AC77">
        <f t="shared" si="2"/>
        <v>1.4171740820833332</v>
      </c>
      <c r="AD77">
        <f t="shared" si="3"/>
        <v>1.49555861</v>
      </c>
    </row>
    <row r="78" spans="1:30" x14ac:dyDescent="0.25">
      <c r="A78" t="s">
        <v>408</v>
      </c>
      <c r="B78" t="s">
        <v>436</v>
      </c>
      <c r="C78">
        <v>34</v>
      </c>
      <c r="D78" t="s">
        <v>3</v>
      </c>
      <c r="E78">
        <v>4.1237258300000003E-2</v>
      </c>
      <c r="F78">
        <v>0.66980307419999996</v>
      </c>
      <c r="G78">
        <v>0.66804122109999997</v>
      </c>
      <c r="H78">
        <v>0.819965414</v>
      </c>
      <c r="I78">
        <v>4.3142868600000002E-2</v>
      </c>
      <c r="J78">
        <v>0.91684394930000002</v>
      </c>
      <c r="K78">
        <v>0.37557802489999997</v>
      </c>
      <c r="L78">
        <v>0.29077883339999999</v>
      </c>
      <c r="M78">
        <v>0.62476541200000002</v>
      </c>
      <c r="N78">
        <v>0.1768966532</v>
      </c>
      <c r="O78">
        <v>0.13576860369999999</v>
      </c>
      <c r="P78">
        <v>0.1232598679</v>
      </c>
      <c r="Q78">
        <v>0.49012046329999998</v>
      </c>
      <c r="R78">
        <v>0.41956222679999999</v>
      </c>
      <c r="S78">
        <v>0.42750215629999999</v>
      </c>
      <c r="T78">
        <v>0.30189106319999998</v>
      </c>
      <c r="U78">
        <v>0.2541639705</v>
      </c>
      <c r="V78">
        <v>0.43416856069999998</v>
      </c>
      <c r="W78">
        <v>0.71097564089999998</v>
      </c>
      <c r="X78">
        <v>0.71001258649999999</v>
      </c>
      <c r="Y78">
        <v>0.26884925910000002</v>
      </c>
      <c r="Z78">
        <v>0.27864601859999999</v>
      </c>
      <c r="AA78">
        <v>0.2921771916</v>
      </c>
      <c r="AB78">
        <v>0.31543925989999999</v>
      </c>
      <c r="AC78">
        <f t="shared" si="2"/>
        <v>0.40789956574999997</v>
      </c>
      <c r="AD78">
        <f t="shared" si="3"/>
        <v>0.34550864240000001</v>
      </c>
    </row>
    <row r="79" spans="1:30" x14ac:dyDescent="0.25">
      <c r="A79" t="s">
        <v>408</v>
      </c>
      <c r="B79" t="s">
        <v>436</v>
      </c>
      <c r="C79">
        <v>34</v>
      </c>
      <c r="D79" t="s">
        <v>4</v>
      </c>
      <c r="E79">
        <v>5.1208709999999998E-2</v>
      </c>
      <c r="F79">
        <v>5.1067439999999999E-2</v>
      </c>
      <c r="G79">
        <v>5.1787560000000003E-2</v>
      </c>
      <c r="H79">
        <v>5.2778730000000003E-2</v>
      </c>
      <c r="I79">
        <v>5.3575110000000002E-2</v>
      </c>
      <c r="J79">
        <v>5.698392E-2</v>
      </c>
      <c r="K79">
        <v>5.4318060000000001E-2</v>
      </c>
      <c r="L79">
        <v>4.6957260000000001E-2</v>
      </c>
      <c r="M79">
        <v>4.075587E-2</v>
      </c>
      <c r="N79">
        <v>3.7045649999999999E-2</v>
      </c>
      <c r="O79">
        <v>3.2075939999999997E-2</v>
      </c>
      <c r="P79">
        <v>3.1376670000000002E-2</v>
      </c>
      <c r="Q79">
        <v>3.2750880000000003E-2</v>
      </c>
      <c r="R79">
        <v>3.1988460000000003E-2</v>
      </c>
      <c r="S79">
        <v>3.3140610000000001E-2</v>
      </c>
      <c r="T79">
        <v>3.3391650000000002E-2</v>
      </c>
      <c r="U79">
        <v>3.5569650000000001E-2</v>
      </c>
      <c r="V79">
        <v>4.0337579999999998E-2</v>
      </c>
      <c r="W79">
        <v>4.715316E-2</v>
      </c>
      <c r="X79">
        <v>4.7548529999999999E-2</v>
      </c>
      <c r="Y79">
        <v>4.5415860000000002E-2</v>
      </c>
      <c r="Z79">
        <v>4.5551519999999998E-2</v>
      </c>
      <c r="AA79">
        <v>4.83069E-2</v>
      </c>
      <c r="AB79">
        <v>5.0837309999999997E-2</v>
      </c>
      <c r="AC79">
        <f t="shared" si="2"/>
        <v>4.3830126249999997E-2</v>
      </c>
      <c r="AD79">
        <f t="shared" si="3"/>
        <v>4.6254389999999999E-2</v>
      </c>
    </row>
    <row r="80" spans="1:30" x14ac:dyDescent="0.25">
      <c r="A80" t="s">
        <v>408</v>
      </c>
      <c r="B80" t="s">
        <v>444</v>
      </c>
      <c r="C80">
        <v>115</v>
      </c>
      <c r="D80" t="s">
        <v>2</v>
      </c>
      <c r="E80">
        <v>16.446081065000001</v>
      </c>
      <c r="F80">
        <v>16.144135224999999</v>
      </c>
      <c r="G80">
        <v>16.699276300000001</v>
      </c>
      <c r="H80">
        <v>16.441371780000001</v>
      </c>
      <c r="I80">
        <v>16.398963590000001</v>
      </c>
      <c r="J80">
        <v>16.316871720000002</v>
      </c>
      <c r="K80">
        <v>16.897696669999998</v>
      </c>
      <c r="L80">
        <v>15.733378405</v>
      </c>
      <c r="M80">
        <v>14.882564954999999</v>
      </c>
      <c r="N80">
        <v>14.947310975000001</v>
      </c>
      <c r="O80">
        <v>15.38039873</v>
      </c>
      <c r="P80">
        <v>15.988595845000001</v>
      </c>
      <c r="Q80">
        <v>16.521120334999999</v>
      </c>
      <c r="R80">
        <v>16.683540924999999</v>
      </c>
      <c r="S80">
        <v>16.284804059999999</v>
      </c>
      <c r="T80">
        <v>17.135811555</v>
      </c>
      <c r="U80">
        <v>17.897966140000001</v>
      </c>
      <c r="V80">
        <v>18.036286735000001</v>
      </c>
      <c r="W80">
        <v>18.752078354999998</v>
      </c>
      <c r="X80">
        <v>19.034050364999999</v>
      </c>
      <c r="Y80">
        <v>19.257934955</v>
      </c>
      <c r="Z80">
        <v>18.847370210000001</v>
      </c>
      <c r="AA80">
        <v>17.591317910000001</v>
      </c>
      <c r="AB80">
        <v>16.272837294999999</v>
      </c>
      <c r="AC80">
        <f t="shared" si="2"/>
        <v>16.857990170833329</v>
      </c>
      <c r="AD80">
        <f t="shared" si="3"/>
        <v>16.4836007</v>
      </c>
    </row>
    <row r="81" spans="1:30" x14ac:dyDescent="0.25">
      <c r="A81" t="s">
        <v>408</v>
      </c>
      <c r="B81" t="s">
        <v>444</v>
      </c>
      <c r="C81">
        <v>115</v>
      </c>
      <c r="D81" t="s">
        <v>3</v>
      </c>
      <c r="E81">
        <v>4.9535262493000003</v>
      </c>
      <c r="F81">
        <v>4.9751743747999999</v>
      </c>
      <c r="G81">
        <v>4.9892453667999996</v>
      </c>
      <c r="H81">
        <v>4.7268496957000004</v>
      </c>
      <c r="I81">
        <v>4.6940605383999996</v>
      </c>
      <c r="J81">
        <v>4.8282597324000003</v>
      </c>
      <c r="K81">
        <v>4.4321559405000004</v>
      </c>
      <c r="L81">
        <v>3.5196098539</v>
      </c>
      <c r="M81">
        <v>3.4477446099</v>
      </c>
      <c r="N81">
        <v>3.7402641529</v>
      </c>
      <c r="O81">
        <v>3.6307482868999998</v>
      </c>
      <c r="P81">
        <v>4.0620317495</v>
      </c>
      <c r="Q81">
        <v>4.6122873644000002</v>
      </c>
      <c r="R81">
        <v>4.4054229749999996</v>
      </c>
      <c r="S81">
        <v>4.4342452552999996</v>
      </c>
      <c r="T81">
        <v>4.4482183855999997</v>
      </c>
      <c r="U81">
        <v>5.0921023672999999</v>
      </c>
      <c r="V81">
        <v>6.2189748543999999</v>
      </c>
      <c r="W81">
        <v>6.7430791121000002</v>
      </c>
      <c r="X81">
        <v>6.4651593732999997</v>
      </c>
      <c r="Y81">
        <v>5.9925501274000004</v>
      </c>
      <c r="Z81">
        <v>5.6682310938000002</v>
      </c>
      <c r="AA81">
        <v>5.177675367</v>
      </c>
      <c r="AB81">
        <v>4.7203348634999998</v>
      </c>
      <c r="AC81">
        <f t="shared" si="2"/>
        <v>4.8324146537541672</v>
      </c>
      <c r="AD81">
        <f t="shared" si="3"/>
        <v>4.7235922796000001</v>
      </c>
    </row>
    <row r="82" spans="1:30" x14ac:dyDescent="0.25">
      <c r="A82" t="s">
        <v>408</v>
      </c>
      <c r="B82" t="s">
        <v>444</v>
      </c>
      <c r="C82">
        <v>115</v>
      </c>
      <c r="D82" t="s">
        <v>4</v>
      </c>
      <c r="E82">
        <v>0.25044793500000001</v>
      </c>
      <c r="F82">
        <v>0.24584977499999999</v>
      </c>
      <c r="G82">
        <v>0.25430370000000002</v>
      </c>
      <c r="H82">
        <v>0.25037621999999998</v>
      </c>
      <c r="I82">
        <v>0.24973041000000001</v>
      </c>
      <c r="J82">
        <v>0.24848028</v>
      </c>
      <c r="K82">
        <v>0.25732533000000002</v>
      </c>
      <c r="L82">
        <v>0.23959459499999999</v>
      </c>
      <c r="M82">
        <v>0.22663804500000001</v>
      </c>
      <c r="N82">
        <v>0.22762402500000001</v>
      </c>
      <c r="O82">
        <v>0.23421927000000001</v>
      </c>
      <c r="P82">
        <v>0.243481155</v>
      </c>
      <c r="Q82">
        <v>0.25159066499999999</v>
      </c>
      <c r="R82">
        <v>0.254064075</v>
      </c>
      <c r="S82">
        <v>0.24799193999999999</v>
      </c>
      <c r="T82">
        <v>0.260951445</v>
      </c>
      <c r="U82">
        <v>0.27255785999999999</v>
      </c>
      <c r="V82">
        <v>0.27466426500000002</v>
      </c>
      <c r="W82">
        <v>0.28556464500000001</v>
      </c>
      <c r="X82">
        <v>0.28985863499999998</v>
      </c>
      <c r="Y82">
        <v>0.29326804499999998</v>
      </c>
      <c r="Z82">
        <v>0.28701578999999999</v>
      </c>
      <c r="AA82">
        <v>0.26788809000000002</v>
      </c>
      <c r="AB82">
        <v>0.24780970499999999</v>
      </c>
      <c r="AC82">
        <f t="shared" si="2"/>
        <v>0.25672066249999997</v>
      </c>
      <c r="AD82">
        <f t="shared" si="3"/>
        <v>0.2510193</v>
      </c>
    </row>
    <row r="83" spans="1:30" x14ac:dyDescent="0.25">
      <c r="A83" t="s">
        <v>408</v>
      </c>
      <c r="B83" t="s">
        <v>446</v>
      </c>
      <c r="C83">
        <v>220</v>
      </c>
      <c r="D83" t="s">
        <v>2</v>
      </c>
      <c r="E83">
        <v>1.418696</v>
      </c>
      <c r="F83">
        <v>1.344749</v>
      </c>
      <c r="G83">
        <v>1.308916</v>
      </c>
      <c r="H83">
        <v>1.2723930000000001</v>
      </c>
      <c r="I83">
        <v>1.4308540000000001</v>
      </c>
      <c r="J83">
        <v>1.9248270000000001</v>
      </c>
      <c r="K83">
        <v>2.3246530000000001</v>
      </c>
      <c r="L83">
        <v>2.177476</v>
      </c>
      <c r="M83">
        <v>2.0407470000000001</v>
      </c>
      <c r="N83">
        <v>2.0560939999999999</v>
      </c>
      <c r="O83">
        <v>2.2805439999999999</v>
      </c>
      <c r="P83">
        <v>2.536362</v>
      </c>
      <c r="Q83">
        <v>2.6872509999999998</v>
      </c>
      <c r="R83">
        <v>2.5743559999999999</v>
      </c>
      <c r="S83">
        <v>2.4241739999999998</v>
      </c>
      <c r="T83">
        <v>2.342346</v>
      </c>
      <c r="U83">
        <v>2.4963039999999999</v>
      </c>
      <c r="V83">
        <v>2.7108590000000001</v>
      </c>
      <c r="W83">
        <v>3.1161059999999998</v>
      </c>
      <c r="X83">
        <v>2.9669029999999998</v>
      </c>
      <c r="Y83">
        <v>2.6331329999999999</v>
      </c>
      <c r="Z83">
        <v>2.150471</v>
      </c>
      <c r="AA83">
        <v>1.7154529999999999</v>
      </c>
      <c r="AB83">
        <v>1.4967779999999999</v>
      </c>
      <c r="AC83">
        <f t="shared" si="2"/>
        <v>2.1429352083333337</v>
      </c>
      <c r="AD83">
        <f t="shared" si="3"/>
        <v>2.2290099999999997</v>
      </c>
    </row>
    <row r="84" spans="1:30" x14ac:dyDescent="0.25">
      <c r="A84" t="s">
        <v>408</v>
      </c>
      <c r="B84" t="s">
        <v>446</v>
      </c>
      <c r="C84">
        <v>220</v>
      </c>
      <c r="D84" t="s">
        <v>3</v>
      </c>
      <c r="E84">
        <v>0.43894083299999997</v>
      </c>
      <c r="F84">
        <v>0.4246215519</v>
      </c>
      <c r="G84">
        <v>0.41306775979999999</v>
      </c>
      <c r="H84">
        <v>0.33475758690000001</v>
      </c>
      <c r="I84">
        <v>0.33888834709999999</v>
      </c>
      <c r="J84">
        <v>0.31976716360000002</v>
      </c>
      <c r="K84">
        <v>0.32221804990000003</v>
      </c>
      <c r="L84">
        <v>0.40227057999999999</v>
      </c>
      <c r="M84">
        <v>0.52992292230000004</v>
      </c>
      <c r="N84">
        <v>0.47814251800000002</v>
      </c>
      <c r="O84">
        <v>0.56966126569999997</v>
      </c>
      <c r="P84">
        <v>0.51609098389999997</v>
      </c>
      <c r="Q84">
        <v>0.53646151090000005</v>
      </c>
      <c r="R84">
        <v>0.61360184090000003</v>
      </c>
      <c r="S84">
        <v>0.59924185730000001</v>
      </c>
      <c r="T84">
        <v>0.55734027249999996</v>
      </c>
      <c r="U84">
        <v>0.53233011240000006</v>
      </c>
      <c r="V84">
        <v>0.52571533059999997</v>
      </c>
      <c r="W84">
        <v>0.4509569041</v>
      </c>
      <c r="X84">
        <v>0.41627632040000001</v>
      </c>
      <c r="Y84">
        <v>0.4402349995</v>
      </c>
      <c r="Z84">
        <v>0.43802020400000002</v>
      </c>
      <c r="AA84">
        <v>0.4774661221</v>
      </c>
      <c r="AB84">
        <v>0.45319933489999997</v>
      </c>
      <c r="AC84">
        <f t="shared" si="2"/>
        <v>0.46371643215416669</v>
      </c>
      <c r="AD84">
        <f t="shared" si="3"/>
        <v>0.45207811949999999</v>
      </c>
    </row>
    <row r="85" spans="1:30" x14ac:dyDescent="0.25">
      <c r="A85" t="s">
        <v>408</v>
      </c>
      <c r="B85" t="s">
        <v>446</v>
      </c>
      <c r="C85">
        <v>220</v>
      </c>
      <c r="D85" t="s">
        <v>4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f t="shared" si="2"/>
        <v>0</v>
      </c>
      <c r="AD85">
        <f t="shared" si="3"/>
        <v>0</v>
      </c>
    </row>
    <row r="86" spans="1:30" x14ac:dyDescent="0.25">
      <c r="A86" t="s">
        <v>408</v>
      </c>
      <c r="B86" t="s">
        <v>448</v>
      </c>
      <c r="C86">
        <v>115</v>
      </c>
      <c r="D86" t="s">
        <v>2</v>
      </c>
      <c r="E86">
        <v>1.50041307</v>
      </c>
      <c r="F86">
        <v>1.4166752650000001</v>
      </c>
      <c r="G86">
        <v>1.4094020249999999</v>
      </c>
      <c r="H86">
        <v>1.3725433250000001</v>
      </c>
      <c r="I86">
        <v>1.4040121050000001</v>
      </c>
      <c r="J86">
        <v>1.4462558000000001</v>
      </c>
      <c r="K86">
        <v>1.45713414</v>
      </c>
      <c r="L86">
        <v>1.5332293299999999</v>
      </c>
      <c r="M86">
        <v>1.6872340800000001</v>
      </c>
      <c r="N86">
        <v>1.9307802549999999</v>
      </c>
      <c r="O86">
        <v>2.0728379399999999</v>
      </c>
      <c r="P86">
        <v>2.1958723199999999</v>
      </c>
      <c r="Q86">
        <v>2.3224369399999998</v>
      </c>
      <c r="R86">
        <v>2.2707155750000001</v>
      </c>
      <c r="S86">
        <v>2.2198915449999999</v>
      </c>
      <c r="T86">
        <v>2.1545535400000002</v>
      </c>
      <c r="U86">
        <v>2.1493034899999999</v>
      </c>
      <c r="V86">
        <v>2.1325969050000002</v>
      </c>
      <c r="W86">
        <v>2.06168577</v>
      </c>
      <c r="X86">
        <v>1.938012125</v>
      </c>
      <c r="Y86">
        <v>1.8461904250000001</v>
      </c>
      <c r="Z86">
        <v>1.725701285</v>
      </c>
      <c r="AA86">
        <v>1.6426106250000001</v>
      </c>
      <c r="AB86">
        <v>1.56156384</v>
      </c>
      <c r="AC86">
        <f t="shared" si="2"/>
        <v>1.8104854883333334</v>
      </c>
      <c r="AD86">
        <f t="shared" si="3"/>
        <v>1.785945855</v>
      </c>
    </row>
    <row r="87" spans="1:30" x14ac:dyDescent="0.25">
      <c r="A87" t="s">
        <v>408</v>
      </c>
      <c r="B87" t="s">
        <v>448</v>
      </c>
      <c r="C87">
        <v>115</v>
      </c>
      <c r="D87" t="s">
        <v>3</v>
      </c>
      <c r="E87">
        <v>4.8405756899999999E-2</v>
      </c>
      <c r="F87">
        <v>0.1582340092</v>
      </c>
      <c r="G87">
        <v>0.29607104909999998</v>
      </c>
      <c r="H87">
        <v>5.5956486899999998E-2</v>
      </c>
      <c r="I87">
        <v>0.19626976039999999</v>
      </c>
      <c r="J87">
        <v>0.4793015015</v>
      </c>
      <c r="K87">
        <v>0.10322859750000001</v>
      </c>
      <c r="L87">
        <v>9.6136738400000005E-2</v>
      </c>
      <c r="M87">
        <v>0.43891352080000001</v>
      </c>
      <c r="N87">
        <v>0.42884799379999999</v>
      </c>
      <c r="O87">
        <v>0.38949678710000002</v>
      </c>
      <c r="P87">
        <v>0.1577346879</v>
      </c>
      <c r="Q87">
        <v>7.7058396900000006E-2</v>
      </c>
      <c r="R87">
        <v>0.16813178030000001</v>
      </c>
      <c r="S87">
        <v>0.155359466</v>
      </c>
      <c r="T87">
        <v>0.40121323780000001</v>
      </c>
      <c r="U87">
        <v>0.3378487442</v>
      </c>
      <c r="V87">
        <v>0.17182216859999999</v>
      </c>
      <c r="W87">
        <v>0.35919507960000002</v>
      </c>
      <c r="X87">
        <v>9.1800695200000004E-2</v>
      </c>
      <c r="Y87">
        <v>0.28029893220000002</v>
      </c>
      <c r="Z87">
        <v>0.22291593309999999</v>
      </c>
      <c r="AA87">
        <v>4.4696150400000002E-2</v>
      </c>
      <c r="AB87">
        <v>0.25137289070000002</v>
      </c>
      <c r="AC87">
        <f t="shared" si="2"/>
        <v>0.22542959852083336</v>
      </c>
      <c r="AD87">
        <f t="shared" si="3"/>
        <v>0.18404596449999999</v>
      </c>
    </row>
    <row r="88" spans="1:30" x14ac:dyDescent="0.25">
      <c r="A88" t="s">
        <v>408</v>
      </c>
      <c r="B88" t="s">
        <v>448</v>
      </c>
      <c r="C88">
        <v>115</v>
      </c>
      <c r="D88" t="s">
        <v>4</v>
      </c>
      <c r="E88">
        <v>2.284893E-2</v>
      </c>
      <c r="F88">
        <v>2.1573735E-2</v>
      </c>
      <c r="G88">
        <v>2.1462974999999999E-2</v>
      </c>
      <c r="H88">
        <v>2.0901675000000002E-2</v>
      </c>
      <c r="I88">
        <v>2.1380895E-2</v>
      </c>
      <c r="J88">
        <v>2.2024200000000001E-2</v>
      </c>
      <c r="K88">
        <v>2.2189859999999999E-2</v>
      </c>
      <c r="L88">
        <v>2.3348669999999998E-2</v>
      </c>
      <c r="M88">
        <v>2.5693919999999999E-2</v>
      </c>
      <c r="N88">
        <v>2.9402745000000001E-2</v>
      </c>
      <c r="O88">
        <v>3.156606E-2</v>
      </c>
      <c r="P88">
        <v>3.3439679999999999E-2</v>
      </c>
      <c r="Q88">
        <v>3.5367059999999999E-2</v>
      </c>
      <c r="R88">
        <v>3.4579424999999997E-2</v>
      </c>
      <c r="S88">
        <v>3.3805454999999998E-2</v>
      </c>
      <c r="T88">
        <v>3.281046E-2</v>
      </c>
      <c r="U88">
        <v>3.2730509999999997E-2</v>
      </c>
      <c r="V88">
        <v>3.2476095000000003E-2</v>
      </c>
      <c r="W88">
        <v>3.1396229999999997E-2</v>
      </c>
      <c r="X88">
        <v>2.9512875000000001E-2</v>
      </c>
      <c r="Y88">
        <v>2.8114574999999999E-2</v>
      </c>
      <c r="Z88">
        <v>2.6279714999999999E-2</v>
      </c>
      <c r="AA88">
        <v>2.5014374999999998E-2</v>
      </c>
      <c r="AB88">
        <v>2.3780160000000002E-2</v>
      </c>
      <c r="AC88">
        <f t="shared" si="2"/>
        <v>2.7570845000000007E-2</v>
      </c>
      <c r="AD88">
        <f t="shared" si="3"/>
        <v>2.7197144999999999E-2</v>
      </c>
    </row>
    <row r="89" spans="1:30" x14ac:dyDescent="0.25">
      <c r="A89" t="s">
        <v>408</v>
      </c>
      <c r="B89" t="s">
        <v>452</v>
      </c>
      <c r="C89">
        <v>115</v>
      </c>
      <c r="D89" t="s">
        <v>2</v>
      </c>
      <c r="E89">
        <v>9.8125315850000003</v>
      </c>
      <c r="F89">
        <v>9.867967385</v>
      </c>
      <c r="G89">
        <v>9.1824664850000008</v>
      </c>
      <c r="H89">
        <v>10.264927309999999</v>
      </c>
      <c r="I89">
        <v>9.6586312450000005</v>
      </c>
      <c r="J89">
        <v>10.17375571</v>
      </c>
      <c r="K89">
        <v>9.8623814500000009</v>
      </c>
      <c r="L89">
        <v>8.9518967000000007</v>
      </c>
      <c r="M89">
        <v>8.2325364249999993</v>
      </c>
      <c r="N89">
        <v>7.6758853450000002</v>
      </c>
      <c r="O89">
        <v>7.0920896349999998</v>
      </c>
      <c r="P89">
        <v>7.6713750300000001</v>
      </c>
      <c r="Q89">
        <v>7.3745344450000001</v>
      </c>
      <c r="R89">
        <v>7.9278719850000003</v>
      </c>
      <c r="S89">
        <v>8.3892430299999994</v>
      </c>
      <c r="T89">
        <v>9.3259898499999991</v>
      </c>
      <c r="U89">
        <v>10.560081575</v>
      </c>
      <c r="V89">
        <v>11.688339975</v>
      </c>
      <c r="W89">
        <v>13.366212615</v>
      </c>
      <c r="X89">
        <v>11.716514914999999</v>
      </c>
      <c r="Y89">
        <v>13.087771829999999</v>
      </c>
      <c r="Z89">
        <v>11.914109855</v>
      </c>
      <c r="AA89">
        <v>11.272137089999999</v>
      </c>
      <c r="AB89">
        <v>10.491850625</v>
      </c>
      <c r="AC89">
        <f t="shared" si="2"/>
        <v>9.8150459206249998</v>
      </c>
      <c r="AD89">
        <f t="shared" si="3"/>
        <v>9.8374565175000015</v>
      </c>
    </row>
    <row r="90" spans="1:30" x14ac:dyDescent="0.25">
      <c r="A90" t="s">
        <v>408</v>
      </c>
      <c r="B90" t="s">
        <v>452</v>
      </c>
      <c r="C90">
        <v>115</v>
      </c>
      <c r="D90" t="s">
        <v>3</v>
      </c>
      <c r="E90">
        <v>1.2159064237999999</v>
      </c>
      <c r="F90">
        <v>1.1385187047000001</v>
      </c>
      <c r="G90">
        <v>1.081134762</v>
      </c>
      <c r="H90">
        <v>1.2005469201000001</v>
      </c>
      <c r="I90">
        <v>1.1840109337</v>
      </c>
      <c r="J90">
        <v>0.68363063729999995</v>
      </c>
      <c r="K90">
        <v>0.89693235770000002</v>
      </c>
      <c r="L90">
        <v>0.83964893380000005</v>
      </c>
      <c r="M90">
        <v>0.85903328720000005</v>
      </c>
      <c r="N90">
        <v>0.7363668323</v>
      </c>
      <c r="O90">
        <v>0.74210185100000003</v>
      </c>
      <c r="P90">
        <v>0.70700475080000003</v>
      </c>
      <c r="Q90">
        <v>0.75427346770000003</v>
      </c>
      <c r="R90">
        <v>0.77383289720000004</v>
      </c>
      <c r="S90">
        <v>0.6904821659</v>
      </c>
      <c r="T90">
        <v>0.86867209339999996</v>
      </c>
      <c r="U90">
        <v>0.80038398619999995</v>
      </c>
      <c r="V90">
        <v>0.97625920830000001</v>
      </c>
      <c r="W90">
        <v>1.1839377703</v>
      </c>
      <c r="X90">
        <v>1.4796369307999999</v>
      </c>
      <c r="Y90">
        <v>1.1228346723</v>
      </c>
      <c r="Z90">
        <v>0.98497613679999996</v>
      </c>
      <c r="AA90">
        <v>1.1495604534999999</v>
      </c>
      <c r="AB90">
        <v>1.3979354130999999</v>
      </c>
      <c r="AC90">
        <f t="shared" si="2"/>
        <v>0.97781756624583327</v>
      </c>
      <c r="AD90">
        <f t="shared" si="3"/>
        <v>0.93659578300000002</v>
      </c>
    </row>
    <row r="91" spans="1:30" x14ac:dyDescent="0.25">
      <c r="A91" t="s">
        <v>408</v>
      </c>
      <c r="B91" t="s">
        <v>452</v>
      </c>
      <c r="C91">
        <v>115</v>
      </c>
      <c r="D91" t="s">
        <v>4</v>
      </c>
      <c r="E91">
        <v>0.14942941500000001</v>
      </c>
      <c r="F91">
        <v>0.150273615</v>
      </c>
      <c r="G91">
        <v>0.13983451499999999</v>
      </c>
      <c r="H91">
        <v>0.15631869000000001</v>
      </c>
      <c r="I91">
        <v>0.14708575500000001</v>
      </c>
      <c r="J91">
        <v>0.15493029</v>
      </c>
      <c r="K91">
        <v>0.15018855</v>
      </c>
      <c r="L91">
        <v>0.13632330000000001</v>
      </c>
      <c r="M91">
        <v>0.12536857500000001</v>
      </c>
      <c r="N91">
        <v>0.116891655</v>
      </c>
      <c r="O91">
        <v>0.108001365</v>
      </c>
      <c r="P91">
        <v>0.11682297</v>
      </c>
      <c r="Q91">
        <v>0.112302555</v>
      </c>
      <c r="R91">
        <v>0.120729015</v>
      </c>
      <c r="S91">
        <v>0.12775497</v>
      </c>
      <c r="T91">
        <v>0.14202015000000001</v>
      </c>
      <c r="U91">
        <v>0.16081342500000001</v>
      </c>
      <c r="V91">
        <v>0.177995025</v>
      </c>
      <c r="W91">
        <v>0.203546385</v>
      </c>
      <c r="X91">
        <v>0.17842408500000001</v>
      </c>
      <c r="Y91">
        <v>0.19930617</v>
      </c>
      <c r="Z91">
        <v>0.18143314499999999</v>
      </c>
      <c r="AA91">
        <v>0.17165691</v>
      </c>
      <c r="AB91">
        <v>0.159774375</v>
      </c>
      <c r="AC91">
        <f t="shared" si="2"/>
        <v>0.14946770437500001</v>
      </c>
      <c r="AD91">
        <f t="shared" si="3"/>
        <v>0.14980898250000002</v>
      </c>
    </row>
    <row r="92" spans="1:30" x14ac:dyDescent="0.25">
      <c r="A92" t="s">
        <v>408</v>
      </c>
      <c r="B92" t="s">
        <v>453</v>
      </c>
      <c r="C92">
        <v>115</v>
      </c>
      <c r="D92" t="s">
        <v>2</v>
      </c>
      <c r="E92">
        <v>7.9808590749999997</v>
      </c>
      <c r="F92">
        <v>7.7686881049999998</v>
      </c>
      <c r="G92">
        <v>7.7090010449999999</v>
      </c>
      <c r="H92">
        <v>7.7132690500000001</v>
      </c>
      <c r="I92">
        <v>7.84578898</v>
      </c>
      <c r="J92">
        <v>8.1417804950000008</v>
      </c>
      <c r="K92">
        <v>8.1802063300000007</v>
      </c>
      <c r="L92">
        <v>7.7657065100000002</v>
      </c>
      <c r="M92">
        <v>7.5838242899999999</v>
      </c>
      <c r="N92">
        <v>6.9407719649999997</v>
      </c>
      <c r="O92">
        <v>6.5685532699999998</v>
      </c>
      <c r="P92">
        <v>6.8018475650000001</v>
      </c>
      <c r="Q92">
        <v>7.2281890549999996</v>
      </c>
      <c r="R92">
        <v>7.5777763900000004</v>
      </c>
      <c r="S92">
        <v>7.5966647500000004</v>
      </c>
      <c r="T92">
        <v>8.0353394250000001</v>
      </c>
      <c r="U92">
        <v>8.8188281249999996</v>
      </c>
      <c r="V92">
        <v>9.8726067349999997</v>
      </c>
      <c r="W92">
        <v>10.987937994999999</v>
      </c>
      <c r="X92">
        <v>10.67444894</v>
      </c>
      <c r="Y92">
        <v>10.329697955</v>
      </c>
      <c r="Z92">
        <v>9.7586737550000002</v>
      </c>
      <c r="AA92">
        <v>8.9511264300000004</v>
      </c>
      <c r="AB92">
        <v>8.4795557099999996</v>
      </c>
      <c r="AC92">
        <f t="shared" si="2"/>
        <v>8.3046309143749983</v>
      </c>
      <c r="AD92">
        <f t="shared" si="3"/>
        <v>7.9133240274999999</v>
      </c>
    </row>
    <row r="93" spans="1:30" x14ac:dyDescent="0.25">
      <c r="A93" t="s">
        <v>408</v>
      </c>
      <c r="B93" t="s">
        <v>453</v>
      </c>
      <c r="C93">
        <v>115</v>
      </c>
      <c r="D93" t="s">
        <v>3</v>
      </c>
      <c r="E93">
        <v>0.76814977039999999</v>
      </c>
      <c r="F93">
        <v>0.68634952100000002</v>
      </c>
      <c r="G93">
        <v>0.71385313279999996</v>
      </c>
      <c r="H93">
        <v>0.70916862380000001</v>
      </c>
      <c r="I93">
        <v>0.72480131069999998</v>
      </c>
      <c r="J93">
        <v>0.70042171200000003</v>
      </c>
      <c r="K93">
        <v>0.61891588819999999</v>
      </c>
      <c r="L93">
        <v>0.72080101760000004</v>
      </c>
      <c r="M93">
        <v>0.81393079150000003</v>
      </c>
      <c r="N93">
        <v>0.8904893867</v>
      </c>
      <c r="O93">
        <v>0.99772192670000004</v>
      </c>
      <c r="P93">
        <v>1.0642336439</v>
      </c>
      <c r="Q93">
        <v>1.1565399819</v>
      </c>
      <c r="R93">
        <v>1.1063241847</v>
      </c>
      <c r="S93">
        <v>1.1335342529000001</v>
      </c>
      <c r="T93">
        <v>1.046216555</v>
      </c>
      <c r="U93">
        <v>1.1050853009999999</v>
      </c>
      <c r="V93">
        <v>1.1027101160999999</v>
      </c>
      <c r="W93">
        <v>1.2009555671000001</v>
      </c>
      <c r="X93">
        <v>1.3847802546000001</v>
      </c>
      <c r="Y93">
        <v>1.2757192602</v>
      </c>
      <c r="Z93">
        <v>1.1749262175999999</v>
      </c>
      <c r="AA93">
        <v>1.0647094581000001</v>
      </c>
      <c r="AB93">
        <v>0.95097438270000001</v>
      </c>
      <c r="AC93">
        <f t="shared" si="2"/>
        <v>0.96297134404999996</v>
      </c>
      <c r="AD93">
        <f t="shared" si="3"/>
        <v>1.0219692408500001</v>
      </c>
    </row>
    <row r="94" spans="1:30" x14ac:dyDescent="0.25">
      <c r="A94" t="s">
        <v>408</v>
      </c>
      <c r="B94" t="s">
        <v>453</v>
      </c>
      <c r="C94">
        <v>115</v>
      </c>
      <c r="D94" t="s">
        <v>4</v>
      </c>
      <c r="E94">
        <v>0.121535925</v>
      </c>
      <c r="F94">
        <v>0.11830489499999999</v>
      </c>
      <c r="G94">
        <v>0.117395955</v>
      </c>
      <c r="H94">
        <v>0.11746094999999999</v>
      </c>
      <c r="I94">
        <v>0.11947902000000001</v>
      </c>
      <c r="J94">
        <v>0.123986505</v>
      </c>
      <c r="K94">
        <v>0.12457167</v>
      </c>
      <c r="L94">
        <v>0.11825948999999999</v>
      </c>
      <c r="M94">
        <v>0.11548971</v>
      </c>
      <c r="N94">
        <v>0.10569703499999999</v>
      </c>
      <c r="O94">
        <v>0.10002873</v>
      </c>
      <c r="P94">
        <v>0.103581435</v>
      </c>
      <c r="Q94">
        <v>0.11007394500000001</v>
      </c>
      <c r="R94">
        <v>0.11539761</v>
      </c>
      <c r="S94">
        <v>0.11568525</v>
      </c>
      <c r="T94">
        <v>0.122365575</v>
      </c>
      <c r="U94">
        <v>0.13429687500000001</v>
      </c>
      <c r="V94">
        <v>0.150344265</v>
      </c>
      <c r="W94">
        <v>0.167329005</v>
      </c>
      <c r="X94">
        <v>0.16255506</v>
      </c>
      <c r="Y94">
        <v>0.157305045</v>
      </c>
      <c r="Z94">
        <v>0.148609245</v>
      </c>
      <c r="AA94">
        <v>0.13631156999999999</v>
      </c>
      <c r="AB94">
        <v>0.12913029000000001</v>
      </c>
      <c r="AC94">
        <f t="shared" si="2"/>
        <v>0.12646646062500003</v>
      </c>
      <c r="AD94">
        <f t="shared" si="3"/>
        <v>0.1205074725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ABDA6-A6D0-4F93-89E0-6F6BC9CE18B9}">
  <dimension ref="A1:AD94"/>
  <sheetViews>
    <sheetView topLeftCell="N49" workbookViewId="0">
      <selection activeCell="A53" sqref="A53:XFD53"/>
    </sheetView>
  </sheetViews>
  <sheetFormatPr baseColWidth="10" defaultRowHeight="15" x14ac:dyDescent="0.25"/>
  <sheetData>
    <row r="1" spans="1:30" x14ac:dyDescent="0.25">
      <c r="A1" t="s">
        <v>569</v>
      </c>
      <c r="B1" t="s">
        <v>570</v>
      </c>
      <c r="C1" t="s">
        <v>571</v>
      </c>
      <c r="D1" t="s">
        <v>572</v>
      </c>
      <c r="E1" t="s">
        <v>573</v>
      </c>
      <c r="F1" t="s">
        <v>574</v>
      </c>
      <c r="G1" t="s">
        <v>575</v>
      </c>
      <c r="H1" t="s">
        <v>576</v>
      </c>
      <c r="I1" t="s">
        <v>577</v>
      </c>
      <c r="J1" t="s">
        <v>578</v>
      </c>
      <c r="K1" t="s">
        <v>579</v>
      </c>
      <c r="L1" t="s">
        <v>580</v>
      </c>
      <c r="M1" t="s">
        <v>581</v>
      </c>
      <c r="N1" t="s">
        <v>582</v>
      </c>
      <c r="O1" t="s">
        <v>583</v>
      </c>
      <c r="P1" t="s">
        <v>584</v>
      </c>
      <c r="Q1" t="s">
        <v>585</v>
      </c>
      <c r="R1" t="s">
        <v>586</v>
      </c>
      <c r="S1" t="s">
        <v>587</v>
      </c>
      <c r="T1" t="s">
        <v>588</v>
      </c>
      <c r="U1" t="s">
        <v>589</v>
      </c>
      <c r="V1" t="s">
        <v>590</v>
      </c>
      <c r="W1" t="s">
        <v>591</v>
      </c>
      <c r="X1" t="s">
        <v>592</v>
      </c>
      <c r="Y1" t="s">
        <v>593</v>
      </c>
      <c r="Z1" t="s">
        <v>594</v>
      </c>
      <c r="AA1" t="s">
        <v>595</v>
      </c>
      <c r="AB1" t="s">
        <v>596</v>
      </c>
      <c r="AC1" t="s">
        <v>597</v>
      </c>
      <c r="AD1" t="s">
        <v>599</v>
      </c>
    </row>
    <row r="2" spans="1:30" x14ac:dyDescent="0.25">
      <c r="A2" t="s">
        <v>112</v>
      </c>
      <c r="B2" t="s">
        <v>113</v>
      </c>
      <c r="C2">
        <v>115</v>
      </c>
      <c r="D2" t="s">
        <v>2</v>
      </c>
      <c r="E2">
        <v>26.689632889999999</v>
      </c>
      <c r="F2">
        <v>24.426727379999999</v>
      </c>
      <c r="G2">
        <v>23.72353785</v>
      </c>
      <c r="H2">
        <v>22.855791265000001</v>
      </c>
      <c r="I2">
        <v>24.043619509999999</v>
      </c>
      <c r="J2">
        <v>25.098966239999999</v>
      </c>
      <c r="K2">
        <v>25.042597645000001</v>
      </c>
      <c r="L2">
        <v>25.544825504999999</v>
      </c>
      <c r="M2">
        <v>26.337866734999999</v>
      </c>
      <c r="N2">
        <v>27.785102609999999</v>
      </c>
      <c r="O2">
        <v>29.712952489999999</v>
      </c>
      <c r="P2">
        <v>31.522651620000001</v>
      </c>
      <c r="Q2">
        <v>32.95154187</v>
      </c>
      <c r="R2">
        <v>33.282842680000002</v>
      </c>
      <c r="S2">
        <v>32.814816974999999</v>
      </c>
      <c r="T2">
        <v>33.066325890000002</v>
      </c>
      <c r="U2">
        <v>32.629610380000003</v>
      </c>
      <c r="V2">
        <v>33.554940064999997</v>
      </c>
      <c r="W2">
        <v>38.321474250000001</v>
      </c>
      <c r="X2">
        <v>39.587366699999997</v>
      </c>
      <c r="Y2">
        <v>39.3048687</v>
      </c>
      <c r="Z2">
        <v>36.661817214999999</v>
      </c>
      <c r="AA2">
        <v>33.677617875000003</v>
      </c>
      <c r="AB2">
        <v>29.851494710000001</v>
      </c>
      <c r="AC2">
        <f>AVERAGE(E2:AB2)</f>
        <v>30.353707877083338</v>
      </c>
      <c r="AD2">
        <f>MEDIAN(E2:AB2)</f>
        <v>30.687073165000001</v>
      </c>
    </row>
    <row r="3" spans="1:30" x14ac:dyDescent="0.25">
      <c r="A3" t="s">
        <v>112</v>
      </c>
      <c r="B3" t="s">
        <v>113</v>
      </c>
      <c r="C3">
        <v>115</v>
      </c>
      <c r="D3" t="s">
        <v>3</v>
      </c>
      <c r="E3">
        <v>12.7596068605</v>
      </c>
      <c r="F3">
        <v>11.228535347099999</v>
      </c>
      <c r="G3">
        <v>10.8984102611</v>
      </c>
      <c r="H3">
        <v>10.493142603400001</v>
      </c>
      <c r="I3">
        <v>11.0314987622</v>
      </c>
      <c r="J3">
        <v>11.5448297259</v>
      </c>
      <c r="K3">
        <v>11.1972501282</v>
      </c>
      <c r="L3">
        <v>11.6831660276</v>
      </c>
      <c r="M3">
        <v>12.1680868304</v>
      </c>
      <c r="N3">
        <v>12.7239283524</v>
      </c>
      <c r="O3">
        <v>13.4509444267</v>
      </c>
      <c r="P3">
        <v>13.890048435400001</v>
      </c>
      <c r="Q3">
        <v>14.441493147099999</v>
      </c>
      <c r="R3">
        <v>14.557022456</v>
      </c>
      <c r="S3">
        <v>14.546753150700001</v>
      </c>
      <c r="T3">
        <v>14.5702485226</v>
      </c>
      <c r="U3">
        <v>14.3004019829</v>
      </c>
      <c r="V3">
        <v>14.2031480634</v>
      </c>
      <c r="W3">
        <v>14.5848140847</v>
      </c>
      <c r="X3">
        <v>14.302538332899999</v>
      </c>
      <c r="Y3">
        <v>14.2266131079</v>
      </c>
      <c r="Z3">
        <v>13.4035239502</v>
      </c>
      <c r="AA3">
        <v>13.022343398</v>
      </c>
      <c r="AB3">
        <v>12.572253867100001</v>
      </c>
      <c r="AC3">
        <f t="shared" ref="AC3:AC66" si="0">AVERAGE(E3:AB3)</f>
        <v>12.991691742683331</v>
      </c>
      <c r="AD3">
        <f t="shared" ref="AD3:AD66" si="1">MEDIAN(E3:AB3)</f>
        <v>13.2129336741</v>
      </c>
    </row>
    <row r="4" spans="1:30" x14ac:dyDescent="0.25">
      <c r="A4" t="s">
        <v>112</v>
      </c>
      <c r="B4" t="s">
        <v>113</v>
      </c>
      <c r="C4">
        <v>115</v>
      </c>
      <c r="D4" t="s">
        <v>4</v>
      </c>
      <c r="E4">
        <v>0.40644110999999999</v>
      </c>
      <c r="F4">
        <v>0.37198061999999998</v>
      </c>
      <c r="G4">
        <v>0.36127215000000001</v>
      </c>
      <c r="H4">
        <v>0.34805773499999998</v>
      </c>
      <c r="I4">
        <v>0.36614648999999999</v>
      </c>
      <c r="J4">
        <v>0.38221776000000002</v>
      </c>
      <c r="K4">
        <v>0.38135935500000001</v>
      </c>
      <c r="L4">
        <v>0.38900749499999998</v>
      </c>
      <c r="M4">
        <v>0.401084265</v>
      </c>
      <c r="N4">
        <v>0.42312338999999999</v>
      </c>
      <c r="O4">
        <v>0.45248150999999998</v>
      </c>
      <c r="P4">
        <v>0.48004037999999999</v>
      </c>
      <c r="Q4">
        <v>0.50180013000000001</v>
      </c>
      <c r="R4">
        <v>0.50684532000000004</v>
      </c>
      <c r="S4">
        <v>0.49971802500000001</v>
      </c>
      <c r="T4">
        <v>0.50354810999999999</v>
      </c>
      <c r="U4">
        <v>0.49689761999999998</v>
      </c>
      <c r="V4">
        <v>0.51098893499999998</v>
      </c>
      <c r="W4">
        <v>0.58357574999999995</v>
      </c>
      <c r="X4">
        <v>0.60285330000000004</v>
      </c>
      <c r="Y4">
        <v>0.59855130000000001</v>
      </c>
      <c r="Z4">
        <v>0.55830178500000005</v>
      </c>
      <c r="AA4">
        <v>0.51285712500000002</v>
      </c>
      <c r="AB4">
        <v>0.45459128999999998</v>
      </c>
      <c r="AC4">
        <f t="shared" si="0"/>
        <v>0.46223920625000003</v>
      </c>
      <c r="AD4">
        <f t="shared" si="1"/>
        <v>0.46731583499999996</v>
      </c>
    </row>
    <row r="5" spans="1:30" x14ac:dyDescent="0.25">
      <c r="A5" t="s">
        <v>112</v>
      </c>
      <c r="B5" t="s">
        <v>114</v>
      </c>
      <c r="C5">
        <v>115</v>
      </c>
      <c r="D5" t="s">
        <v>2</v>
      </c>
      <c r="E5">
        <v>16.424998124999998</v>
      </c>
      <c r="F5">
        <v>15.251375550000001</v>
      </c>
      <c r="G5">
        <v>14.71013578</v>
      </c>
      <c r="H5">
        <v>14.13464559</v>
      </c>
      <c r="I5">
        <v>14.72467438</v>
      </c>
      <c r="J5">
        <v>15.42084283</v>
      </c>
      <c r="K5">
        <v>16.23275666</v>
      </c>
      <c r="L5">
        <v>18.429745969999999</v>
      </c>
      <c r="M5">
        <v>19.925567955000002</v>
      </c>
      <c r="N5">
        <v>21.501278365000001</v>
      </c>
      <c r="O5">
        <v>23.316333924999999</v>
      </c>
      <c r="P5">
        <v>24.57239706</v>
      </c>
      <c r="Q5">
        <v>24.583185765</v>
      </c>
      <c r="R5">
        <v>23.988788499999998</v>
      </c>
      <c r="S5">
        <v>24.631261644999999</v>
      </c>
      <c r="T5">
        <v>24.820047729999999</v>
      </c>
      <c r="U5">
        <v>23.939250879999999</v>
      </c>
      <c r="V5">
        <v>22.844938535000001</v>
      </c>
      <c r="W5">
        <v>24.108012899999999</v>
      </c>
      <c r="X5">
        <v>23.930772000000001</v>
      </c>
      <c r="Y5">
        <v>23.36474175</v>
      </c>
      <c r="Z5">
        <v>21.247644805</v>
      </c>
      <c r="AA5">
        <v>19.64099259</v>
      </c>
      <c r="AB5">
        <v>17.860827700000002</v>
      </c>
      <c r="AC5">
        <f t="shared" si="0"/>
        <v>20.400217374583331</v>
      </c>
      <c r="AD5">
        <f t="shared" si="1"/>
        <v>21.374461584999999</v>
      </c>
    </row>
    <row r="6" spans="1:30" x14ac:dyDescent="0.25">
      <c r="A6" t="s">
        <v>112</v>
      </c>
      <c r="B6" t="s">
        <v>114</v>
      </c>
      <c r="C6">
        <v>115</v>
      </c>
      <c r="D6" t="s">
        <v>3</v>
      </c>
      <c r="E6">
        <v>3.8584322161000002</v>
      </c>
      <c r="F6">
        <v>3.7075792975000001</v>
      </c>
      <c r="G6">
        <v>3.6738269906999999</v>
      </c>
      <c r="H6">
        <v>3.6220760366999998</v>
      </c>
      <c r="I6">
        <v>3.5927228430999998</v>
      </c>
      <c r="J6">
        <v>3.4556239112</v>
      </c>
      <c r="K6">
        <v>3.924266421</v>
      </c>
      <c r="L6">
        <v>4.9554465539999999</v>
      </c>
      <c r="M6">
        <v>5.8193417197999997</v>
      </c>
      <c r="N6">
        <v>6.4280298774000002</v>
      </c>
      <c r="O6">
        <v>7.1289333837999997</v>
      </c>
      <c r="P6">
        <v>7.5221582794000001</v>
      </c>
      <c r="Q6">
        <v>7.3960345623999997</v>
      </c>
      <c r="R6">
        <v>7.4149514733000004</v>
      </c>
      <c r="S6">
        <v>7.5032975685999999</v>
      </c>
      <c r="T6">
        <v>7.5608065259000004</v>
      </c>
      <c r="U6">
        <v>7.3193892887000001</v>
      </c>
      <c r="V6">
        <v>6.4932330493999997</v>
      </c>
      <c r="W6">
        <v>6.0103503328999999</v>
      </c>
      <c r="X6">
        <v>5.5550455191000001</v>
      </c>
      <c r="Y6">
        <v>5.1339086762999999</v>
      </c>
      <c r="Z6">
        <v>4.4461664604999998</v>
      </c>
      <c r="AA6">
        <v>4.1893733048000001</v>
      </c>
      <c r="AB6">
        <v>3.9852067217</v>
      </c>
      <c r="AC6">
        <f t="shared" si="0"/>
        <v>5.4456750422625007</v>
      </c>
      <c r="AD6">
        <f t="shared" si="1"/>
        <v>5.3444770977000005</v>
      </c>
    </row>
    <row r="7" spans="1:30" x14ac:dyDescent="0.25">
      <c r="A7" t="s">
        <v>112</v>
      </c>
      <c r="B7" t="s">
        <v>114</v>
      </c>
      <c r="C7">
        <v>115</v>
      </c>
      <c r="D7" t="s">
        <v>4</v>
      </c>
      <c r="E7">
        <v>0.25012687500000003</v>
      </c>
      <c r="F7">
        <v>0.23225445</v>
      </c>
      <c r="G7">
        <v>0.22401222000000001</v>
      </c>
      <c r="H7">
        <v>0.21524841</v>
      </c>
      <c r="I7">
        <v>0.22423361999999999</v>
      </c>
      <c r="J7">
        <v>0.23483517000000001</v>
      </c>
      <c r="K7">
        <v>0.24719933999999999</v>
      </c>
      <c r="L7">
        <v>0.28065603</v>
      </c>
      <c r="M7">
        <v>0.30343504500000001</v>
      </c>
      <c r="N7">
        <v>0.32743063500000003</v>
      </c>
      <c r="O7">
        <v>0.35507107500000001</v>
      </c>
      <c r="P7">
        <v>0.37419893999999998</v>
      </c>
      <c r="Q7">
        <v>0.37436323500000002</v>
      </c>
      <c r="R7">
        <v>0.36531150000000001</v>
      </c>
      <c r="S7">
        <v>0.37509535500000002</v>
      </c>
      <c r="T7">
        <v>0.37797027</v>
      </c>
      <c r="U7">
        <v>0.36455712000000001</v>
      </c>
      <c r="V7">
        <v>0.34789246499999998</v>
      </c>
      <c r="W7">
        <v>0.36712709999999998</v>
      </c>
      <c r="X7">
        <v>0.36442799999999997</v>
      </c>
      <c r="Y7">
        <v>0.35580824999999999</v>
      </c>
      <c r="Z7">
        <v>0.323568195</v>
      </c>
      <c r="AA7">
        <v>0.29910141000000001</v>
      </c>
      <c r="AB7">
        <v>0.27199230000000002</v>
      </c>
      <c r="AC7">
        <f t="shared" si="0"/>
        <v>0.31066320874999998</v>
      </c>
      <c r="AD7">
        <f t="shared" si="1"/>
        <v>0.32549941500000001</v>
      </c>
    </row>
    <row r="8" spans="1:30" x14ac:dyDescent="0.25">
      <c r="A8" t="s">
        <v>112</v>
      </c>
      <c r="B8" t="s">
        <v>116</v>
      </c>
      <c r="C8">
        <v>115</v>
      </c>
      <c r="D8" t="s">
        <v>2</v>
      </c>
      <c r="E8">
        <v>2.9299287949999999</v>
      </c>
      <c r="F8">
        <v>2.7202744999999999</v>
      </c>
      <c r="G8">
        <v>2.65921041</v>
      </c>
      <c r="H8">
        <v>2.57059587</v>
      </c>
      <c r="I8">
        <v>2.6508871599999999</v>
      </c>
      <c r="J8">
        <v>2.8048564499999999</v>
      </c>
      <c r="K8">
        <v>2.8928445300000001</v>
      </c>
      <c r="L8">
        <v>3.09371164</v>
      </c>
      <c r="M8">
        <v>3.27501665</v>
      </c>
      <c r="N8">
        <v>3.4663785100000002</v>
      </c>
      <c r="O8">
        <v>3.7414180899999998</v>
      </c>
      <c r="P8">
        <v>3.9380772799999999</v>
      </c>
      <c r="Q8">
        <v>4.041570245</v>
      </c>
      <c r="R8">
        <v>4.0154214499999998</v>
      </c>
      <c r="S8">
        <v>4.0359803699999999</v>
      </c>
      <c r="T8">
        <v>4.0669142950000001</v>
      </c>
      <c r="U8">
        <v>3.8831832300000002</v>
      </c>
      <c r="V8">
        <v>3.7232192300000002</v>
      </c>
      <c r="W8">
        <v>3.9944015500000001</v>
      </c>
      <c r="X8">
        <v>4.0016314499999996</v>
      </c>
      <c r="Y8">
        <v>3.9294014000000002</v>
      </c>
      <c r="Z8">
        <v>3.7372239600000001</v>
      </c>
      <c r="AA8">
        <v>3.543044015</v>
      </c>
      <c r="AB8">
        <v>3.194058515</v>
      </c>
      <c r="AC8">
        <f t="shared" si="0"/>
        <v>3.454552066458334</v>
      </c>
      <c r="AD8">
        <f t="shared" si="1"/>
        <v>3.6331316225000001</v>
      </c>
    </row>
    <row r="9" spans="1:30" x14ac:dyDescent="0.25">
      <c r="A9" t="s">
        <v>112</v>
      </c>
      <c r="B9" t="s">
        <v>116</v>
      </c>
      <c r="C9">
        <v>115</v>
      </c>
      <c r="D9" t="s">
        <v>3</v>
      </c>
      <c r="E9">
        <v>0.79504148659999996</v>
      </c>
      <c r="F9">
        <v>0.77854792289999997</v>
      </c>
      <c r="G9">
        <v>0.77147257250000001</v>
      </c>
      <c r="H9">
        <v>0.76360616540000004</v>
      </c>
      <c r="I9">
        <v>0.76181116729999998</v>
      </c>
      <c r="J9">
        <v>0.72714800690000003</v>
      </c>
      <c r="K9">
        <v>0.77544469400000005</v>
      </c>
      <c r="L9">
        <v>0.8254390184</v>
      </c>
      <c r="M9">
        <v>0.93215425419999998</v>
      </c>
      <c r="N9">
        <v>0.98250765490000003</v>
      </c>
      <c r="O9">
        <v>1.0649041400999999</v>
      </c>
      <c r="P9">
        <v>1.0814590612999999</v>
      </c>
      <c r="Q9">
        <v>1.1342885403</v>
      </c>
      <c r="R9">
        <v>1.1460604313</v>
      </c>
      <c r="S9">
        <v>1.1067048294999999</v>
      </c>
      <c r="T9">
        <v>1.1035645618000001</v>
      </c>
      <c r="U9">
        <v>1.0805034984999999</v>
      </c>
      <c r="V9">
        <v>1.0072458046999999</v>
      </c>
      <c r="W9">
        <v>0.93833360020000001</v>
      </c>
      <c r="X9">
        <v>0.85153010669999996</v>
      </c>
      <c r="Y9">
        <v>0.80200172970000005</v>
      </c>
      <c r="Z9">
        <v>0.79150381650000001</v>
      </c>
      <c r="AA9">
        <v>0.81747941580000005</v>
      </c>
      <c r="AB9">
        <v>0.80190190760000002</v>
      </c>
      <c r="AC9">
        <f t="shared" si="0"/>
        <v>0.91002726612916673</v>
      </c>
      <c r="AD9">
        <f t="shared" si="1"/>
        <v>0.83848456254999992</v>
      </c>
    </row>
    <row r="10" spans="1:30" x14ac:dyDescent="0.25">
      <c r="A10" t="s">
        <v>112</v>
      </c>
      <c r="B10" t="s">
        <v>116</v>
      </c>
      <c r="C10">
        <v>115</v>
      </c>
      <c r="D10" t="s">
        <v>4</v>
      </c>
      <c r="E10">
        <v>4.4618205000000001E-2</v>
      </c>
      <c r="F10">
        <v>4.1425499999999997E-2</v>
      </c>
      <c r="G10">
        <v>4.0495589999999998E-2</v>
      </c>
      <c r="H10">
        <v>3.9146130000000001E-2</v>
      </c>
      <c r="I10">
        <v>4.0368840000000003E-2</v>
      </c>
      <c r="J10">
        <v>4.2713550000000003E-2</v>
      </c>
      <c r="K10">
        <v>4.4053469999999997E-2</v>
      </c>
      <c r="L10">
        <v>4.7112359999999999E-2</v>
      </c>
      <c r="M10">
        <v>4.9873349999999997E-2</v>
      </c>
      <c r="N10">
        <v>5.2787489999999999E-2</v>
      </c>
      <c r="O10">
        <v>5.6975909999999998E-2</v>
      </c>
      <c r="P10">
        <v>5.9970719999999998E-2</v>
      </c>
      <c r="Q10">
        <v>6.1546755000000002E-2</v>
      </c>
      <c r="R10">
        <v>6.1148550000000003E-2</v>
      </c>
      <c r="S10">
        <v>6.1461630000000003E-2</v>
      </c>
      <c r="T10">
        <v>6.1932704999999998E-2</v>
      </c>
      <c r="U10">
        <v>5.9134770000000003E-2</v>
      </c>
      <c r="V10">
        <v>5.6698770000000003E-2</v>
      </c>
      <c r="W10">
        <v>6.0828449999999999E-2</v>
      </c>
      <c r="X10">
        <v>6.0938550000000001E-2</v>
      </c>
      <c r="Y10">
        <v>5.9838599999999999E-2</v>
      </c>
      <c r="Z10">
        <v>5.6912039999999997E-2</v>
      </c>
      <c r="AA10">
        <v>5.3954984999999997E-2</v>
      </c>
      <c r="AB10">
        <v>4.8640484999999997E-2</v>
      </c>
      <c r="AC10">
        <f t="shared" si="0"/>
        <v>5.2607391874999999E-2</v>
      </c>
      <c r="AD10">
        <f t="shared" si="1"/>
        <v>5.5326877499999996E-2</v>
      </c>
    </row>
    <row r="11" spans="1:30" x14ac:dyDescent="0.25">
      <c r="A11" t="s">
        <v>112</v>
      </c>
      <c r="B11" t="s">
        <v>117</v>
      </c>
      <c r="C11">
        <v>115</v>
      </c>
      <c r="D11" t="s">
        <v>2</v>
      </c>
      <c r="E11">
        <v>19.509132610000002</v>
      </c>
      <c r="F11">
        <v>18.354420064999999</v>
      </c>
      <c r="G11">
        <v>18.599782579999999</v>
      </c>
      <c r="H11">
        <v>18.172078835000001</v>
      </c>
      <c r="I11">
        <v>18.868077865</v>
      </c>
      <c r="J11">
        <v>19.145003719999998</v>
      </c>
      <c r="K11">
        <v>21.119817415</v>
      </c>
      <c r="L11">
        <v>25.613371655000002</v>
      </c>
      <c r="M11">
        <v>29.566972535000001</v>
      </c>
      <c r="N11">
        <v>31.673286685000001</v>
      </c>
      <c r="O11">
        <v>34.023342040000003</v>
      </c>
      <c r="P11">
        <v>35.490790115000003</v>
      </c>
      <c r="Q11">
        <v>35.293953625</v>
      </c>
      <c r="R11">
        <v>35.552959375</v>
      </c>
      <c r="S11">
        <v>37.111183080000004</v>
      </c>
      <c r="T11">
        <v>37.395622514999999</v>
      </c>
      <c r="U11">
        <v>36.398048989999999</v>
      </c>
      <c r="V11">
        <v>32.647117770000001</v>
      </c>
      <c r="W11">
        <v>30.338571300000002</v>
      </c>
      <c r="X11">
        <v>26.809237499999998</v>
      </c>
      <c r="Y11">
        <v>25.454271500000001</v>
      </c>
      <c r="Z11">
        <v>23.513992890000001</v>
      </c>
      <c r="AA11">
        <v>22.25387057</v>
      </c>
      <c r="AB11">
        <v>20.765694154999998</v>
      </c>
      <c r="AC11">
        <f t="shared" si="0"/>
        <v>27.236274974583335</v>
      </c>
      <c r="AD11">
        <f t="shared" si="1"/>
        <v>26.211304577500002</v>
      </c>
    </row>
    <row r="12" spans="1:30" x14ac:dyDescent="0.25">
      <c r="A12" t="s">
        <v>112</v>
      </c>
      <c r="B12" t="s">
        <v>117</v>
      </c>
      <c r="C12">
        <v>115</v>
      </c>
      <c r="D12" t="s">
        <v>3</v>
      </c>
      <c r="E12">
        <v>8.8544983394999992</v>
      </c>
      <c r="F12">
        <v>8.8165427027999996</v>
      </c>
      <c r="G12">
        <v>8.9344025471999995</v>
      </c>
      <c r="H12">
        <v>8.4165134107000004</v>
      </c>
      <c r="I12">
        <v>8.9503413770000009</v>
      </c>
      <c r="J12">
        <v>8.577145604</v>
      </c>
      <c r="K12">
        <v>7.3961231348999998</v>
      </c>
      <c r="L12">
        <v>5.3072782195999997</v>
      </c>
      <c r="M12">
        <v>6.6113864241</v>
      </c>
      <c r="N12">
        <v>7.2483547551000003</v>
      </c>
      <c r="O12">
        <v>8.0706693610000002</v>
      </c>
      <c r="P12">
        <v>8.6595172888</v>
      </c>
      <c r="Q12">
        <v>11.000756343000001</v>
      </c>
      <c r="R12">
        <v>11.0552459119</v>
      </c>
      <c r="S12">
        <v>13.2592076425</v>
      </c>
      <c r="T12">
        <v>12.9939995971</v>
      </c>
      <c r="U12">
        <v>13.186565624</v>
      </c>
      <c r="V12">
        <v>14.1330002262</v>
      </c>
      <c r="W12">
        <v>14.051501456</v>
      </c>
      <c r="X12">
        <v>12.4246144966</v>
      </c>
      <c r="Y12">
        <v>11.9506239814</v>
      </c>
      <c r="Z12">
        <v>11.0801560378</v>
      </c>
      <c r="AA12">
        <v>9.2300819211</v>
      </c>
      <c r="AB12">
        <v>8.1875172242000005</v>
      </c>
      <c r="AC12">
        <f t="shared" si="0"/>
        <v>9.9331684844375019</v>
      </c>
      <c r="AD12">
        <f t="shared" si="1"/>
        <v>8.9423719621000011</v>
      </c>
    </row>
    <row r="13" spans="1:30" x14ac:dyDescent="0.25">
      <c r="A13" t="s">
        <v>112</v>
      </c>
      <c r="B13" t="s">
        <v>117</v>
      </c>
      <c r="C13">
        <v>115</v>
      </c>
      <c r="D13" t="s">
        <v>4</v>
      </c>
      <c r="E13">
        <v>0.29709339000000001</v>
      </c>
      <c r="F13">
        <v>0.27950893500000001</v>
      </c>
      <c r="G13">
        <v>0.28324542000000003</v>
      </c>
      <c r="H13">
        <v>0.27673216499999997</v>
      </c>
      <c r="I13">
        <v>0.28733113500000002</v>
      </c>
      <c r="J13">
        <v>0.29154827999999999</v>
      </c>
      <c r="K13">
        <v>0.32162158499999999</v>
      </c>
      <c r="L13">
        <v>0.39005134499999999</v>
      </c>
      <c r="M13">
        <v>0.450258465</v>
      </c>
      <c r="N13">
        <v>0.48233431500000001</v>
      </c>
      <c r="O13">
        <v>0.51812195999999999</v>
      </c>
      <c r="P13">
        <v>0.54046888500000001</v>
      </c>
      <c r="Q13">
        <v>0.53747137499999997</v>
      </c>
      <c r="R13">
        <v>0.54141562499999996</v>
      </c>
      <c r="S13">
        <v>0.56514492000000005</v>
      </c>
      <c r="T13">
        <v>0.56947648500000003</v>
      </c>
      <c r="U13">
        <v>0.55428500999999997</v>
      </c>
      <c r="V13">
        <v>0.49716422999999998</v>
      </c>
      <c r="W13">
        <v>0.46200869999999999</v>
      </c>
      <c r="X13">
        <v>0.40826249999999997</v>
      </c>
      <c r="Y13">
        <v>0.38762849999999999</v>
      </c>
      <c r="Z13">
        <v>0.35808110999999998</v>
      </c>
      <c r="AA13">
        <v>0.33889142999999999</v>
      </c>
      <c r="AB13">
        <v>0.31622884499999998</v>
      </c>
      <c r="AC13">
        <f t="shared" si="0"/>
        <v>0.41476560875000001</v>
      </c>
      <c r="AD13">
        <f t="shared" si="1"/>
        <v>0.39915692250000001</v>
      </c>
    </row>
    <row r="14" spans="1:30" x14ac:dyDescent="0.25">
      <c r="A14" t="s">
        <v>112</v>
      </c>
      <c r="B14" t="s">
        <v>118</v>
      </c>
      <c r="C14">
        <v>115</v>
      </c>
      <c r="D14" t="s">
        <v>2</v>
      </c>
      <c r="E14">
        <v>20.390879000000002</v>
      </c>
      <c r="F14">
        <v>19.09766462</v>
      </c>
      <c r="G14">
        <v>18.831177794999999</v>
      </c>
      <c r="H14">
        <v>18.22654047</v>
      </c>
      <c r="I14">
        <v>19.087129059999999</v>
      </c>
      <c r="J14">
        <v>20.404646345</v>
      </c>
      <c r="K14">
        <v>23.778772709999998</v>
      </c>
      <c r="L14">
        <v>30.009458174999999</v>
      </c>
      <c r="M14">
        <v>36.229232795000001</v>
      </c>
      <c r="N14">
        <v>40.017469904999999</v>
      </c>
      <c r="O14">
        <v>44.011951240000002</v>
      </c>
      <c r="P14">
        <v>46.084517320000003</v>
      </c>
      <c r="Q14">
        <v>45.537453245000002</v>
      </c>
      <c r="R14">
        <v>45.634231464999999</v>
      </c>
      <c r="S14">
        <v>46.869452985000002</v>
      </c>
      <c r="T14">
        <v>47.228684455</v>
      </c>
      <c r="U14">
        <v>44.635471015</v>
      </c>
      <c r="V14">
        <v>39.576443050000002</v>
      </c>
      <c r="W14">
        <v>36.321323399999997</v>
      </c>
      <c r="X14">
        <v>32.075136149999999</v>
      </c>
      <c r="Y14">
        <v>28.754100300000001</v>
      </c>
      <c r="Z14">
        <v>25.5151839</v>
      </c>
      <c r="AA14">
        <v>23.492534665000001</v>
      </c>
      <c r="AB14">
        <v>21.844768550000001</v>
      </c>
      <c r="AC14">
        <f t="shared" si="0"/>
        <v>32.235592608958335</v>
      </c>
      <c r="AD14">
        <f t="shared" si="1"/>
        <v>31.042297162499999</v>
      </c>
    </row>
    <row r="15" spans="1:30" x14ac:dyDescent="0.25">
      <c r="A15" t="s">
        <v>112</v>
      </c>
      <c r="B15" t="s">
        <v>118</v>
      </c>
      <c r="C15">
        <v>115</v>
      </c>
      <c r="D15" t="s">
        <v>3</v>
      </c>
      <c r="E15">
        <v>6.5047126452999997</v>
      </c>
      <c r="F15">
        <v>5.7889255605000001</v>
      </c>
      <c r="G15">
        <v>5.7505579989999998</v>
      </c>
      <c r="H15">
        <v>5.6203013524000003</v>
      </c>
      <c r="I15">
        <v>5.7569409961</v>
      </c>
      <c r="J15">
        <v>5.7834772442000002</v>
      </c>
      <c r="K15">
        <v>6.6260428591</v>
      </c>
      <c r="L15">
        <v>8.2897123295000004</v>
      </c>
      <c r="M15">
        <v>10.240048851899999</v>
      </c>
      <c r="N15">
        <v>11.3583658936</v>
      </c>
      <c r="O15">
        <v>12.8197547113</v>
      </c>
      <c r="P15">
        <v>13.689597019200001</v>
      </c>
      <c r="Q15">
        <v>14.294026322600001</v>
      </c>
      <c r="R15">
        <v>14.639918740900001</v>
      </c>
      <c r="S15">
        <v>14.1364725156</v>
      </c>
      <c r="T15">
        <v>14.2626565764</v>
      </c>
      <c r="U15">
        <v>13.412010621</v>
      </c>
      <c r="V15">
        <v>12.0856291429</v>
      </c>
      <c r="W15">
        <v>10.789399769499999</v>
      </c>
      <c r="X15">
        <v>9.2929395139000004</v>
      </c>
      <c r="Y15">
        <v>8.297102808</v>
      </c>
      <c r="Z15">
        <v>7.4221329533000002</v>
      </c>
      <c r="AA15">
        <v>7.0411890370999997</v>
      </c>
      <c r="AB15">
        <v>6.5721613443000004</v>
      </c>
      <c r="AC15">
        <f t="shared" si="0"/>
        <v>9.60308653365</v>
      </c>
      <c r="AD15">
        <f t="shared" si="1"/>
        <v>8.7950211609500002</v>
      </c>
    </row>
    <row r="16" spans="1:30" x14ac:dyDescent="0.25">
      <c r="A16" t="s">
        <v>112</v>
      </c>
      <c r="B16" t="s">
        <v>118</v>
      </c>
      <c r="C16">
        <v>115</v>
      </c>
      <c r="D16" t="s">
        <v>4</v>
      </c>
      <c r="E16">
        <v>0.31052099999999999</v>
      </c>
      <c r="F16">
        <v>0.29082738000000002</v>
      </c>
      <c r="G16">
        <v>0.28676920500000003</v>
      </c>
      <c r="H16">
        <v>0.27756153</v>
      </c>
      <c r="I16">
        <v>0.29066693999999998</v>
      </c>
      <c r="J16">
        <v>0.31073065500000002</v>
      </c>
      <c r="K16">
        <v>0.36211328999999998</v>
      </c>
      <c r="L16">
        <v>0.456996825</v>
      </c>
      <c r="M16">
        <v>0.55171420500000001</v>
      </c>
      <c r="N16">
        <v>0.60940309500000001</v>
      </c>
      <c r="O16">
        <v>0.67023275999999998</v>
      </c>
      <c r="P16">
        <v>0.70179468</v>
      </c>
      <c r="Q16">
        <v>0.69346375500000002</v>
      </c>
      <c r="R16">
        <v>0.694937535</v>
      </c>
      <c r="S16">
        <v>0.71374801499999996</v>
      </c>
      <c r="T16">
        <v>0.71921854500000004</v>
      </c>
      <c r="U16">
        <v>0.67972798499999998</v>
      </c>
      <c r="V16">
        <v>0.60268695000000005</v>
      </c>
      <c r="W16">
        <v>0.55311659999999996</v>
      </c>
      <c r="X16">
        <v>0.48845385000000002</v>
      </c>
      <c r="Y16">
        <v>0.43787969999999998</v>
      </c>
      <c r="Z16">
        <v>0.38855610000000002</v>
      </c>
      <c r="AA16">
        <v>0.35775433499999998</v>
      </c>
      <c r="AB16">
        <v>0.33266145000000003</v>
      </c>
      <c r="AC16">
        <f t="shared" si="0"/>
        <v>0.49089734937500001</v>
      </c>
      <c r="AD16">
        <f t="shared" si="1"/>
        <v>0.47272533750000001</v>
      </c>
    </row>
    <row r="17" spans="1:30" x14ac:dyDescent="0.25">
      <c r="A17" t="s">
        <v>112</v>
      </c>
      <c r="B17" t="s">
        <v>122</v>
      </c>
      <c r="C17">
        <v>115</v>
      </c>
      <c r="D17" t="s">
        <v>2</v>
      </c>
      <c r="E17">
        <v>33.110961164999999</v>
      </c>
      <c r="F17">
        <v>30.80004774</v>
      </c>
      <c r="G17">
        <v>30.283414255</v>
      </c>
      <c r="H17">
        <v>29.314958314999998</v>
      </c>
      <c r="I17">
        <v>31.175767125</v>
      </c>
      <c r="J17">
        <v>31.811844664999999</v>
      </c>
      <c r="K17">
        <v>31.718707989999999</v>
      </c>
      <c r="L17">
        <v>33.148866920000003</v>
      </c>
      <c r="M17">
        <v>34.096901840000001</v>
      </c>
      <c r="N17">
        <v>35.658810430000003</v>
      </c>
      <c r="O17">
        <v>37.902692635000001</v>
      </c>
      <c r="P17">
        <v>40.084211535000001</v>
      </c>
      <c r="Q17">
        <v>41.156051105000003</v>
      </c>
      <c r="R17">
        <v>41.832395445000003</v>
      </c>
      <c r="S17">
        <v>41.357952464999997</v>
      </c>
      <c r="T17">
        <v>41.674941224999998</v>
      </c>
      <c r="U17">
        <v>41.138793905</v>
      </c>
      <c r="V17">
        <v>41.541475695000003</v>
      </c>
      <c r="W17">
        <v>46.333877950000002</v>
      </c>
      <c r="X17">
        <v>47.449528350000001</v>
      </c>
      <c r="Y17">
        <v>46.653500600000001</v>
      </c>
      <c r="Z17">
        <v>43.570929309999997</v>
      </c>
      <c r="AA17">
        <v>40.745010604999997</v>
      </c>
      <c r="AB17">
        <v>36.196448054999998</v>
      </c>
      <c r="AC17">
        <f t="shared" si="0"/>
        <v>37.86492038854167</v>
      </c>
      <c r="AD17">
        <f t="shared" si="1"/>
        <v>38.993452085000001</v>
      </c>
    </row>
    <row r="18" spans="1:30" x14ac:dyDescent="0.25">
      <c r="A18" t="s">
        <v>112</v>
      </c>
      <c r="B18" t="s">
        <v>122</v>
      </c>
      <c r="C18">
        <v>115</v>
      </c>
      <c r="D18" t="s">
        <v>3</v>
      </c>
      <c r="E18">
        <v>7.8390783209999997</v>
      </c>
      <c r="F18">
        <v>7.4597695420000001</v>
      </c>
      <c r="G18">
        <v>7.5099570760000001</v>
      </c>
      <c r="H18">
        <v>7.3598279072999997</v>
      </c>
      <c r="I18">
        <v>7.5367368982</v>
      </c>
      <c r="J18">
        <v>7.2499964122999998</v>
      </c>
      <c r="K18">
        <v>7.1684921758</v>
      </c>
      <c r="L18">
        <v>7.2675561480999997</v>
      </c>
      <c r="M18">
        <v>7.5253206903000001</v>
      </c>
      <c r="N18">
        <v>8.0929067667000005</v>
      </c>
      <c r="O18">
        <v>8.4387701968000002</v>
      </c>
      <c r="P18">
        <v>8.6298925470000007</v>
      </c>
      <c r="Q18">
        <v>9.2027872391999992</v>
      </c>
      <c r="R18">
        <v>9.3136911232999999</v>
      </c>
      <c r="S18">
        <v>9.2479338267000006</v>
      </c>
      <c r="T18">
        <v>9.2987435235000007</v>
      </c>
      <c r="U18">
        <v>9.3366104914000001</v>
      </c>
      <c r="V18">
        <v>9.2689639558000003</v>
      </c>
      <c r="W18">
        <v>9.3355144276999997</v>
      </c>
      <c r="X18">
        <v>9.1265889206999997</v>
      </c>
      <c r="Y18">
        <v>8.8445817284999997</v>
      </c>
      <c r="Z18">
        <v>8.4282886561999995</v>
      </c>
      <c r="AA18">
        <v>8.2308911824000006</v>
      </c>
      <c r="AB18">
        <v>7.8287983168000004</v>
      </c>
      <c r="AC18">
        <f t="shared" si="0"/>
        <v>8.3142374197375002</v>
      </c>
      <c r="AD18">
        <f t="shared" si="1"/>
        <v>8.3295899193</v>
      </c>
    </row>
    <row r="19" spans="1:30" x14ac:dyDescent="0.25">
      <c r="A19" t="s">
        <v>112</v>
      </c>
      <c r="B19" t="s">
        <v>122</v>
      </c>
      <c r="C19">
        <v>115</v>
      </c>
      <c r="D19" t="s">
        <v>4</v>
      </c>
      <c r="E19">
        <v>0.50422783500000001</v>
      </c>
      <c r="F19">
        <v>0.46903625999999998</v>
      </c>
      <c r="G19">
        <v>0.46116874499999999</v>
      </c>
      <c r="H19">
        <v>0.44642068499999998</v>
      </c>
      <c r="I19">
        <v>0.474757875</v>
      </c>
      <c r="J19">
        <v>0.484444335</v>
      </c>
      <c r="K19">
        <v>0.48302601000000001</v>
      </c>
      <c r="L19">
        <v>0.50480508000000002</v>
      </c>
      <c r="M19">
        <v>0.51924216000000001</v>
      </c>
      <c r="N19">
        <v>0.54302757000000001</v>
      </c>
      <c r="O19">
        <v>0.57719836499999999</v>
      </c>
      <c r="P19">
        <v>0.61041946499999999</v>
      </c>
      <c r="Q19">
        <v>0.62674189499999999</v>
      </c>
      <c r="R19">
        <v>0.63704155500000004</v>
      </c>
      <c r="S19">
        <v>0.62981653500000001</v>
      </c>
      <c r="T19">
        <v>0.63464377500000002</v>
      </c>
      <c r="U19">
        <v>0.62647909499999999</v>
      </c>
      <c r="V19">
        <v>0.63261130499999996</v>
      </c>
      <c r="W19">
        <v>0.70559205000000003</v>
      </c>
      <c r="X19">
        <v>0.72258164999999996</v>
      </c>
      <c r="Y19">
        <v>0.71045939999999996</v>
      </c>
      <c r="Z19">
        <v>0.66351669000000002</v>
      </c>
      <c r="AA19">
        <v>0.62048239500000002</v>
      </c>
      <c r="AB19">
        <v>0.55121494500000001</v>
      </c>
      <c r="AC19">
        <f t="shared" si="0"/>
        <v>0.57662315312500001</v>
      </c>
      <c r="AD19">
        <f t="shared" si="1"/>
        <v>0.59380891499999999</v>
      </c>
    </row>
    <row r="20" spans="1:30" x14ac:dyDescent="0.25">
      <c r="A20" t="s">
        <v>112</v>
      </c>
      <c r="B20" t="s">
        <v>123</v>
      </c>
      <c r="C20">
        <v>115</v>
      </c>
      <c r="D20" t="s">
        <v>2</v>
      </c>
      <c r="E20">
        <v>8.6197625799999997</v>
      </c>
      <c r="F20">
        <v>7.9155525899999999</v>
      </c>
      <c r="G20">
        <v>7.7535821450000002</v>
      </c>
      <c r="H20">
        <v>7.5447710099999998</v>
      </c>
      <c r="I20">
        <v>8.1531483799999993</v>
      </c>
      <c r="J20">
        <v>8.8605300699999994</v>
      </c>
      <c r="K20">
        <v>9.1668296100000006</v>
      </c>
      <c r="L20">
        <v>9.84778178</v>
      </c>
      <c r="M20">
        <v>10.493316305</v>
      </c>
      <c r="N20">
        <v>11.74026031</v>
      </c>
      <c r="O20">
        <v>13.235770049999999</v>
      </c>
      <c r="P20">
        <v>14.24922473</v>
      </c>
      <c r="Q20">
        <v>14.788749615</v>
      </c>
      <c r="R20">
        <v>14.694735305</v>
      </c>
      <c r="S20">
        <v>14.284023795</v>
      </c>
      <c r="T20">
        <v>14.39350359</v>
      </c>
      <c r="U20">
        <v>14.204116655</v>
      </c>
      <c r="V20">
        <v>14.438966264999999</v>
      </c>
      <c r="W20">
        <v>15.936305150000001</v>
      </c>
      <c r="X20">
        <v>15.7017471</v>
      </c>
      <c r="Y20">
        <v>14.675554399999999</v>
      </c>
      <c r="Z20">
        <v>12.807622070000001</v>
      </c>
      <c r="AA20">
        <v>11.082530500000001</v>
      </c>
      <c r="AB20">
        <v>9.6253372600000002</v>
      </c>
      <c r="AC20">
        <f t="shared" si="0"/>
        <v>11.842238386041666</v>
      </c>
      <c r="AD20">
        <f t="shared" si="1"/>
        <v>12.27394119</v>
      </c>
    </row>
    <row r="21" spans="1:30" x14ac:dyDescent="0.25">
      <c r="A21" t="s">
        <v>112</v>
      </c>
      <c r="B21" t="s">
        <v>123</v>
      </c>
      <c r="C21">
        <v>115</v>
      </c>
      <c r="D21" t="s">
        <v>3</v>
      </c>
      <c r="E21">
        <v>4.0667060586000003</v>
      </c>
      <c r="F21">
        <v>3.6294516538999999</v>
      </c>
      <c r="G21">
        <v>3.5529329768000002</v>
      </c>
      <c r="H21">
        <v>3.4550574496999999</v>
      </c>
      <c r="I21">
        <v>3.9047685981</v>
      </c>
      <c r="J21">
        <v>3.6966692633</v>
      </c>
      <c r="K21">
        <v>3.6832217639999998</v>
      </c>
      <c r="L21">
        <v>3.9721492870000001</v>
      </c>
      <c r="M21">
        <v>4.2520718886999997</v>
      </c>
      <c r="N21">
        <v>4.6952493448999997</v>
      </c>
      <c r="O21">
        <v>5.1768174311999999</v>
      </c>
      <c r="P21">
        <v>5.3725333233999999</v>
      </c>
      <c r="Q21">
        <v>5.7043102812999997</v>
      </c>
      <c r="R21">
        <v>5.7660400171999999</v>
      </c>
      <c r="S21">
        <v>5.6902341686</v>
      </c>
      <c r="T21">
        <v>5.6387415146000004</v>
      </c>
      <c r="U21">
        <v>5.4561062490000003</v>
      </c>
      <c r="V21">
        <v>5.4860433521000003</v>
      </c>
      <c r="W21">
        <v>5.5156535074999997</v>
      </c>
      <c r="X21">
        <v>5.1441799635000001</v>
      </c>
      <c r="Y21">
        <v>4.8288271671</v>
      </c>
      <c r="Z21">
        <v>4.4152335679999997</v>
      </c>
      <c r="AA21">
        <v>4.1857336393000004</v>
      </c>
      <c r="AB21">
        <v>4.1408923176999997</v>
      </c>
      <c r="AC21">
        <f t="shared" si="0"/>
        <v>4.6429010327291662</v>
      </c>
      <c r="AD21">
        <f t="shared" si="1"/>
        <v>4.5552414564500001</v>
      </c>
    </row>
    <row r="22" spans="1:30" x14ac:dyDescent="0.25">
      <c r="A22" t="s">
        <v>112</v>
      </c>
      <c r="B22" t="s">
        <v>123</v>
      </c>
      <c r="C22">
        <v>115</v>
      </c>
      <c r="D22" t="s">
        <v>4</v>
      </c>
      <c r="E22">
        <v>0.13126541999999999</v>
      </c>
      <c r="F22">
        <v>0.12054141</v>
      </c>
      <c r="G22">
        <v>0.11807485500000001</v>
      </c>
      <c r="H22">
        <v>0.11489499</v>
      </c>
      <c r="I22">
        <v>0.12415962</v>
      </c>
      <c r="J22">
        <v>0.13493193000000001</v>
      </c>
      <c r="K22">
        <v>0.13959638999999999</v>
      </c>
      <c r="L22">
        <v>0.14996622000000001</v>
      </c>
      <c r="M22">
        <v>0.15979669499999999</v>
      </c>
      <c r="N22">
        <v>0.17878569</v>
      </c>
      <c r="O22">
        <v>0.20155994999999999</v>
      </c>
      <c r="P22">
        <v>0.21699326999999999</v>
      </c>
      <c r="Q22">
        <v>0.22520938500000001</v>
      </c>
      <c r="R22">
        <v>0.223777695</v>
      </c>
      <c r="S22">
        <v>0.217523205</v>
      </c>
      <c r="T22">
        <v>0.21919041</v>
      </c>
      <c r="U22">
        <v>0.21630634500000001</v>
      </c>
      <c r="V22">
        <v>0.219882735</v>
      </c>
      <c r="W22">
        <v>0.24268485000000001</v>
      </c>
      <c r="X22">
        <v>0.23911289999999999</v>
      </c>
      <c r="Y22">
        <v>0.22348560000000001</v>
      </c>
      <c r="Z22">
        <v>0.19503993</v>
      </c>
      <c r="AA22">
        <v>0.16876949999999999</v>
      </c>
      <c r="AB22">
        <v>0.14657874000000001</v>
      </c>
      <c r="AC22">
        <f t="shared" si="0"/>
        <v>0.18033865562499996</v>
      </c>
      <c r="AD22">
        <f t="shared" si="1"/>
        <v>0.18691280999999998</v>
      </c>
    </row>
    <row r="23" spans="1:30" x14ac:dyDescent="0.25">
      <c r="A23" t="s">
        <v>112</v>
      </c>
      <c r="B23" t="s">
        <v>124</v>
      </c>
      <c r="C23">
        <v>115</v>
      </c>
      <c r="D23" t="s">
        <v>2</v>
      </c>
      <c r="E23">
        <v>37.480152259999997</v>
      </c>
      <c r="F23">
        <v>34.73181117</v>
      </c>
      <c r="G23">
        <v>33.750672369999997</v>
      </c>
      <c r="H23">
        <v>32.448325070000003</v>
      </c>
      <c r="I23">
        <v>33.43681788</v>
      </c>
      <c r="J23">
        <v>34.593229549999997</v>
      </c>
      <c r="K23">
        <v>35.986167299999998</v>
      </c>
      <c r="L23">
        <v>38.413203359999997</v>
      </c>
      <c r="M23">
        <v>40.988720290000003</v>
      </c>
      <c r="N23">
        <v>43.510886665000001</v>
      </c>
      <c r="O23">
        <v>47.195892819999997</v>
      </c>
      <c r="P23">
        <v>49.559644599999999</v>
      </c>
      <c r="Q23">
        <v>51.575534765</v>
      </c>
      <c r="R23">
        <v>52.285917750000003</v>
      </c>
      <c r="S23">
        <v>52.96372186</v>
      </c>
      <c r="T23">
        <v>53.369663015</v>
      </c>
      <c r="U23">
        <v>52.0032523</v>
      </c>
      <c r="V23">
        <v>51.895243110000003</v>
      </c>
      <c r="W23">
        <v>55.337506849999997</v>
      </c>
      <c r="X23">
        <v>54.6118278</v>
      </c>
      <c r="Y23">
        <v>52.010295050000003</v>
      </c>
      <c r="Z23">
        <v>47.863483465000002</v>
      </c>
      <c r="AA23">
        <v>44.657316344999998</v>
      </c>
      <c r="AB23">
        <v>40.594752794999998</v>
      </c>
      <c r="AC23">
        <f t="shared" si="0"/>
        <v>44.636001601666663</v>
      </c>
      <c r="AD23">
        <f t="shared" si="1"/>
        <v>45.926604582499998</v>
      </c>
    </row>
    <row r="24" spans="1:30" x14ac:dyDescent="0.25">
      <c r="A24" t="s">
        <v>112</v>
      </c>
      <c r="B24" t="s">
        <v>124</v>
      </c>
      <c r="C24">
        <v>115</v>
      </c>
      <c r="D24" t="s">
        <v>3</v>
      </c>
      <c r="E24">
        <v>12.0780499669</v>
      </c>
      <c r="F24">
        <v>11.5140936931</v>
      </c>
      <c r="G24">
        <v>11.4486257992</v>
      </c>
      <c r="H24">
        <v>11.119095122999999</v>
      </c>
      <c r="I24">
        <v>11.1671261957</v>
      </c>
      <c r="J24">
        <v>10.667102467699999</v>
      </c>
      <c r="K24">
        <v>11.335464388</v>
      </c>
      <c r="L24">
        <v>12.0859086049</v>
      </c>
      <c r="M24">
        <v>13.1643852019</v>
      </c>
      <c r="N24">
        <v>14.021465537299999</v>
      </c>
      <c r="O24">
        <v>15.004148578700001</v>
      </c>
      <c r="P24">
        <v>15.538389885500001</v>
      </c>
      <c r="Q24">
        <v>17.459198071599999</v>
      </c>
      <c r="R24">
        <v>17.4439375639</v>
      </c>
      <c r="S24">
        <v>17.4083335222</v>
      </c>
      <c r="T24">
        <v>17.1407840267</v>
      </c>
      <c r="U24">
        <v>16.3617324119</v>
      </c>
      <c r="V24">
        <v>16.098535292800001</v>
      </c>
      <c r="W24">
        <v>15.8377035195</v>
      </c>
      <c r="X24">
        <v>15.107851354499999</v>
      </c>
      <c r="Y24">
        <v>14.3250536347</v>
      </c>
      <c r="Z24">
        <v>13.124629819200001</v>
      </c>
      <c r="AA24">
        <v>12.8336063525</v>
      </c>
      <c r="AB24">
        <v>12.3661757297</v>
      </c>
      <c r="AC24">
        <f t="shared" si="0"/>
        <v>13.943808197545833</v>
      </c>
      <c r="AD24">
        <f t="shared" si="1"/>
        <v>13.5929253696</v>
      </c>
    </row>
    <row r="25" spans="1:30" x14ac:dyDescent="0.25">
      <c r="A25" t="s">
        <v>112</v>
      </c>
      <c r="B25" t="s">
        <v>124</v>
      </c>
      <c r="C25">
        <v>115</v>
      </c>
      <c r="D25" t="s">
        <v>4</v>
      </c>
      <c r="E25">
        <v>0.57076373999999996</v>
      </c>
      <c r="F25">
        <v>0.52891083000000005</v>
      </c>
      <c r="G25">
        <v>0.51396962999999996</v>
      </c>
      <c r="H25">
        <v>0.49413692999999997</v>
      </c>
      <c r="I25">
        <v>0.50919011999999997</v>
      </c>
      <c r="J25">
        <v>0.52680044999999998</v>
      </c>
      <c r="K25">
        <v>0.54801270000000002</v>
      </c>
      <c r="L25">
        <v>0.58497264000000004</v>
      </c>
      <c r="M25">
        <v>0.62419371000000001</v>
      </c>
      <c r="N25">
        <v>0.66260233499999999</v>
      </c>
      <c r="O25">
        <v>0.71871918000000001</v>
      </c>
      <c r="P25">
        <v>0.75471540000000004</v>
      </c>
      <c r="Q25">
        <v>0.78541423499999996</v>
      </c>
      <c r="R25">
        <v>0.79623224999999997</v>
      </c>
      <c r="S25">
        <v>0.80655414000000003</v>
      </c>
      <c r="T25">
        <v>0.81273598499999999</v>
      </c>
      <c r="U25">
        <v>0.79192770000000001</v>
      </c>
      <c r="V25">
        <v>0.79028288999999996</v>
      </c>
      <c r="W25">
        <v>0.84270314999999996</v>
      </c>
      <c r="X25">
        <v>0.83165219999999995</v>
      </c>
      <c r="Y25">
        <v>0.79203495000000002</v>
      </c>
      <c r="Z25">
        <v>0.72888553499999997</v>
      </c>
      <c r="AA25">
        <v>0.68006065500000001</v>
      </c>
      <c r="AB25">
        <v>0.618194205</v>
      </c>
      <c r="AC25">
        <f t="shared" si="0"/>
        <v>0.67973606500000006</v>
      </c>
      <c r="AD25">
        <f t="shared" si="1"/>
        <v>0.69938991750000001</v>
      </c>
    </row>
    <row r="26" spans="1:30" x14ac:dyDescent="0.25">
      <c r="A26" t="s">
        <v>112</v>
      </c>
      <c r="B26" t="s">
        <v>125</v>
      </c>
      <c r="C26">
        <v>115</v>
      </c>
      <c r="D26" t="s">
        <v>2</v>
      </c>
      <c r="E26">
        <v>18.481088110000002</v>
      </c>
      <c r="F26">
        <v>17.258134765000001</v>
      </c>
      <c r="G26">
        <v>16.913901890000002</v>
      </c>
      <c r="H26">
        <v>16.298594059999999</v>
      </c>
      <c r="I26">
        <v>17.011714359999999</v>
      </c>
      <c r="J26">
        <v>17.721059154999999</v>
      </c>
      <c r="K26">
        <v>18.538825854999999</v>
      </c>
      <c r="L26">
        <v>20.988798625000001</v>
      </c>
      <c r="M26">
        <v>23.338319125000002</v>
      </c>
      <c r="N26">
        <v>25.070404194999998</v>
      </c>
      <c r="O26">
        <v>27.437066649999998</v>
      </c>
      <c r="P26">
        <v>28.67280628</v>
      </c>
      <c r="Q26">
        <v>29.3104874</v>
      </c>
      <c r="R26">
        <v>29.712900285</v>
      </c>
      <c r="S26">
        <v>30.973517075</v>
      </c>
      <c r="T26">
        <v>31.210913895000001</v>
      </c>
      <c r="U26">
        <v>30.147512819999999</v>
      </c>
      <c r="V26">
        <v>29.084778589999999</v>
      </c>
      <c r="W26">
        <v>30.727981199999999</v>
      </c>
      <c r="X26">
        <v>28.508096550000001</v>
      </c>
      <c r="Y26">
        <v>26.952220100000002</v>
      </c>
      <c r="Z26">
        <v>23.929240324999999</v>
      </c>
      <c r="AA26">
        <v>22.01548678</v>
      </c>
      <c r="AB26">
        <v>20.053505664999999</v>
      </c>
      <c r="AC26">
        <f t="shared" si="0"/>
        <v>24.181556406458331</v>
      </c>
      <c r="AD26">
        <f t="shared" si="1"/>
        <v>24.499822259999998</v>
      </c>
    </row>
    <row r="27" spans="1:30" x14ac:dyDescent="0.25">
      <c r="A27" t="s">
        <v>112</v>
      </c>
      <c r="B27" t="s">
        <v>125</v>
      </c>
      <c r="C27">
        <v>115</v>
      </c>
      <c r="D27" t="s">
        <v>3</v>
      </c>
      <c r="E27">
        <v>6.3010222661000004</v>
      </c>
      <c r="F27">
        <v>6.0202902328999999</v>
      </c>
      <c r="G27">
        <v>6.1445356029999996</v>
      </c>
      <c r="H27">
        <v>5.7132733440000001</v>
      </c>
      <c r="I27">
        <v>5.8235525432999999</v>
      </c>
      <c r="J27">
        <v>5.6658753652999998</v>
      </c>
      <c r="K27">
        <v>5.8667235941999998</v>
      </c>
      <c r="L27">
        <v>6.8389169915999997</v>
      </c>
      <c r="M27">
        <v>8.0615447788000001</v>
      </c>
      <c r="N27">
        <v>8.6340323462999997</v>
      </c>
      <c r="O27">
        <v>9.5897619738</v>
      </c>
      <c r="P27">
        <v>10.118877442</v>
      </c>
      <c r="Q27">
        <v>10.6771314416</v>
      </c>
      <c r="R27">
        <v>10.833551202100001</v>
      </c>
      <c r="S27">
        <v>11.2931817467</v>
      </c>
      <c r="T27">
        <v>10.834314618100001</v>
      </c>
      <c r="U27">
        <v>10.801488687599999</v>
      </c>
      <c r="V27">
        <v>10.3719989031</v>
      </c>
      <c r="W27">
        <v>9.6453916680000003</v>
      </c>
      <c r="X27">
        <v>8.6092000112000004</v>
      </c>
      <c r="Y27">
        <v>8.0062687730000004</v>
      </c>
      <c r="Z27">
        <v>7.1356750186999998</v>
      </c>
      <c r="AA27">
        <v>6.6318525259000003</v>
      </c>
      <c r="AB27">
        <v>6.3387378609000002</v>
      </c>
      <c r="AC27">
        <f t="shared" si="0"/>
        <v>8.1648832890916658</v>
      </c>
      <c r="AD27">
        <f t="shared" si="1"/>
        <v>8.0339067759000002</v>
      </c>
    </row>
    <row r="28" spans="1:30" x14ac:dyDescent="0.25">
      <c r="A28" t="s">
        <v>112</v>
      </c>
      <c r="B28" t="s">
        <v>125</v>
      </c>
      <c r="C28">
        <v>115</v>
      </c>
      <c r="D28" t="s">
        <v>4</v>
      </c>
      <c r="E28">
        <v>0.28143789000000002</v>
      </c>
      <c r="F28">
        <v>0.26281423500000001</v>
      </c>
      <c r="G28">
        <v>0.25757211000000002</v>
      </c>
      <c r="H28">
        <v>0.24820194000000001</v>
      </c>
      <c r="I28">
        <v>0.25906163999999998</v>
      </c>
      <c r="J28">
        <v>0.26986384499999999</v>
      </c>
      <c r="K28">
        <v>0.28231714499999999</v>
      </c>
      <c r="L28">
        <v>0.31962637500000002</v>
      </c>
      <c r="M28">
        <v>0.35540587499999998</v>
      </c>
      <c r="N28">
        <v>0.381782805</v>
      </c>
      <c r="O28">
        <v>0.41782334999999998</v>
      </c>
      <c r="P28">
        <v>0.43664172000000001</v>
      </c>
      <c r="Q28">
        <v>0.44635259999999999</v>
      </c>
      <c r="R28">
        <v>0.45248071499999998</v>
      </c>
      <c r="S28">
        <v>0.471677925</v>
      </c>
      <c r="T28">
        <v>0.47529310499999999</v>
      </c>
      <c r="U28">
        <v>0.45909918</v>
      </c>
      <c r="V28">
        <v>0.44291541000000001</v>
      </c>
      <c r="W28">
        <v>0.46793879999999999</v>
      </c>
      <c r="X28">
        <v>0.43413344999999998</v>
      </c>
      <c r="Y28">
        <v>0.41043990000000002</v>
      </c>
      <c r="Z28">
        <v>0.36440467500000001</v>
      </c>
      <c r="AA28">
        <v>0.33526122000000003</v>
      </c>
      <c r="AB28">
        <v>0.30538333499999998</v>
      </c>
      <c r="AC28">
        <f t="shared" si="0"/>
        <v>0.36824705187500001</v>
      </c>
      <c r="AD28">
        <f t="shared" si="1"/>
        <v>0.37309374000000001</v>
      </c>
    </row>
    <row r="29" spans="1:30" x14ac:dyDescent="0.25">
      <c r="A29" t="s">
        <v>112</v>
      </c>
      <c r="B29" t="s">
        <v>126</v>
      </c>
      <c r="C29">
        <v>115</v>
      </c>
      <c r="D29" t="s">
        <v>2</v>
      </c>
      <c r="E29">
        <v>32.561351850000001</v>
      </c>
      <c r="F29">
        <v>30.692277905000001</v>
      </c>
      <c r="G29">
        <v>30.151187855</v>
      </c>
      <c r="H29">
        <v>29.104372210000001</v>
      </c>
      <c r="I29">
        <v>30.258724245</v>
      </c>
      <c r="J29">
        <v>31.385444074999999</v>
      </c>
      <c r="K29">
        <v>33.388761700000003</v>
      </c>
      <c r="L29">
        <v>36.896050215000002</v>
      </c>
      <c r="M29">
        <v>40.305149004999997</v>
      </c>
      <c r="N29">
        <v>42.629421000000001</v>
      </c>
      <c r="O29">
        <v>45.138400195000003</v>
      </c>
      <c r="P29">
        <v>46.830046090000003</v>
      </c>
      <c r="Q29">
        <v>47.461143470000003</v>
      </c>
      <c r="R29">
        <v>48.136241785000003</v>
      </c>
      <c r="S29">
        <v>48.481365099999998</v>
      </c>
      <c r="T29">
        <v>48.852951425000001</v>
      </c>
      <c r="U29">
        <v>47.123606625000001</v>
      </c>
      <c r="V29">
        <v>45.425574975000004</v>
      </c>
      <c r="W29">
        <v>47.142198499999999</v>
      </c>
      <c r="X29">
        <v>45.299145299999999</v>
      </c>
      <c r="Y29">
        <v>43.831278599999997</v>
      </c>
      <c r="Z29">
        <v>40.604163485000001</v>
      </c>
      <c r="AA29">
        <v>37.720802534999997</v>
      </c>
      <c r="AB29">
        <v>35.138955995000003</v>
      </c>
      <c r="AC29">
        <f t="shared" si="0"/>
        <v>40.18994225583333</v>
      </c>
      <c r="AD29">
        <f t="shared" si="1"/>
        <v>41.616792242499997</v>
      </c>
    </row>
    <row r="30" spans="1:30" x14ac:dyDescent="0.25">
      <c r="A30" t="s">
        <v>112</v>
      </c>
      <c r="B30" t="s">
        <v>126</v>
      </c>
      <c r="C30">
        <v>115</v>
      </c>
      <c r="D30" t="s">
        <v>3</v>
      </c>
      <c r="E30">
        <v>8.2597964060999995</v>
      </c>
      <c r="F30">
        <v>8.0089240300999993</v>
      </c>
      <c r="G30">
        <v>7.9059199197999996</v>
      </c>
      <c r="H30">
        <v>7.7895491970000004</v>
      </c>
      <c r="I30">
        <v>7.857314787</v>
      </c>
      <c r="J30">
        <v>7.0631903125999997</v>
      </c>
      <c r="K30">
        <v>8.5273360963999991</v>
      </c>
      <c r="L30">
        <v>11.0864791185</v>
      </c>
      <c r="M30">
        <v>12.4134336122</v>
      </c>
      <c r="N30">
        <v>12.646946869100001</v>
      </c>
      <c r="O30">
        <v>13.460224824599999</v>
      </c>
      <c r="P30">
        <v>14.230446003999999</v>
      </c>
      <c r="Q30">
        <v>13.6021246899</v>
      </c>
      <c r="R30">
        <v>14.280665278900001</v>
      </c>
      <c r="S30">
        <v>13.894515070900001</v>
      </c>
      <c r="T30">
        <v>14.380832763500001</v>
      </c>
      <c r="U30">
        <v>13.4125945266</v>
      </c>
      <c r="V30">
        <v>12.006403454499999</v>
      </c>
      <c r="W30">
        <v>11.096010789999999</v>
      </c>
      <c r="X30">
        <v>10.8074426025</v>
      </c>
      <c r="Y30">
        <v>10.5764462019</v>
      </c>
      <c r="Z30">
        <v>10.0872841689</v>
      </c>
      <c r="AA30">
        <v>9.0165719889999991</v>
      </c>
      <c r="AB30">
        <v>9.5781595193999998</v>
      </c>
      <c r="AC30">
        <f t="shared" si="0"/>
        <v>10.916192176391668</v>
      </c>
      <c r="AD30">
        <f t="shared" si="1"/>
        <v>10.946960860499999</v>
      </c>
    </row>
    <row r="31" spans="1:30" x14ac:dyDescent="0.25">
      <c r="A31" t="s">
        <v>112</v>
      </c>
      <c r="B31" t="s">
        <v>126</v>
      </c>
      <c r="C31">
        <v>115</v>
      </c>
      <c r="D31" t="s">
        <v>4</v>
      </c>
      <c r="E31">
        <v>0.49585815</v>
      </c>
      <c r="F31">
        <v>0.46739509499999998</v>
      </c>
      <c r="G31">
        <v>0.45915514499999999</v>
      </c>
      <c r="H31">
        <v>0.44321379</v>
      </c>
      <c r="I31">
        <v>0.460792755</v>
      </c>
      <c r="J31">
        <v>0.47795092500000003</v>
      </c>
      <c r="K31">
        <v>0.50845830000000003</v>
      </c>
      <c r="L31">
        <v>0.56186878500000004</v>
      </c>
      <c r="M31">
        <v>0.61378399500000003</v>
      </c>
      <c r="N31">
        <v>0.64917899999999995</v>
      </c>
      <c r="O31">
        <v>0.68738680500000005</v>
      </c>
      <c r="P31">
        <v>0.71314791</v>
      </c>
      <c r="Q31">
        <v>0.72275853000000001</v>
      </c>
      <c r="R31">
        <v>0.73303921500000002</v>
      </c>
      <c r="S31">
        <v>0.73829489999999998</v>
      </c>
      <c r="T31">
        <v>0.74395357500000003</v>
      </c>
      <c r="U31">
        <v>0.71761837500000003</v>
      </c>
      <c r="V31">
        <v>0.691760025</v>
      </c>
      <c r="W31">
        <v>0.71790149999999997</v>
      </c>
      <c r="X31">
        <v>0.68983470000000002</v>
      </c>
      <c r="Y31">
        <v>0.6674814</v>
      </c>
      <c r="Z31">
        <v>0.618337515</v>
      </c>
      <c r="AA31">
        <v>0.574428465</v>
      </c>
      <c r="AB31">
        <v>0.53511100499999997</v>
      </c>
      <c r="AC31">
        <f t="shared" si="0"/>
        <v>0.61202957750000009</v>
      </c>
      <c r="AD31">
        <f t="shared" si="1"/>
        <v>0.63375825750000003</v>
      </c>
    </row>
    <row r="32" spans="1:30" x14ac:dyDescent="0.25">
      <c r="A32" t="s">
        <v>112</v>
      </c>
      <c r="B32" t="s">
        <v>127</v>
      </c>
      <c r="C32">
        <v>115</v>
      </c>
      <c r="D32" t="s">
        <v>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f t="shared" si="0"/>
        <v>0</v>
      </c>
      <c r="AD32">
        <f t="shared" si="1"/>
        <v>0</v>
      </c>
    </row>
    <row r="33" spans="1:30" x14ac:dyDescent="0.25">
      <c r="A33" t="s">
        <v>112</v>
      </c>
      <c r="B33" t="s">
        <v>127</v>
      </c>
      <c r="C33">
        <v>115</v>
      </c>
      <c r="D33" t="s">
        <v>3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f t="shared" si="0"/>
        <v>0</v>
      </c>
      <c r="AD33">
        <f t="shared" si="1"/>
        <v>0</v>
      </c>
    </row>
    <row r="34" spans="1:30" x14ac:dyDescent="0.25">
      <c r="A34" t="s">
        <v>112</v>
      </c>
      <c r="B34" t="s">
        <v>127</v>
      </c>
      <c r="C34">
        <v>115</v>
      </c>
      <c r="D34" t="s">
        <v>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f t="shared" si="0"/>
        <v>0</v>
      </c>
      <c r="AD34">
        <f t="shared" si="1"/>
        <v>0</v>
      </c>
    </row>
    <row r="35" spans="1:30" x14ac:dyDescent="0.25">
      <c r="A35" t="s">
        <v>112</v>
      </c>
      <c r="B35" t="s">
        <v>129</v>
      </c>
      <c r="C35">
        <v>115</v>
      </c>
      <c r="D35" t="s">
        <v>2</v>
      </c>
      <c r="E35">
        <v>4.3573297249999996</v>
      </c>
      <c r="F35">
        <v>4.1064255999999997</v>
      </c>
      <c r="G35">
        <v>4.0732941399999998</v>
      </c>
      <c r="H35">
        <v>3.9757092049999998</v>
      </c>
      <c r="I35">
        <v>4.2807745400000003</v>
      </c>
      <c r="J35">
        <v>4.6591130400000003</v>
      </c>
      <c r="K35">
        <v>5.1660876150000004</v>
      </c>
      <c r="L35">
        <v>5.2826150849999998</v>
      </c>
      <c r="M35">
        <v>5.4430568099999999</v>
      </c>
      <c r="N35">
        <v>5.76467901</v>
      </c>
      <c r="O35">
        <v>6.1207535550000003</v>
      </c>
      <c r="P35">
        <v>6.3850960350000001</v>
      </c>
      <c r="Q35">
        <v>6.4689402200000004</v>
      </c>
      <c r="R35">
        <v>6.3526658950000003</v>
      </c>
      <c r="S35">
        <v>6.2430610050000004</v>
      </c>
      <c r="T35">
        <v>6.2909103350000004</v>
      </c>
      <c r="U35">
        <v>6.2143009749999996</v>
      </c>
      <c r="V35">
        <v>6.3547540949999997</v>
      </c>
      <c r="W35">
        <v>6.9621769999999996</v>
      </c>
      <c r="X35">
        <v>6.8462326500000001</v>
      </c>
      <c r="Y35">
        <v>6.3717088999999998</v>
      </c>
      <c r="Z35">
        <v>5.7133999099999997</v>
      </c>
      <c r="AA35">
        <v>5.1930372150000004</v>
      </c>
      <c r="AB35">
        <v>4.6961283549999999</v>
      </c>
      <c r="AC35">
        <f t="shared" si="0"/>
        <v>5.555093788125002</v>
      </c>
      <c r="AD35">
        <f t="shared" si="1"/>
        <v>5.7390394599999999</v>
      </c>
    </row>
    <row r="36" spans="1:30" x14ac:dyDescent="0.25">
      <c r="A36" t="s">
        <v>112</v>
      </c>
      <c r="B36" t="s">
        <v>129</v>
      </c>
      <c r="C36">
        <v>115</v>
      </c>
      <c r="D36" t="s">
        <v>3</v>
      </c>
      <c r="E36">
        <v>1.4840991373000001</v>
      </c>
      <c r="F36">
        <v>1.4958757009000001</v>
      </c>
      <c r="G36">
        <v>1.5079439947</v>
      </c>
      <c r="H36">
        <v>1.4757208015000001</v>
      </c>
      <c r="I36">
        <v>1.5380419595000001</v>
      </c>
      <c r="J36">
        <v>1.4487581706999999</v>
      </c>
      <c r="K36">
        <v>1.3933350458</v>
      </c>
      <c r="L36">
        <v>1.1214622369</v>
      </c>
      <c r="M36">
        <v>0.84001677450000001</v>
      </c>
      <c r="N36">
        <v>0.70038929289999996</v>
      </c>
      <c r="O36">
        <v>0.66784286739999998</v>
      </c>
      <c r="P36">
        <v>1.2831239914999999</v>
      </c>
      <c r="Q36">
        <v>1.7340390461999999</v>
      </c>
      <c r="R36">
        <v>1.7290099528</v>
      </c>
      <c r="S36">
        <v>1.7093678827000001</v>
      </c>
      <c r="T36">
        <v>1.3196041884</v>
      </c>
      <c r="U36">
        <v>1.7166177113000001</v>
      </c>
      <c r="V36">
        <v>1.6822797088000001</v>
      </c>
      <c r="W36">
        <v>1.5601394541</v>
      </c>
      <c r="X36">
        <v>1.5374428635999999</v>
      </c>
      <c r="Y36">
        <v>1.4967920668000001</v>
      </c>
      <c r="Z36">
        <v>1.4218929162</v>
      </c>
      <c r="AA36">
        <v>1.4260911488000001</v>
      </c>
      <c r="AB36">
        <v>1.3366393190000001</v>
      </c>
      <c r="AC36">
        <f t="shared" si="0"/>
        <v>1.4011052596791667</v>
      </c>
      <c r="AD36">
        <f t="shared" si="1"/>
        <v>1.4799099694</v>
      </c>
    </row>
    <row r="37" spans="1:30" x14ac:dyDescent="0.25">
      <c r="A37" t="s">
        <v>112</v>
      </c>
      <c r="B37" t="s">
        <v>129</v>
      </c>
      <c r="C37">
        <v>115</v>
      </c>
      <c r="D37" t="s">
        <v>4</v>
      </c>
      <c r="E37">
        <v>6.6355275000000005E-2</v>
      </c>
      <c r="F37">
        <v>6.2534400000000004E-2</v>
      </c>
      <c r="G37">
        <v>6.2029859999999999E-2</v>
      </c>
      <c r="H37">
        <v>6.0543794999999997E-2</v>
      </c>
      <c r="I37">
        <v>6.5189460000000005E-2</v>
      </c>
      <c r="J37">
        <v>7.0950959999999993E-2</v>
      </c>
      <c r="K37">
        <v>7.8671384999999996E-2</v>
      </c>
      <c r="L37">
        <v>8.0445915000000007E-2</v>
      </c>
      <c r="M37">
        <v>8.2889190000000001E-2</v>
      </c>
      <c r="N37">
        <v>8.7786989999999995E-2</v>
      </c>
      <c r="O37">
        <v>9.3209445000000002E-2</v>
      </c>
      <c r="P37">
        <v>9.7234965000000007E-2</v>
      </c>
      <c r="Q37">
        <v>9.8511779999999993E-2</v>
      </c>
      <c r="R37">
        <v>9.67411049E-2</v>
      </c>
      <c r="S37">
        <v>9.5071995000000006E-2</v>
      </c>
      <c r="T37">
        <v>9.5800664999999993E-2</v>
      </c>
      <c r="U37">
        <v>9.4634024999999997E-2</v>
      </c>
      <c r="V37">
        <v>9.6772905000000006E-2</v>
      </c>
      <c r="W37">
        <v>0.10602300000000001</v>
      </c>
      <c r="X37">
        <v>0.10425735</v>
      </c>
      <c r="Y37">
        <v>9.7031099999999995E-2</v>
      </c>
      <c r="Z37">
        <v>8.7006089999999994E-2</v>
      </c>
      <c r="AA37">
        <v>7.9081785000000002E-2</v>
      </c>
      <c r="AB37">
        <v>7.1514645000000002E-2</v>
      </c>
      <c r="AC37">
        <f t="shared" si="0"/>
        <v>8.4595336870833329E-2</v>
      </c>
      <c r="AD37">
        <f t="shared" si="1"/>
        <v>8.7396539999999995E-2</v>
      </c>
    </row>
    <row r="38" spans="1:30" x14ac:dyDescent="0.25">
      <c r="A38" t="s">
        <v>112</v>
      </c>
      <c r="B38" t="s">
        <v>130</v>
      </c>
      <c r="C38">
        <v>115</v>
      </c>
      <c r="D38" t="s">
        <v>2</v>
      </c>
      <c r="E38">
        <v>24.637496694999999</v>
      </c>
      <c r="F38">
        <v>22.955102905</v>
      </c>
      <c r="G38">
        <v>22.526159045</v>
      </c>
      <c r="H38">
        <v>21.828279649999999</v>
      </c>
      <c r="I38">
        <v>22.677335859999999</v>
      </c>
      <c r="J38">
        <v>24.492616985000002</v>
      </c>
      <c r="K38">
        <v>26.511588230000001</v>
      </c>
      <c r="L38">
        <v>29.438240915000002</v>
      </c>
      <c r="M38">
        <v>32.73486157</v>
      </c>
      <c r="N38">
        <v>34.8584605</v>
      </c>
      <c r="O38">
        <v>37.408434409999998</v>
      </c>
      <c r="P38">
        <v>38.779535695</v>
      </c>
      <c r="Q38">
        <v>39.050308254999997</v>
      </c>
      <c r="R38">
        <v>39.061876095000002</v>
      </c>
      <c r="S38">
        <v>39.256266830000001</v>
      </c>
      <c r="T38">
        <v>39.557146899999999</v>
      </c>
      <c r="U38">
        <v>37.442824700000003</v>
      </c>
      <c r="V38">
        <v>35.451023695000003</v>
      </c>
      <c r="W38">
        <v>37.48365295</v>
      </c>
      <c r="X38">
        <v>36.584732099999997</v>
      </c>
      <c r="Y38">
        <v>34.990125450000001</v>
      </c>
      <c r="Z38">
        <v>32.114111614999999</v>
      </c>
      <c r="AA38">
        <v>29.779334595000002</v>
      </c>
      <c r="AB38">
        <v>26.877567934999998</v>
      </c>
      <c r="AC38">
        <f t="shared" si="0"/>
        <v>31.937378482499998</v>
      </c>
      <c r="AD38">
        <f t="shared" si="1"/>
        <v>33.796661035</v>
      </c>
    </row>
    <row r="39" spans="1:30" x14ac:dyDescent="0.25">
      <c r="A39" t="s">
        <v>112</v>
      </c>
      <c r="B39" t="s">
        <v>130</v>
      </c>
      <c r="C39">
        <v>115</v>
      </c>
      <c r="D39" t="s">
        <v>3</v>
      </c>
      <c r="E39">
        <v>8.2973149407999998</v>
      </c>
      <c r="F39">
        <v>8.0388369048000001</v>
      </c>
      <c r="G39">
        <v>7.9800819082999999</v>
      </c>
      <c r="H39">
        <v>7.7769125568000002</v>
      </c>
      <c r="I39">
        <v>7.5657471050999998</v>
      </c>
      <c r="J39">
        <v>7.3965597125000002</v>
      </c>
      <c r="K39">
        <v>8.0362501808999998</v>
      </c>
      <c r="L39">
        <v>9.0556198833000003</v>
      </c>
      <c r="M39">
        <v>10.178954183</v>
      </c>
      <c r="N39">
        <v>11.345708096399999</v>
      </c>
      <c r="O39">
        <v>12.4409720367</v>
      </c>
      <c r="P39">
        <v>12.855972445000001</v>
      </c>
      <c r="Q39">
        <v>12.9457374334</v>
      </c>
      <c r="R39">
        <v>13.317925306499999</v>
      </c>
      <c r="S39">
        <v>13.465505541200001</v>
      </c>
      <c r="T39">
        <v>13.404514471000001</v>
      </c>
      <c r="U39">
        <v>12.557516575099999</v>
      </c>
      <c r="V39">
        <v>12.0130949113</v>
      </c>
      <c r="W39">
        <v>11.4325073276</v>
      </c>
      <c r="X39">
        <v>10.6137210065</v>
      </c>
      <c r="Y39">
        <v>10.000477379499999</v>
      </c>
      <c r="Z39">
        <v>9.3790545865000006</v>
      </c>
      <c r="AA39">
        <v>8.9706013465000005</v>
      </c>
      <c r="AB39">
        <v>8.3774569176</v>
      </c>
      <c r="AC39">
        <f t="shared" si="0"/>
        <v>10.310293448179168</v>
      </c>
      <c r="AD39">
        <f t="shared" si="1"/>
        <v>10.08971578125</v>
      </c>
    </row>
    <row r="40" spans="1:30" x14ac:dyDescent="0.25">
      <c r="A40" t="s">
        <v>112</v>
      </c>
      <c r="B40" t="s">
        <v>130</v>
      </c>
      <c r="C40">
        <v>115</v>
      </c>
      <c r="D40" t="s">
        <v>4</v>
      </c>
      <c r="E40">
        <v>0.375190305</v>
      </c>
      <c r="F40">
        <v>0.34957009500000003</v>
      </c>
      <c r="G40">
        <v>0.34303795500000001</v>
      </c>
      <c r="H40">
        <v>0.33241035000000002</v>
      </c>
      <c r="I40">
        <v>0.34534014000000002</v>
      </c>
      <c r="J40">
        <v>0.372984015</v>
      </c>
      <c r="K40">
        <v>0.40372976999999999</v>
      </c>
      <c r="L40">
        <v>0.44829808500000001</v>
      </c>
      <c r="M40">
        <v>0.49850042999999999</v>
      </c>
      <c r="N40">
        <v>0.53083950000000002</v>
      </c>
      <c r="O40">
        <v>0.56967159000000001</v>
      </c>
      <c r="P40">
        <v>0.59055130499999997</v>
      </c>
      <c r="Q40">
        <v>0.59467474499999995</v>
      </c>
      <c r="R40">
        <v>0.59485090500000004</v>
      </c>
      <c r="S40">
        <v>0.59781116999999995</v>
      </c>
      <c r="T40">
        <v>0.60239310000000001</v>
      </c>
      <c r="U40">
        <v>0.57019529999999996</v>
      </c>
      <c r="V40">
        <v>0.53986330500000002</v>
      </c>
      <c r="W40">
        <v>0.57081705000000005</v>
      </c>
      <c r="X40">
        <v>0.55712790000000001</v>
      </c>
      <c r="Y40">
        <v>0.53284454999999997</v>
      </c>
      <c r="Z40">
        <v>0.489047385</v>
      </c>
      <c r="AA40">
        <v>0.45349240499999999</v>
      </c>
      <c r="AB40">
        <v>0.40930306500000002</v>
      </c>
      <c r="AC40">
        <f t="shared" si="0"/>
        <v>0.48635601750000007</v>
      </c>
      <c r="AD40">
        <f t="shared" si="1"/>
        <v>0.51466996499999995</v>
      </c>
    </row>
    <row r="41" spans="1:30" x14ac:dyDescent="0.25">
      <c r="A41" t="s">
        <v>112</v>
      </c>
      <c r="B41" t="s">
        <v>131</v>
      </c>
      <c r="C41">
        <v>115</v>
      </c>
      <c r="D41" t="s">
        <v>2</v>
      </c>
      <c r="E41">
        <v>26.333771105</v>
      </c>
      <c r="F41">
        <v>24.333821194999999</v>
      </c>
      <c r="G41">
        <v>23.954933064999999</v>
      </c>
      <c r="H41">
        <v>22.946560985000001</v>
      </c>
      <c r="I41">
        <v>23.74660064</v>
      </c>
      <c r="J41">
        <v>25.044199254999999</v>
      </c>
      <c r="K41">
        <v>27.894409045</v>
      </c>
      <c r="L41">
        <v>33.624119569999998</v>
      </c>
      <c r="M41">
        <v>39.40222413</v>
      </c>
      <c r="N41">
        <v>42.872770174999999</v>
      </c>
      <c r="O41">
        <v>46.523471735000001</v>
      </c>
      <c r="P41">
        <v>48.705893879999998</v>
      </c>
      <c r="Q41">
        <v>48.729444245000003</v>
      </c>
      <c r="R41">
        <v>49.161455394999997</v>
      </c>
      <c r="S41">
        <v>50.576851144999999</v>
      </c>
      <c r="T41">
        <v>50.964497895000001</v>
      </c>
      <c r="U41">
        <v>48.633397879999997</v>
      </c>
      <c r="V41">
        <v>44.46029566</v>
      </c>
      <c r="W41">
        <v>43.065194849999997</v>
      </c>
      <c r="X41">
        <v>39.722823900000002</v>
      </c>
      <c r="Y41">
        <v>37.085082550000003</v>
      </c>
      <c r="Z41">
        <v>33.534956385000001</v>
      </c>
      <c r="AA41">
        <v>31.008649070000001</v>
      </c>
      <c r="AB41">
        <v>28.48322924</v>
      </c>
      <c r="AC41">
        <f t="shared" si="0"/>
        <v>37.117027208125009</v>
      </c>
      <c r="AD41">
        <f t="shared" si="1"/>
        <v>38.243653340000002</v>
      </c>
    </row>
    <row r="42" spans="1:30" x14ac:dyDescent="0.25">
      <c r="A42" t="s">
        <v>112</v>
      </c>
      <c r="B42" t="s">
        <v>131</v>
      </c>
      <c r="C42">
        <v>115</v>
      </c>
      <c r="D42" t="s">
        <v>3</v>
      </c>
      <c r="E42">
        <v>7.9922572329000001</v>
      </c>
      <c r="F42">
        <v>7.5935657206</v>
      </c>
      <c r="G42">
        <v>7.5894146951000003</v>
      </c>
      <c r="H42">
        <v>7.2782984038</v>
      </c>
      <c r="I42">
        <v>7.4277993963000002</v>
      </c>
      <c r="J42">
        <v>7.3142584388999996</v>
      </c>
      <c r="K42">
        <v>8.4554138283999993</v>
      </c>
      <c r="L42">
        <v>10.591431056999999</v>
      </c>
      <c r="M42">
        <v>12.6690576975</v>
      </c>
      <c r="N42">
        <v>13.984815896900001</v>
      </c>
      <c r="O42">
        <v>15.291525673300001</v>
      </c>
      <c r="P42">
        <v>15.974259655199999</v>
      </c>
      <c r="Q42">
        <v>16.2574058085</v>
      </c>
      <c r="R42">
        <v>16.3323819041</v>
      </c>
      <c r="S42">
        <v>16.5699028664</v>
      </c>
      <c r="T42">
        <v>16.551439168400002</v>
      </c>
      <c r="U42">
        <v>15.7421030608</v>
      </c>
      <c r="V42">
        <v>13.8249954569</v>
      </c>
      <c r="W42">
        <v>12.3422679546</v>
      </c>
      <c r="X42">
        <v>10.924645528999999</v>
      </c>
      <c r="Y42">
        <v>9.8638827245999998</v>
      </c>
      <c r="Z42">
        <v>8.7931752794999998</v>
      </c>
      <c r="AA42">
        <v>8.4396478194999993</v>
      </c>
      <c r="AB42">
        <v>8.1407507416999998</v>
      </c>
      <c r="AC42">
        <f t="shared" si="0"/>
        <v>11.497695667079165</v>
      </c>
      <c r="AD42">
        <f t="shared" si="1"/>
        <v>10.758038292999998</v>
      </c>
    </row>
    <row r="43" spans="1:30" x14ac:dyDescent="0.25">
      <c r="A43" t="s">
        <v>112</v>
      </c>
      <c r="B43" t="s">
        <v>131</v>
      </c>
      <c r="C43">
        <v>115</v>
      </c>
      <c r="D43" t="s">
        <v>4</v>
      </c>
      <c r="E43">
        <v>0.40102189500000002</v>
      </c>
      <c r="F43">
        <v>0.37056580500000003</v>
      </c>
      <c r="G43">
        <v>0.36479593500000002</v>
      </c>
      <c r="H43">
        <v>0.34944001499999999</v>
      </c>
      <c r="I43">
        <v>0.36162336</v>
      </c>
      <c r="J43">
        <v>0.381383745</v>
      </c>
      <c r="K43">
        <v>0.42478795499999999</v>
      </c>
      <c r="L43">
        <v>0.51204243000000005</v>
      </c>
      <c r="M43">
        <v>0.60003386999999997</v>
      </c>
      <c r="N43">
        <v>0.652884825</v>
      </c>
      <c r="O43">
        <v>0.70847926500000002</v>
      </c>
      <c r="P43">
        <v>0.74171412000000003</v>
      </c>
      <c r="Q43">
        <v>0.74207275500000003</v>
      </c>
      <c r="R43">
        <v>0.74865160500000005</v>
      </c>
      <c r="S43">
        <v>0.77020585500000005</v>
      </c>
      <c r="T43">
        <v>0.77610910499999997</v>
      </c>
      <c r="U43">
        <v>0.74061012000000004</v>
      </c>
      <c r="V43">
        <v>0.67706034000000004</v>
      </c>
      <c r="W43">
        <v>0.65581515000000001</v>
      </c>
      <c r="X43">
        <v>0.60491609999999996</v>
      </c>
      <c r="Y43">
        <v>0.56474745000000004</v>
      </c>
      <c r="Z43">
        <v>0.51068461499999995</v>
      </c>
      <c r="AA43">
        <v>0.47221292999999998</v>
      </c>
      <c r="AB43">
        <v>0.43375476000000002</v>
      </c>
      <c r="AC43">
        <f t="shared" si="0"/>
        <v>0.56523391687500002</v>
      </c>
      <c r="AD43">
        <f t="shared" si="1"/>
        <v>0.58239065999999995</v>
      </c>
    </row>
    <row r="44" spans="1:30" x14ac:dyDescent="0.25">
      <c r="A44" t="s">
        <v>112</v>
      </c>
      <c r="B44" t="s">
        <v>132</v>
      </c>
      <c r="C44">
        <v>115</v>
      </c>
      <c r="D44" t="s">
        <v>2</v>
      </c>
      <c r="E44">
        <v>2.8824803600000002</v>
      </c>
      <c r="F44">
        <v>2.7574365799999998</v>
      </c>
      <c r="G44">
        <v>2.79143681</v>
      </c>
      <c r="H44">
        <v>2.7194579349999999</v>
      </c>
      <c r="I44">
        <v>2.7993956099999999</v>
      </c>
      <c r="J44">
        <v>2.8009440300000001</v>
      </c>
      <c r="K44">
        <v>2.71640148</v>
      </c>
      <c r="L44">
        <v>3.125699515</v>
      </c>
      <c r="M44">
        <v>3.2801179650000001</v>
      </c>
      <c r="N44">
        <v>3.3203680200000001</v>
      </c>
      <c r="O44">
        <v>3.2644013049999998</v>
      </c>
      <c r="P44">
        <v>3.4871521599999999</v>
      </c>
      <c r="Q44">
        <v>3.3619064550000002</v>
      </c>
      <c r="R44">
        <v>3.3685601300000001</v>
      </c>
      <c r="S44">
        <v>3.47181177</v>
      </c>
      <c r="T44">
        <v>3.4984215449999998</v>
      </c>
      <c r="U44">
        <v>3.35173633</v>
      </c>
      <c r="V44">
        <v>3.3612396100000002</v>
      </c>
      <c r="W44">
        <v>3.8527979499999998</v>
      </c>
      <c r="X44">
        <v>4.0580719500000004</v>
      </c>
      <c r="Y44">
        <v>3.9022646499999998</v>
      </c>
      <c r="Z44">
        <v>3.4720659</v>
      </c>
      <c r="AA44">
        <v>3.1644336549999998</v>
      </c>
      <c r="AB44">
        <v>2.965294235</v>
      </c>
      <c r="AC44">
        <f t="shared" si="0"/>
        <v>3.2405789979166673</v>
      </c>
      <c r="AD44">
        <f t="shared" si="1"/>
        <v>3.3002429925000003</v>
      </c>
    </row>
    <row r="45" spans="1:30" x14ac:dyDescent="0.25">
      <c r="A45" t="s">
        <v>112</v>
      </c>
      <c r="B45" t="s">
        <v>132</v>
      </c>
      <c r="C45">
        <v>115</v>
      </c>
      <c r="D45" t="s">
        <v>3</v>
      </c>
      <c r="E45">
        <v>1.3241892390000001</v>
      </c>
      <c r="F45">
        <v>1.2659450253</v>
      </c>
      <c r="G45">
        <v>1.2807444278</v>
      </c>
      <c r="H45">
        <v>1.2469301399999999</v>
      </c>
      <c r="I45">
        <v>1.2827703106999999</v>
      </c>
      <c r="J45">
        <v>1.2826661702</v>
      </c>
      <c r="K45">
        <v>1.2478938827999999</v>
      </c>
      <c r="L45">
        <v>1.4350153256</v>
      </c>
      <c r="M45">
        <v>1.5049571573</v>
      </c>
      <c r="N45">
        <v>1.5224603796</v>
      </c>
      <c r="O45">
        <v>1.495850412</v>
      </c>
      <c r="P45">
        <v>1.5969087772999999</v>
      </c>
      <c r="Q45">
        <v>1.5385767439</v>
      </c>
      <c r="R45">
        <v>1.5406426348</v>
      </c>
      <c r="S45">
        <v>1.5868562572</v>
      </c>
      <c r="T45">
        <v>1.5918894203</v>
      </c>
      <c r="U45">
        <v>1.4887863089</v>
      </c>
      <c r="V45">
        <v>1.5587215446</v>
      </c>
      <c r="W45">
        <v>1.7966756151000001</v>
      </c>
      <c r="X45">
        <v>1.7953402838000001</v>
      </c>
      <c r="Y45">
        <v>1.6029537265</v>
      </c>
      <c r="Z45">
        <v>1.4485678838</v>
      </c>
      <c r="AA45">
        <v>1.3547118621000001</v>
      </c>
      <c r="AB45">
        <v>1.3389101093</v>
      </c>
      <c r="AC45">
        <f t="shared" si="0"/>
        <v>1.4637068182458333</v>
      </c>
      <c r="AD45">
        <f t="shared" si="1"/>
        <v>1.4923183604500001</v>
      </c>
    </row>
    <row r="46" spans="1:30" x14ac:dyDescent="0.25">
      <c r="A46" t="s">
        <v>112</v>
      </c>
      <c r="B46" t="s">
        <v>132</v>
      </c>
      <c r="C46">
        <v>115</v>
      </c>
      <c r="D46" t="s">
        <v>4</v>
      </c>
      <c r="E46">
        <v>4.389564E-2</v>
      </c>
      <c r="F46">
        <v>4.1991420000000002E-2</v>
      </c>
      <c r="G46">
        <v>4.2509190000000002E-2</v>
      </c>
      <c r="H46">
        <v>4.1413064999999999E-2</v>
      </c>
      <c r="I46">
        <v>4.2630389999999997E-2</v>
      </c>
      <c r="J46">
        <v>4.2653969999999999E-2</v>
      </c>
      <c r="K46">
        <v>4.1366519999999997E-2</v>
      </c>
      <c r="L46">
        <v>4.7599484999999997E-2</v>
      </c>
      <c r="M46">
        <v>4.9951034999999998E-2</v>
      </c>
      <c r="N46">
        <v>5.0563980000000001E-2</v>
      </c>
      <c r="O46">
        <v>4.9711695E-2</v>
      </c>
      <c r="P46">
        <v>5.3103839999999999E-2</v>
      </c>
      <c r="Q46">
        <v>5.1196545000000003E-2</v>
      </c>
      <c r="R46">
        <v>5.1297870000000002E-2</v>
      </c>
      <c r="S46">
        <v>5.2870229999999997E-2</v>
      </c>
      <c r="T46">
        <v>5.3275454999999999E-2</v>
      </c>
      <c r="U46">
        <v>5.1041669999999997E-2</v>
      </c>
      <c r="V46">
        <v>5.1186389999999998E-2</v>
      </c>
      <c r="W46">
        <v>5.8672050000000003E-2</v>
      </c>
      <c r="X46">
        <v>6.179805E-2</v>
      </c>
      <c r="Y46">
        <v>5.9425350000000002E-2</v>
      </c>
      <c r="Z46">
        <v>5.28741E-2</v>
      </c>
      <c r="AA46">
        <v>4.8189345000000001E-2</v>
      </c>
      <c r="AB46">
        <v>4.5156765000000001E-2</v>
      </c>
      <c r="AC46">
        <f t="shared" si="0"/>
        <v>4.9348918749999998E-2</v>
      </c>
      <c r="AD46">
        <f t="shared" si="1"/>
        <v>5.02575075E-2</v>
      </c>
    </row>
    <row r="47" spans="1:30" x14ac:dyDescent="0.25">
      <c r="A47" t="s">
        <v>112</v>
      </c>
      <c r="B47" t="s">
        <v>133</v>
      </c>
      <c r="C47">
        <v>115</v>
      </c>
      <c r="D47" t="s">
        <v>2</v>
      </c>
      <c r="E47">
        <v>7.8408206399999996</v>
      </c>
      <c r="F47">
        <v>7.7037283399999996</v>
      </c>
      <c r="G47">
        <v>7.602991405</v>
      </c>
      <c r="H47">
        <v>7.53750959</v>
      </c>
      <c r="I47">
        <v>7.7224719049999999</v>
      </c>
      <c r="J47">
        <v>7.7651884000000004</v>
      </c>
      <c r="K47">
        <v>7.95224581</v>
      </c>
      <c r="L47">
        <v>9.9848740800000009</v>
      </c>
      <c r="M47">
        <v>11.22279844</v>
      </c>
      <c r="N47">
        <v>11.696998125</v>
      </c>
      <c r="O47">
        <v>12.36219719</v>
      </c>
      <c r="P47">
        <v>11.910427925</v>
      </c>
      <c r="Q47">
        <v>12.215737539999999</v>
      </c>
      <c r="R47">
        <v>12.247646615000001</v>
      </c>
      <c r="S47">
        <v>11.822758</v>
      </c>
      <c r="T47">
        <v>11.913373075000001</v>
      </c>
      <c r="U47">
        <v>12.114565235000001</v>
      </c>
      <c r="V47">
        <v>11.96831145</v>
      </c>
      <c r="W47">
        <v>11.664596550000001</v>
      </c>
      <c r="X47">
        <v>11.5703025</v>
      </c>
      <c r="Y47">
        <v>11.5602555</v>
      </c>
      <c r="Z47">
        <v>10.666347314999999</v>
      </c>
      <c r="AA47">
        <v>9.6615734399999997</v>
      </c>
      <c r="AB47">
        <v>8.1232664349999997</v>
      </c>
      <c r="AC47">
        <f t="shared" si="0"/>
        <v>10.284624396041668</v>
      </c>
      <c r="AD47">
        <f t="shared" si="1"/>
        <v>11.391526970000001</v>
      </c>
    </row>
    <row r="48" spans="1:30" x14ac:dyDescent="0.25">
      <c r="A48" t="s">
        <v>112</v>
      </c>
      <c r="B48" t="s">
        <v>133</v>
      </c>
      <c r="C48">
        <v>115</v>
      </c>
      <c r="D48" t="s">
        <v>3</v>
      </c>
      <c r="E48">
        <v>2.5379885422999999</v>
      </c>
      <c r="F48">
        <v>2.4714332480999999</v>
      </c>
      <c r="G48">
        <v>2.4004633004999998</v>
      </c>
      <c r="H48">
        <v>2.4747838513999998</v>
      </c>
      <c r="I48">
        <v>2.4578731549000001</v>
      </c>
      <c r="J48">
        <v>2.4459958693999999</v>
      </c>
      <c r="K48">
        <v>2.4932603301</v>
      </c>
      <c r="L48">
        <v>3.1524859772</v>
      </c>
      <c r="M48">
        <v>4.0209927471000002</v>
      </c>
      <c r="N48">
        <v>3.9106305279</v>
      </c>
      <c r="O48">
        <v>4.0324674862999998</v>
      </c>
      <c r="P48">
        <v>3.6371387557000001</v>
      </c>
      <c r="Q48">
        <v>3.3892226906</v>
      </c>
      <c r="R48">
        <v>3.6475664081999999</v>
      </c>
      <c r="S48">
        <v>3.4938908969</v>
      </c>
      <c r="T48">
        <v>3.6022308408999999</v>
      </c>
      <c r="U48">
        <v>4.1220055736000001</v>
      </c>
      <c r="V48">
        <v>4.0680952968000001</v>
      </c>
      <c r="W48">
        <v>3.2550632378</v>
      </c>
      <c r="X48">
        <v>3.1867768433000001</v>
      </c>
      <c r="Y48">
        <v>3.3717411867</v>
      </c>
      <c r="Z48">
        <v>3.0105635326</v>
      </c>
      <c r="AA48">
        <v>2.4841122739000001</v>
      </c>
      <c r="AB48">
        <v>2.5587886760999998</v>
      </c>
      <c r="AC48">
        <f t="shared" si="0"/>
        <v>3.1760654686791665</v>
      </c>
      <c r="AD48">
        <f t="shared" si="1"/>
        <v>3.2209200405500003</v>
      </c>
    </row>
    <row r="49" spans="1:30" x14ac:dyDescent="0.25">
      <c r="A49" t="s">
        <v>112</v>
      </c>
      <c r="B49" t="s">
        <v>133</v>
      </c>
      <c r="C49">
        <v>115</v>
      </c>
      <c r="D49" t="s">
        <v>4</v>
      </c>
      <c r="E49">
        <v>0.11940336</v>
      </c>
      <c r="F49">
        <v>0.11731566</v>
      </c>
      <c r="G49">
        <v>0.115781595</v>
      </c>
      <c r="H49">
        <v>0.11478441</v>
      </c>
      <c r="I49">
        <v>0.117601095</v>
      </c>
      <c r="J49">
        <v>0.1182516</v>
      </c>
      <c r="K49">
        <v>0.12110019</v>
      </c>
      <c r="L49">
        <v>0.15205392000000001</v>
      </c>
      <c r="M49">
        <v>0.17090556000000001</v>
      </c>
      <c r="N49">
        <v>0.17812687499999999</v>
      </c>
      <c r="O49">
        <v>0.18825681</v>
      </c>
      <c r="P49">
        <v>0.181377075</v>
      </c>
      <c r="Q49">
        <v>0.18602646</v>
      </c>
      <c r="R49">
        <v>0.186512385</v>
      </c>
      <c r="S49">
        <v>0.18004200000000001</v>
      </c>
      <c r="T49">
        <v>0.18142192500000001</v>
      </c>
      <c r="U49">
        <v>0.184485765</v>
      </c>
      <c r="V49">
        <v>0.18225854999999999</v>
      </c>
      <c r="W49">
        <v>0.17763345</v>
      </c>
      <c r="X49">
        <v>0.17619750000000001</v>
      </c>
      <c r="Y49">
        <v>0.17604449999999999</v>
      </c>
      <c r="Z49">
        <v>0.16243168499999999</v>
      </c>
      <c r="AA49">
        <v>0.14713055999999999</v>
      </c>
      <c r="AB49">
        <v>0.123704565</v>
      </c>
      <c r="AC49">
        <f t="shared" si="0"/>
        <v>0.156618645625</v>
      </c>
      <c r="AD49">
        <f t="shared" si="1"/>
        <v>0.17347503</v>
      </c>
    </row>
    <row r="50" spans="1:30" x14ac:dyDescent="0.25">
      <c r="A50" t="s">
        <v>408</v>
      </c>
      <c r="B50" t="s">
        <v>409</v>
      </c>
      <c r="C50">
        <v>115</v>
      </c>
      <c r="D50" t="s">
        <v>2</v>
      </c>
      <c r="E50">
        <v>2.3775339</v>
      </c>
      <c r="F50">
        <v>2.2132260499999998</v>
      </c>
      <c r="G50">
        <v>2.1406207149999998</v>
      </c>
      <c r="H50">
        <v>2.077549195</v>
      </c>
      <c r="I50">
        <v>2.1606605399999999</v>
      </c>
      <c r="J50">
        <v>2.2791008800000001</v>
      </c>
      <c r="K50">
        <v>2.0368184600000001</v>
      </c>
      <c r="L50">
        <v>1.7864176700000001</v>
      </c>
      <c r="M50">
        <v>1.7109893249999999</v>
      </c>
      <c r="N50">
        <v>1.7667009250000001</v>
      </c>
      <c r="O50">
        <v>1.8679520300000001</v>
      </c>
      <c r="P50">
        <v>2.0103259000000002</v>
      </c>
      <c r="Q50">
        <v>2.1220032299999998</v>
      </c>
      <c r="R50">
        <v>2.1720727499999999</v>
      </c>
      <c r="S50">
        <v>2.2094091749999998</v>
      </c>
      <c r="T50">
        <v>2.2779651749999998</v>
      </c>
      <c r="U50">
        <v>2.4778945650000002</v>
      </c>
      <c r="V50">
        <v>2.7550459850000002</v>
      </c>
      <c r="W50">
        <v>3.3906024600000002</v>
      </c>
      <c r="X50">
        <v>3.7477151950000001</v>
      </c>
      <c r="Y50">
        <v>3.792211585</v>
      </c>
      <c r="Z50">
        <v>3.38640439</v>
      </c>
      <c r="AA50">
        <v>3.0682326450000001</v>
      </c>
      <c r="AB50">
        <v>2.7270473599999998</v>
      </c>
      <c r="AC50">
        <f t="shared" si="0"/>
        <v>2.4397708377083336</v>
      </c>
      <c r="AD50">
        <f t="shared" si="1"/>
        <v>2.2113176124999998</v>
      </c>
    </row>
    <row r="51" spans="1:30" x14ac:dyDescent="0.25">
      <c r="A51" t="s">
        <v>408</v>
      </c>
      <c r="B51" t="s">
        <v>409</v>
      </c>
      <c r="C51">
        <v>115</v>
      </c>
      <c r="D51" t="s">
        <v>3</v>
      </c>
      <c r="E51">
        <v>0.83615638739999998</v>
      </c>
      <c r="F51">
        <v>0.80086865699999998</v>
      </c>
      <c r="G51">
        <v>0.77956597930000004</v>
      </c>
      <c r="H51">
        <v>0.73121735119999998</v>
      </c>
      <c r="I51">
        <v>0.71682328549999996</v>
      </c>
      <c r="J51">
        <v>0.71506629399999999</v>
      </c>
      <c r="K51">
        <v>0.79677599320000003</v>
      </c>
      <c r="L51">
        <v>0.76466804180000003</v>
      </c>
      <c r="M51">
        <v>0.76628840129999998</v>
      </c>
      <c r="N51">
        <v>0.82086059810000001</v>
      </c>
      <c r="O51">
        <v>0.87774283900000005</v>
      </c>
      <c r="P51">
        <v>0.91704370049999995</v>
      </c>
      <c r="Q51">
        <v>0.97569358520000005</v>
      </c>
      <c r="R51">
        <v>0.97476725769999994</v>
      </c>
      <c r="S51">
        <v>1.0174197936</v>
      </c>
      <c r="T51">
        <v>0.96662820090000001</v>
      </c>
      <c r="U51">
        <v>0.99607830379999995</v>
      </c>
      <c r="V51">
        <v>1.0463278496999999</v>
      </c>
      <c r="W51">
        <v>1.0329893380999999</v>
      </c>
      <c r="X51">
        <v>1.0357106818999999</v>
      </c>
      <c r="Y51">
        <v>0.98472757529999999</v>
      </c>
      <c r="Z51">
        <v>0.92527572790000001</v>
      </c>
      <c r="AA51">
        <v>0.85263143139999997</v>
      </c>
      <c r="AB51">
        <v>0.80349467340000003</v>
      </c>
      <c r="AC51">
        <f t="shared" si="0"/>
        <v>0.88061758113333333</v>
      </c>
      <c r="AD51">
        <f t="shared" si="1"/>
        <v>0.86518713520000001</v>
      </c>
    </row>
    <row r="52" spans="1:30" x14ac:dyDescent="0.25">
      <c r="A52" t="s">
        <v>408</v>
      </c>
      <c r="B52" t="s">
        <v>409</v>
      </c>
      <c r="C52">
        <v>115</v>
      </c>
      <c r="D52" t="s">
        <v>4</v>
      </c>
      <c r="E52">
        <v>3.6206099999999998E-2</v>
      </c>
      <c r="F52">
        <v>3.3703950000000003E-2</v>
      </c>
      <c r="G52">
        <v>3.2598284999999998E-2</v>
      </c>
      <c r="H52">
        <v>3.1637804999999998E-2</v>
      </c>
      <c r="I52">
        <v>3.2903460000000002E-2</v>
      </c>
      <c r="J52">
        <v>3.4707120000000001E-2</v>
      </c>
      <c r="K52">
        <v>3.101754E-2</v>
      </c>
      <c r="L52">
        <v>2.7204329999999999E-2</v>
      </c>
      <c r="M52">
        <v>2.6055675E-2</v>
      </c>
      <c r="N52">
        <v>2.6904075E-2</v>
      </c>
      <c r="O52">
        <v>2.8445970000000001E-2</v>
      </c>
      <c r="P52">
        <v>3.0614100000000002E-2</v>
      </c>
      <c r="Q52">
        <v>3.231477E-2</v>
      </c>
      <c r="R52">
        <v>3.3077250000000002E-2</v>
      </c>
      <c r="S52">
        <v>3.3645824999999997E-2</v>
      </c>
      <c r="T52">
        <v>3.4689825000000001E-2</v>
      </c>
      <c r="U52">
        <v>3.7734434999999997E-2</v>
      </c>
      <c r="V52">
        <v>4.1955014999999998E-2</v>
      </c>
      <c r="W52">
        <v>5.1633539999999999E-2</v>
      </c>
      <c r="X52">
        <v>5.7071805000000003E-2</v>
      </c>
      <c r="Y52">
        <v>5.7749414999999998E-2</v>
      </c>
      <c r="Z52">
        <v>5.1569610000000002E-2</v>
      </c>
      <c r="AA52">
        <v>4.6724355000000002E-2</v>
      </c>
      <c r="AB52">
        <v>4.1528639999999999E-2</v>
      </c>
      <c r="AC52">
        <f t="shared" si="0"/>
        <v>3.7153870624999995E-2</v>
      </c>
      <c r="AD52">
        <f t="shared" si="1"/>
        <v>3.36748875E-2</v>
      </c>
    </row>
    <row r="53" spans="1:30" x14ac:dyDescent="0.25">
      <c r="A53" t="s">
        <v>408</v>
      </c>
      <c r="B53" t="s">
        <v>410</v>
      </c>
      <c r="C53">
        <v>115</v>
      </c>
      <c r="D53" t="s">
        <v>2</v>
      </c>
      <c r="E53">
        <v>1.0396379499999999</v>
      </c>
      <c r="F53">
        <v>1.01830482</v>
      </c>
      <c r="G53">
        <v>0.99532083000000005</v>
      </c>
      <c r="H53">
        <v>0.99949920000000003</v>
      </c>
      <c r="I53">
        <v>0.98859131</v>
      </c>
      <c r="J53">
        <v>1.027554955</v>
      </c>
      <c r="K53">
        <v>1.0798279200000001</v>
      </c>
      <c r="L53">
        <v>1.0929678199999999</v>
      </c>
      <c r="M53">
        <v>1.1205980550000001</v>
      </c>
      <c r="N53">
        <v>1.22062973</v>
      </c>
      <c r="O53">
        <v>1.3066753900000001</v>
      </c>
      <c r="P53">
        <v>1.35930591</v>
      </c>
      <c r="Q53">
        <v>1.33263014</v>
      </c>
      <c r="R53">
        <v>1.3168770350000001</v>
      </c>
      <c r="S53">
        <v>1.3237129350000001</v>
      </c>
      <c r="T53">
        <v>1.3012214449999999</v>
      </c>
      <c r="U53">
        <v>1.3188243799999999</v>
      </c>
      <c r="V53">
        <v>1.31672436</v>
      </c>
      <c r="W53">
        <v>1.4807307999999999</v>
      </c>
      <c r="X53">
        <v>1.456792345</v>
      </c>
      <c r="Y53">
        <v>1.401969215</v>
      </c>
      <c r="Z53">
        <v>1.2681737099999999</v>
      </c>
      <c r="AA53">
        <v>1.1932014200000001</v>
      </c>
      <c r="AB53">
        <v>1.1259288750000001</v>
      </c>
      <c r="AC53">
        <f t="shared" si="0"/>
        <v>1.2119041895833333</v>
      </c>
      <c r="AD53">
        <f t="shared" si="1"/>
        <v>1.2444017199999999</v>
      </c>
    </row>
    <row r="54" spans="1:30" x14ac:dyDescent="0.25">
      <c r="A54" t="s">
        <v>408</v>
      </c>
      <c r="B54" t="s">
        <v>410</v>
      </c>
      <c r="C54">
        <v>115</v>
      </c>
      <c r="D54" t="s">
        <v>3</v>
      </c>
      <c r="E54">
        <v>9.2991762999999998E-3</v>
      </c>
      <c r="F54">
        <v>0.43588079410000002</v>
      </c>
      <c r="G54">
        <v>6.2950875000000002E-3</v>
      </c>
      <c r="H54">
        <v>0.3932012922</v>
      </c>
      <c r="I54">
        <v>0.1521022585</v>
      </c>
      <c r="J54">
        <v>0.50208293609999999</v>
      </c>
      <c r="K54">
        <v>4.7349807100000002E-2</v>
      </c>
      <c r="L54">
        <v>4.8879494000000001E-3</v>
      </c>
      <c r="M54">
        <v>5.0900173399999998E-2</v>
      </c>
      <c r="N54">
        <v>0.14737540469999999</v>
      </c>
      <c r="O54">
        <v>1.6529087299999998E-2</v>
      </c>
      <c r="P54">
        <v>0.2344464191</v>
      </c>
      <c r="Q54">
        <v>0.43083180570000001</v>
      </c>
      <c r="R54">
        <v>0.35975991210000002</v>
      </c>
      <c r="S54">
        <v>1.6744607500000001E-2</v>
      </c>
      <c r="T54">
        <v>0.42170452790000001</v>
      </c>
      <c r="U54">
        <v>0.3373890115</v>
      </c>
      <c r="V54">
        <v>8.3402115799999996E-2</v>
      </c>
      <c r="W54">
        <v>8.0650019700000006E-2</v>
      </c>
      <c r="X54">
        <v>2.6865305400000001E-2</v>
      </c>
      <c r="Y54">
        <v>0.1471072071</v>
      </c>
      <c r="Z54">
        <v>0.51870824169999996</v>
      </c>
      <c r="AA54">
        <v>8.31621367E-2</v>
      </c>
      <c r="AB54">
        <v>0.4721102586</v>
      </c>
      <c r="AC54">
        <f t="shared" si="0"/>
        <v>0.20744939730833334</v>
      </c>
      <c r="AD54">
        <f t="shared" si="1"/>
        <v>0.14724130590000001</v>
      </c>
    </row>
    <row r="55" spans="1:30" x14ac:dyDescent="0.25">
      <c r="A55" t="s">
        <v>408</v>
      </c>
      <c r="B55" t="s">
        <v>410</v>
      </c>
      <c r="C55">
        <v>115</v>
      </c>
      <c r="D55" t="s">
        <v>4</v>
      </c>
      <c r="E55">
        <v>1.583205E-2</v>
      </c>
      <c r="F55">
        <v>1.5507180000000001E-2</v>
      </c>
      <c r="G55">
        <v>1.5157169999999999E-2</v>
      </c>
      <c r="H55">
        <v>1.52208E-2</v>
      </c>
      <c r="I55">
        <v>1.5054690000000001E-2</v>
      </c>
      <c r="J55">
        <v>1.5648044999999999E-2</v>
      </c>
      <c r="K55">
        <v>1.644408E-2</v>
      </c>
      <c r="L55">
        <v>1.6644180000000001E-2</v>
      </c>
      <c r="M55">
        <v>1.7064945000000002E-2</v>
      </c>
      <c r="N55">
        <v>1.858827E-2</v>
      </c>
      <c r="O55">
        <v>1.9898610000000001E-2</v>
      </c>
      <c r="P55">
        <v>2.0700090000000001E-2</v>
      </c>
      <c r="Q55">
        <v>2.029386E-2</v>
      </c>
      <c r="R55">
        <v>2.0053965E-2</v>
      </c>
      <c r="S55">
        <v>2.0158064999999999E-2</v>
      </c>
      <c r="T55">
        <v>1.9815554999999999E-2</v>
      </c>
      <c r="U55">
        <v>2.008362E-2</v>
      </c>
      <c r="V55">
        <v>2.0051639999999999E-2</v>
      </c>
      <c r="W55">
        <v>2.2549199999999998E-2</v>
      </c>
      <c r="X55">
        <v>2.2184655000000001E-2</v>
      </c>
      <c r="Y55">
        <v>2.1349785E-2</v>
      </c>
      <c r="Z55">
        <v>1.9312289999999999E-2</v>
      </c>
      <c r="AA55">
        <v>1.8170579999999999E-2</v>
      </c>
      <c r="AB55">
        <v>1.7146125000000002E-2</v>
      </c>
      <c r="AC55">
        <f t="shared" si="0"/>
        <v>1.845539375E-2</v>
      </c>
      <c r="AD55">
        <f t="shared" si="1"/>
        <v>1.895028E-2</v>
      </c>
    </row>
    <row r="56" spans="1:30" x14ac:dyDescent="0.25">
      <c r="A56" t="s">
        <v>408</v>
      </c>
      <c r="B56" t="s">
        <v>411</v>
      </c>
      <c r="C56">
        <v>115</v>
      </c>
      <c r="D56" t="s">
        <v>2</v>
      </c>
      <c r="E56">
        <v>0.54822440500000003</v>
      </c>
      <c r="F56">
        <v>0.54916704999999999</v>
      </c>
      <c r="G56">
        <v>0.55083465499999995</v>
      </c>
      <c r="H56">
        <v>0.54715075499999999</v>
      </c>
      <c r="I56">
        <v>0.550434745</v>
      </c>
      <c r="J56">
        <v>0.57957498510000005</v>
      </c>
      <c r="K56">
        <v>0.56848093</v>
      </c>
      <c r="L56">
        <v>0.53078892010000001</v>
      </c>
      <c r="M56">
        <v>0.51014430499999996</v>
      </c>
      <c r="N56">
        <v>0.51686988499999997</v>
      </c>
      <c r="O56">
        <v>0.52861009999999997</v>
      </c>
      <c r="P56">
        <v>0.55155863000000005</v>
      </c>
      <c r="Q56">
        <v>0.53725347499999998</v>
      </c>
      <c r="R56">
        <v>0.55153892999999998</v>
      </c>
      <c r="S56">
        <v>0.547521115</v>
      </c>
      <c r="T56">
        <v>0.53969233500000002</v>
      </c>
      <c r="U56">
        <v>0.56423951999999999</v>
      </c>
      <c r="V56">
        <v>0.59756305499999995</v>
      </c>
      <c r="W56">
        <v>0.66110934499999996</v>
      </c>
      <c r="X56">
        <v>0.66182248499999996</v>
      </c>
      <c r="Y56">
        <v>0.63969643009999999</v>
      </c>
      <c r="Z56">
        <v>0.60125976000000003</v>
      </c>
      <c r="AA56">
        <v>0.58212810500000001</v>
      </c>
      <c r="AB56">
        <v>0.55691112009999999</v>
      </c>
      <c r="AC56">
        <f t="shared" si="0"/>
        <v>0.56552396001666672</v>
      </c>
      <c r="AD56">
        <f t="shared" si="1"/>
        <v>0.55118679250000002</v>
      </c>
    </row>
    <row r="57" spans="1:30" x14ac:dyDescent="0.25">
      <c r="A57" t="s">
        <v>408</v>
      </c>
      <c r="B57" t="s">
        <v>411</v>
      </c>
      <c r="C57">
        <v>115</v>
      </c>
      <c r="D57" t="s">
        <v>3</v>
      </c>
      <c r="E57">
        <v>0.13334599220000001</v>
      </c>
      <c r="F57">
        <v>0.1220027427</v>
      </c>
      <c r="G57">
        <v>0.1141652808</v>
      </c>
      <c r="H57">
        <v>0.1122720822</v>
      </c>
      <c r="I57">
        <v>0.1216169795</v>
      </c>
      <c r="J57">
        <v>0.13790468189999999</v>
      </c>
      <c r="K57">
        <v>0.1451874135</v>
      </c>
      <c r="L57">
        <v>0.13647251960000001</v>
      </c>
      <c r="M57">
        <v>0.1413325081</v>
      </c>
      <c r="N57">
        <v>0.12958499109999999</v>
      </c>
      <c r="O57">
        <v>0.13764596909999999</v>
      </c>
      <c r="P57">
        <v>0.14254317320000001</v>
      </c>
      <c r="Q57">
        <v>0.16118885350000001</v>
      </c>
      <c r="R57">
        <v>0.1478205521</v>
      </c>
      <c r="S57">
        <v>0.1515770997</v>
      </c>
      <c r="T57">
        <v>0.19428458409999999</v>
      </c>
      <c r="U57">
        <v>0.21742203169999999</v>
      </c>
      <c r="V57">
        <v>0.24240206119999999</v>
      </c>
      <c r="W57">
        <v>0.26375495560000001</v>
      </c>
      <c r="X57">
        <v>0.29256353880000002</v>
      </c>
      <c r="Y57">
        <v>0.29219911310000002</v>
      </c>
      <c r="Z57">
        <v>0.247869442</v>
      </c>
      <c r="AA57">
        <v>0.1996989803</v>
      </c>
      <c r="AB57">
        <v>0.19423372950000001</v>
      </c>
      <c r="AC57">
        <f t="shared" si="0"/>
        <v>0.1741287198125</v>
      </c>
      <c r="AD57">
        <f t="shared" si="1"/>
        <v>0.14650398279999999</v>
      </c>
    </row>
    <row r="58" spans="1:30" x14ac:dyDescent="0.25">
      <c r="A58" t="s">
        <v>408</v>
      </c>
      <c r="B58" t="s">
        <v>411</v>
      </c>
      <c r="C58">
        <v>115</v>
      </c>
      <c r="D58" t="s">
        <v>4</v>
      </c>
      <c r="E58">
        <v>8.3485950000000003E-3</v>
      </c>
      <c r="F58">
        <v>8.3629499999999992E-3</v>
      </c>
      <c r="G58">
        <v>8.3883450000000002E-3</v>
      </c>
      <c r="H58">
        <v>8.3322450000000003E-3</v>
      </c>
      <c r="I58">
        <v>8.3822549999999999E-3</v>
      </c>
      <c r="J58">
        <v>8.8260149E-3</v>
      </c>
      <c r="K58">
        <v>8.6570699999999993E-3</v>
      </c>
      <c r="L58">
        <v>8.0830798999999998E-3</v>
      </c>
      <c r="M58">
        <v>7.7686949000000003E-3</v>
      </c>
      <c r="N58">
        <v>7.8711149999999997E-3</v>
      </c>
      <c r="O58">
        <v>8.0499000000000005E-3</v>
      </c>
      <c r="P58">
        <v>8.3993699999999998E-3</v>
      </c>
      <c r="Q58">
        <v>8.1815250000000003E-3</v>
      </c>
      <c r="R58">
        <v>8.3990699999999998E-3</v>
      </c>
      <c r="S58">
        <v>8.3378849999999997E-3</v>
      </c>
      <c r="T58">
        <v>8.218665E-3</v>
      </c>
      <c r="U58">
        <v>8.5924799999999996E-3</v>
      </c>
      <c r="V58">
        <v>9.0999449999999999E-3</v>
      </c>
      <c r="W58">
        <v>1.0067655E-2</v>
      </c>
      <c r="X58">
        <v>1.0078515E-2</v>
      </c>
      <c r="Y58">
        <v>9.7415699000000001E-3</v>
      </c>
      <c r="Z58">
        <v>9.1562399999999995E-3</v>
      </c>
      <c r="AA58">
        <v>8.8648949999999994E-3</v>
      </c>
      <c r="AB58">
        <v>8.4808799000000001E-3</v>
      </c>
      <c r="AC58">
        <f t="shared" si="0"/>
        <v>8.6120399791666663E-3</v>
      </c>
      <c r="AD58">
        <f t="shared" si="1"/>
        <v>8.3937075E-3</v>
      </c>
    </row>
    <row r="59" spans="1:30" x14ac:dyDescent="0.25">
      <c r="A59" t="s">
        <v>408</v>
      </c>
      <c r="B59" t="s">
        <v>427</v>
      </c>
      <c r="C59">
        <v>115</v>
      </c>
      <c r="D59" t="s">
        <v>2</v>
      </c>
      <c r="E59">
        <v>2.1133637950000002</v>
      </c>
      <c r="F59">
        <v>2.03660964</v>
      </c>
      <c r="G59">
        <v>2.0097299749999999</v>
      </c>
      <c r="H59">
        <v>1.9069028699999999</v>
      </c>
      <c r="I59">
        <v>1.8922894100000001</v>
      </c>
      <c r="J59">
        <v>1.9599145849999999</v>
      </c>
      <c r="K59">
        <v>1.83113667</v>
      </c>
      <c r="L59">
        <v>1.8349299050000001</v>
      </c>
      <c r="M59">
        <v>1.88581402</v>
      </c>
      <c r="N59">
        <v>2.0557974400000001</v>
      </c>
      <c r="O59">
        <v>2.1708631700000001</v>
      </c>
      <c r="P59">
        <v>2.2665145500000001</v>
      </c>
      <c r="Q59">
        <v>2.2150473150000001</v>
      </c>
      <c r="R59">
        <v>2.24024066</v>
      </c>
      <c r="S59">
        <v>2.2867060650000002</v>
      </c>
      <c r="T59">
        <v>2.2647218499999999</v>
      </c>
      <c r="U59">
        <v>2.34533228</v>
      </c>
      <c r="V59">
        <v>2.431944315</v>
      </c>
      <c r="W59">
        <v>2.8532091149999999</v>
      </c>
      <c r="X59">
        <v>3.0780609750000001</v>
      </c>
      <c r="Y59">
        <v>2.9533284549999999</v>
      </c>
      <c r="Z59">
        <v>2.6400127599999998</v>
      </c>
      <c r="AA59">
        <v>2.4507262949999999</v>
      </c>
      <c r="AB59">
        <v>2.2821238450000001</v>
      </c>
      <c r="AC59">
        <f t="shared" si="0"/>
        <v>2.2502216650000002</v>
      </c>
      <c r="AD59">
        <f t="shared" si="1"/>
        <v>2.2276439875</v>
      </c>
    </row>
    <row r="60" spans="1:30" x14ac:dyDescent="0.25">
      <c r="A60" t="s">
        <v>408</v>
      </c>
      <c r="B60" t="s">
        <v>427</v>
      </c>
      <c r="C60">
        <v>115</v>
      </c>
      <c r="D60" t="s">
        <v>3</v>
      </c>
      <c r="E60">
        <v>0.24382976919999999</v>
      </c>
      <c r="F60">
        <v>0.40036447930000002</v>
      </c>
      <c r="G60">
        <v>0.25526426070000002</v>
      </c>
      <c r="H60">
        <v>0.39922242019999998</v>
      </c>
      <c r="I60">
        <v>3.4896485499999998E-2</v>
      </c>
      <c r="J60">
        <v>0.2839143958</v>
      </c>
      <c r="K60">
        <v>0.23639013119999999</v>
      </c>
      <c r="L60">
        <v>1.1605347699999999E-2</v>
      </c>
      <c r="M60">
        <v>0.1731764704</v>
      </c>
      <c r="N60">
        <v>0.1318380918</v>
      </c>
      <c r="O60">
        <v>9.5686251900000005E-2</v>
      </c>
      <c r="P60">
        <v>0.1230301243</v>
      </c>
      <c r="Q60">
        <v>0.34199279469999999</v>
      </c>
      <c r="R60">
        <v>0.13270871570000001</v>
      </c>
      <c r="S60">
        <v>7.4479395800000001E-2</v>
      </c>
      <c r="T60">
        <v>9.7740599400000003E-2</v>
      </c>
      <c r="U60">
        <v>0.21589132659999999</v>
      </c>
      <c r="V60">
        <v>0.28015579889999997</v>
      </c>
      <c r="W60">
        <v>0.1775239206</v>
      </c>
      <c r="X60">
        <v>4.5659006799999999E-2</v>
      </c>
      <c r="Y60">
        <v>0.21987792680000001</v>
      </c>
      <c r="Z60">
        <v>0.22742520529999999</v>
      </c>
      <c r="AA60">
        <v>5.0233100500000002E-2</v>
      </c>
      <c r="AB60">
        <v>0.43643846120000002</v>
      </c>
      <c r="AC60">
        <f t="shared" si="0"/>
        <v>0.19538935334583338</v>
      </c>
      <c r="AD60">
        <f t="shared" si="1"/>
        <v>0.19670762359999999</v>
      </c>
    </row>
    <row r="61" spans="1:30" x14ac:dyDescent="0.25">
      <c r="A61" t="s">
        <v>408</v>
      </c>
      <c r="B61" t="s">
        <v>427</v>
      </c>
      <c r="C61">
        <v>115</v>
      </c>
      <c r="D61" t="s">
        <v>4</v>
      </c>
      <c r="E61">
        <v>3.2183204999999999E-2</v>
      </c>
      <c r="F61">
        <v>3.1014360000000001E-2</v>
      </c>
      <c r="G61">
        <v>3.0605025000000001E-2</v>
      </c>
      <c r="H61">
        <v>2.903913E-2</v>
      </c>
      <c r="I61">
        <v>2.881659E-2</v>
      </c>
      <c r="J61">
        <v>2.9846415000000001E-2</v>
      </c>
      <c r="K61">
        <v>2.788533E-2</v>
      </c>
      <c r="L61">
        <v>2.7943095000000001E-2</v>
      </c>
      <c r="M61">
        <v>2.8717980000000001E-2</v>
      </c>
      <c r="N61">
        <v>3.1306559999999997E-2</v>
      </c>
      <c r="O61">
        <v>3.3058829999999997E-2</v>
      </c>
      <c r="P61">
        <v>3.4515450000000003E-2</v>
      </c>
      <c r="Q61">
        <v>3.3731684999999997E-2</v>
      </c>
      <c r="R61">
        <v>3.4115340000000001E-2</v>
      </c>
      <c r="S61">
        <v>3.4822934999999999E-2</v>
      </c>
      <c r="T61">
        <v>3.4488150000000002E-2</v>
      </c>
      <c r="U61">
        <v>3.5715719999999999E-2</v>
      </c>
      <c r="V61">
        <v>3.7034684999999998E-2</v>
      </c>
      <c r="W61">
        <v>4.3449885000000001E-2</v>
      </c>
      <c r="X61">
        <v>4.6874025E-2</v>
      </c>
      <c r="Y61">
        <v>4.4974544999999998E-2</v>
      </c>
      <c r="Z61">
        <v>4.0203240000000001E-2</v>
      </c>
      <c r="AA61">
        <v>3.7320705000000003E-2</v>
      </c>
      <c r="AB61">
        <v>3.4753155000000001E-2</v>
      </c>
      <c r="AC61">
        <f t="shared" si="0"/>
        <v>3.4267334999999996E-2</v>
      </c>
      <c r="AD61">
        <f t="shared" si="1"/>
        <v>3.3923512500000003E-2</v>
      </c>
    </row>
    <row r="62" spans="1:30" x14ac:dyDescent="0.25">
      <c r="A62" t="s">
        <v>408</v>
      </c>
      <c r="B62" t="s">
        <v>428</v>
      </c>
      <c r="C62">
        <v>115</v>
      </c>
      <c r="D62" t="s">
        <v>2</v>
      </c>
      <c r="E62">
        <v>9.9248540900000002</v>
      </c>
      <c r="F62">
        <v>9.4517467699999997</v>
      </c>
      <c r="G62">
        <v>9.2223954300000006</v>
      </c>
      <c r="H62">
        <v>8.99007136</v>
      </c>
      <c r="I62">
        <v>8.9493524450000006</v>
      </c>
      <c r="J62">
        <v>9.15840195</v>
      </c>
      <c r="K62">
        <v>8.7443207550000004</v>
      </c>
      <c r="L62">
        <v>8.4869097199999999</v>
      </c>
      <c r="M62">
        <v>8.6609887699999994</v>
      </c>
      <c r="N62">
        <v>9.2978119550000002</v>
      </c>
      <c r="O62">
        <v>9.9752801800000004</v>
      </c>
      <c r="P62">
        <v>10.49167037</v>
      </c>
      <c r="Q62">
        <v>10.598008999999999</v>
      </c>
      <c r="R62">
        <v>10.671353085</v>
      </c>
      <c r="S62">
        <v>10.699207899999999</v>
      </c>
      <c r="T62">
        <v>10.565389740000001</v>
      </c>
      <c r="U62">
        <v>10.873504635</v>
      </c>
      <c r="V62">
        <v>11.239056850000001</v>
      </c>
      <c r="W62">
        <v>13.175796354999999</v>
      </c>
      <c r="X62">
        <v>14.035330995000001</v>
      </c>
      <c r="Y62">
        <v>13.70175976</v>
      </c>
      <c r="Z62">
        <v>12.602261390000001</v>
      </c>
      <c r="AA62">
        <v>11.661857265</v>
      </c>
      <c r="AB62">
        <v>10.838574565</v>
      </c>
      <c r="AC62">
        <f t="shared" si="0"/>
        <v>10.500662722291667</v>
      </c>
      <c r="AD62">
        <f t="shared" si="1"/>
        <v>10.528530055000001</v>
      </c>
    </row>
    <row r="63" spans="1:30" x14ac:dyDescent="0.25">
      <c r="A63" t="s">
        <v>408</v>
      </c>
      <c r="B63" t="s">
        <v>428</v>
      </c>
      <c r="C63">
        <v>115</v>
      </c>
      <c r="D63" t="s">
        <v>3</v>
      </c>
      <c r="E63">
        <v>1.9786818071000001</v>
      </c>
      <c r="F63">
        <v>1.9345365423000001</v>
      </c>
      <c r="G63">
        <v>1.9307679916</v>
      </c>
      <c r="H63">
        <v>1.8752492929</v>
      </c>
      <c r="I63">
        <v>1.85575095</v>
      </c>
      <c r="J63">
        <v>1.3954648982</v>
      </c>
      <c r="K63">
        <v>1.0318201454</v>
      </c>
      <c r="L63">
        <v>1.0902114462000001</v>
      </c>
      <c r="M63">
        <v>1.2049845186000001</v>
      </c>
      <c r="N63">
        <v>1.3937969825000001</v>
      </c>
      <c r="O63">
        <v>1.5441469871</v>
      </c>
      <c r="P63">
        <v>1.6422475206</v>
      </c>
      <c r="Q63">
        <v>1.6140977080000001</v>
      </c>
      <c r="R63">
        <v>1.7026048594000001</v>
      </c>
      <c r="S63">
        <v>1.7394930284000001</v>
      </c>
      <c r="T63">
        <v>1.6939317533</v>
      </c>
      <c r="U63">
        <v>1.6976883271000001</v>
      </c>
      <c r="V63">
        <v>1.6079694920000001</v>
      </c>
      <c r="W63">
        <v>2.2036902251999999</v>
      </c>
      <c r="X63">
        <v>2.377880931</v>
      </c>
      <c r="Y63">
        <v>2.2624575713000001</v>
      </c>
      <c r="Z63">
        <v>2.0488942766</v>
      </c>
      <c r="AA63">
        <v>2.0387650568</v>
      </c>
      <c r="AB63">
        <v>2.0311480605000001</v>
      </c>
      <c r="AC63">
        <f t="shared" si="0"/>
        <v>1.7456783488375001</v>
      </c>
      <c r="AD63">
        <f t="shared" si="1"/>
        <v>1.7210489439000001</v>
      </c>
    </row>
    <row r="64" spans="1:30" x14ac:dyDescent="0.25">
      <c r="A64" t="s">
        <v>408</v>
      </c>
      <c r="B64" t="s">
        <v>428</v>
      </c>
      <c r="C64">
        <v>115</v>
      </c>
      <c r="D64" t="s">
        <v>4</v>
      </c>
      <c r="E64">
        <v>0.15113990999999999</v>
      </c>
      <c r="F64">
        <v>0.14393523</v>
      </c>
      <c r="G64">
        <v>0.14044256999999999</v>
      </c>
      <c r="H64">
        <v>0.13690463999999999</v>
      </c>
      <c r="I64">
        <v>0.136284555</v>
      </c>
      <c r="J64">
        <v>0.13946805000000001</v>
      </c>
      <c r="K64">
        <v>0.13316224500000001</v>
      </c>
      <c r="L64">
        <v>0.12924227999999999</v>
      </c>
      <c r="M64">
        <v>0.13189323</v>
      </c>
      <c r="N64">
        <v>0.141591045</v>
      </c>
      <c r="O64">
        <v>0.15190782</v>
      </c>
      <c r="P64">
        <v>0.15977163</v>
      </c>
      <c r="Q64">
        <v>0.16139100000000001</v>
      </c>
      <c r="R64">
        <v>0.162507915</v>
      </c>
      <c r="S64">
        <v>0.1629321</v>
      </c>
      <c r="T64">
        <v>0.16089426000000001</v>
      </c>
      <c r="U64">
        <v>0.16558636500000001</v>
      </c>
      <c r="V64">
        <v>0.17115315</v>
      </c>
      <c r="W64">
        <v>0.20064664500000001</v>
      </c>
      <c r="X64">
        <v>0.21373600500000001</v>
      </c>
      <c r="Y64">
        <v>0.20865623999999999</v>
      </c>
      <c r="Z64">
        <v>0.19191261000000001</v>
      </c>
      <c r="AA64">
        <v>0.177591735</v>
      </c>
      <c r="AB64">
        <v>0.165054435</v>
      </c>
      <c r="AC64">
        <f t="shared" si="0"/>
        <v>0.15990856937499998</v>
      </c>
      <c r="AD64">
        <f t="shared" si="1"/>
        <v>0.160332945</v>
      </c>
    </row>
    <row r="65" spans="1:30" x14ac:dyDescent="0.25">
      <c r="A65" t="s">
        <v>408</v>
      </c>
      <c r="B65" t="s">
        <v>429</v>
      </c>
      <c r="C65">
        <v>34</v>
      </c>
      <c r="D65" t="s">
        <v>2</v>
      </c>
      <c r="E65">
        <v>0.47833609999999999</v>
      </c>
      <c r="F65">
        <v>0.39948867999999998</v>
      </c>
      <c r="G65">
        <v>0.38132348999999999</v>
      </c>
      <c r="H65">
        <v>0.34676433000000001</v>
      </c>
      <c r="I65">
        <v>0.34518711000000002</v>
      </c>
      <c r="J65">
        <v>0.58453460999999995</v>
      </c>
      <c r="K65">
        <v>0.58232883000000002</v>
      </c>
      <c r="L65">
        <v>0.46087998000000002</v>
      </c>
      <c r="M65">
        <v>0.68018243</v>
      </c>
      <c r="N65">
        <v>0.82820055000000004</v>
      </c>
      <c r="O65">
        <v>1.0031012500000001</v>
      </c>
      <c r="P65">
        <v>1.1338077799999999</v>
      </c>
      <c r="Q65">
        <v>1.1941078300000001</v>
      </c>
      <c r="R65">
        <v>1.0099960100000001</v>
      </c>
      <c r="S65">
        <v>0.87220847999999995</v>
      </c>
      <c r="T65">
        <v>0.75319239000000004</v>
      </c>
      <c r="U65">
        <v>0.79665032999999996</v>
      </c>
      <c r="V65">
        <v>0.73215794000000001</v>
      </c>
      <c r="W65">
        <v>0.86805591000000004</v>
      </c>
      <c r="X65">
        <v>0.90627100000000005</v>
      </c>
      <c r="Y65">
        <v>0.88646360000000002</v>
      </c>
      <c r="Z65">
        <v>0.77245659</v>
      </c>
      <c r="AA65">
        <v>0.81397065000000002</v>
      </c>
      <c r="AB65">
        <v>0.71832379999999996</v>
      </c>
      <c r="AC65">
        <f t="shared" si="0"/>
        <v>0.7311662362500001</v>
      </c>
      <c r="AD65">
        <f t="shared" si="1"/>
        <v>0.76282449000000008</v>
      </c>
    </row>
    <row r="66" spans="1:30" x14ac:dyDescent="0.25">
      <c r="A66" t="s">
        <v>408</v>
      </c>
      <c r="B66" t="s">
        <v>429</v>
      </c>
      <c r="C66">
        <v>34</v>
      </c>
      <c r="D66" t="s">
        <v>3</v>
      </c>
      <c r="E66">
        <v>5.3991533799999998E-2</v>
      </c>
      <c r="F66">
        <v>0.10081790760000001</v>
      </c>
      <c r="G66">
        <v>4.5683563699999999E-2</v>
      </c>
      <c r="H66">
        <v>2.4664466499999999E-2</v>
      </c>
      <c r="I66">
        <v>2.7811536899999999E-2</v>
      </c>
      <c r="J66">
        <v>4.4459164099999997E-2</v>
      </c>
      <c r="K66">
        <v>6.5307643200000001E-2</v>
      </c>
      <c r="L66">
        <v>7.3622928099999999E-2</v>
      </c>
      <c r="M66">
        <v>0.13341956890000001</v>
      </c>
      <c r="N66">
        <v>0.1646301993</v>
      </c>
      <c r="O66">
        <v>0.2011020811</v>
      </c>
      <c r="P66">
        <v>0.21901204899999999</v>
      </c>
      <c r="Q66">
        <v>0.57246895190000002</v>
      </c>
      <c r="R66">
        <v>0.21598575149999999</v>
      </c>
      <c r="S66">
        <v>0.16704361009999999</v>
      </c>
      <c r="T66">
        <v>5.7287119499999997E-2</v>
      </c>
      <c r="U66">
        <v>8.9343602499999994E-2</v>
      </c>
      <c r="V66">
        <v>0.1169580231</v>
      </c>
      <c r="W66">
        <v>0.1702714451</v>
      </c>
      <c r="X66">
        <v>0.18014909000000001</v>
      </c>
      <c r="Y66">
        <v>0.1777185251</v>
      </c>
      <c r="Z66">
        <v>0.14921162430000001</v>
      </c>
      <c r="AA66">
        <v>0.174066096</v>
      </c>
      <c r="AB66">
        <v>0.13757192639999999</v>
      </c>
      <c r="AC66">
        <f t="shared" si="0"/>
        <v>0.14010826698750004</v>
      </c>
      <c r="AD66">
        <f t="shared" si="1"/>
        <v>0.13549574765</v>
      </c>
    </row>
    <row r="67" spans="1:30" x14ac:dyDescent="0.25">
      <c r="A67" t="s">
        <v>408</v>
      </c>
      <c r="B67" t="s">
        <v>429</v>
      </c>
      <c r="C67">
        <v>34</v>
      </c>
      <c r="D67" t="s">
        <v>4</v>
      </c>
      <c r="E67">
        <v>1.47939E-2</v>
      </c>
      <c r="F67">
        <v>1.2355319999999999E-2</v>
      </c>
      <c r="G67">
        <v>1.179351E-2</v>
      </c>
      <c r="H67">
        <v>1.072467E-2</v>
      </c>
      <c r="I67">
        <v>1.067589E-2</v>
      </c>
      <c r="J67">
        <v>1.807839E-2</v>
      </c>
      <c r="K67">
        <v>1.8010169999999999E-2</v>
      </c>
      <c r="L67">
        <v>1.4254019999999999E-2</v>
      </c>
      <c r="M67">
        <v>2.1036570000000001E-2</v>
      </c>
      <c r="N67">
        <v>2.561445E-2</v>
      </c>
      <c r="O67">
        <v>3.1023749999999999E-2</v>
      </c>
      <c r="P67">
        <v>3.5066220000000002E-2</v>
      </c>
      <c r="Q67">
        <v>3.6931169999999999E-2</v>
      </c>
      <c r="R67">
        <v>3.1236989999999999E-2</v>
      </c>
      <c r="S67">
        <v>2.6975519999999999E-2</v>
      </c>
      <c r="T67">
        <v>2.329461E-2</v>
      </c>
      <c r="U67">
        <v>2.4638670000000001E-2</v>
      </c>
      <c r="V67">
        <v>2.2644060000000001E-2</v>
      </c>
      <c r="W67">
        <v>2.6847090000000001E-2</v>
      </c>
      <c r="X67">
        <v>2.8028999999999998E-2</v>
      </c>
      <c r="Y67">
        <v>2.74164E-2</v>
      </c>
      <c r="Z67">
        <v>2.3890410000000001E-2</v>
      </c>
      <c r="AA67">
        <v>2.5174350000000002E-2</v>
      </c>
      <c r="AB67">
        <v>2.2216199999999998E-2</v>
      </c>
      <c r="AC67">
        <f t="shared" ref="AC67:AC94" si="2">AVERAGE(E67:AB67)</f>
        <v>2.2613388750000005E-2</v>
      </c>
      <c r="AD67">
        <f t="shared" ref="AD67:AD94" si="3">MEDIAN(E67:AB67)</f>
        <v>2.3592510000000001E-2</v>
      </c>
    </row>
    <row r="68" spans="1:30" x14ac:dyDescent="0.25">
      <c r="A68" t="s">
        <v>408</v>
      </c>
      <c r="B68" t="s">
        <v>430</v>
      </c>
      <c r="C68">
        <v>34</v>
      </c>
      <c r="D68" t="s">
        <v>2</v>
      </c>
      <c r="E68">
        <v>4.8309113699999999</v>
      </c>
      <c r="F68">
        <v>4.8047330099999996</v>
      </c>
      <c r="G68">
        <v>4.7746048099999996</v>
      </c>
      <c r="H68">
        <v>4.8653744999999997</v>
      </c>
      <c r="I68">
        <v>4.7436307700000002</v>
      </c>
      <c r="J68">
        <v>4.7838120499999999</v>
      </c>
      <c r="K68">
        <v>4.73740337</v>
      </c>
      <c r="L68">
        <v>4.78865623</v>
      </c>
      <c r="M68">
        <v>4.4621115500000004</v>
      </c>
      <c r="N68">
        <v>4.4084443599999998</v>
      </c>
      <c r="O68">
        <v>4.4569278700000003</v>
      </c>
      <c r="P68">
        <v>4.3927633400000001</v>
      </c>
      <c r="Q68">
        <v>4.0404574000000002</v>
      </c>
      <c r="R68">
        <v>4.4488662000000003</v>
      </c>
      <c r="S68">
        <v>4.6401482600000001</v>
      </c>
      <c r="T68">
        <v>4.7310944900000003</v>
      </c>
      <c r="U68">
        <v>5.0878507900000001</v>
      </c>
      <c r="V68">
        <v>5.1353701200000001</v>
      </c>
      <c r="W68">
        <v>5.5776396799999999</v>
      </c>
      <c r="X68">
        <v>5.6613012100000004</v>
      </c>
      <c r="Y68">
        <v>5.5224777200000004</v>
      </c>
      <c r="Z68">
        <v>5.1689942000000002</v>
      </c>
      <c r="AA68">
        <v>4.9820043900000002</v>
      </c>
      <c r="AB68">
        <v>5.08787989</v>
      </c>
      <c r="AC68">
        <f t="shared" si="2"/>
        <v>4.8388940658333341</v>
      </c>
      <c r="AD68">
        <f t="shared" si="3"/>
        <v>4.7862341399999995</v>
      </c>
    </row>
    <row r="69" spans="1:30" x14ac:dyDescent="0.25">
      <c r="A69" t="s">
        <v>408</v>
      </c>
      <c r="B69" t="s">
        <v>430</v>
      </c>
      <c r="C69">
        <v>34</v>
      </c>
      <c r="D69" t="s">
        <v>3</v>
      </c>
      <c r="E69">
        <v>0.1183593106</v>
      </c>
      <c r="F69">
        <v>2.1487633700000001E-2</v>
      </c>
      <c r="G69">
        <v>0.1088987261</v>
      </c>
      <c r="H69">
        <v>6.5279910299999994E-2</v>
      </c>
      <c r="I69">
        <v>0.1142670152</v>
      </c>
      <c r="J69">
        <v>0.17389032030000001</v>
      </c>
      <c r="K69">
        <v>0.1059516913</v>
      </c>
      <c r="L69">
        <v>0</v>
      </c>
      <c r="M69">
        <v>2.8221435600000001E-2</v>
      </c>
      <c r="N69">
        <v>6.53935036E-2</v>
      </c>
      <c r="O69">
        <v>0.1750037244</v>
      </c>
      <c r="P69">
        <v>0.31554255139999998</v>
      </c>
      <c r="Q69">
        <v>0.45459967779999999</v>
      </c>
      <c r="R69">
        <v>0.33182419349999998</v>
      </c>
      <c r="S69">
        <v>0.39424465510000001</v>
      </c>
      <c r="T69">
        <v>0.53954189519999995</v>
      </c>
      <c r="U69">
        <v>0.79605753209999996</v>
      </c>
      <c r="V69">
        <v>0.87697231379999996</v>
      </c>
      <c r="W69">
        <v>0.60388233349999998</v>
      </c>
      <c r="X69">
        <v>0.50724803100000004</v>
      </c>
      <c r="Y69">
        <v>0.38569583680000002</v>
      </c>
      <c r="Z69">
        <v>0.37562695600000001</v>
      </c>
      <c r="AA69">
        <v>0.26671882180000001</v>
      </c>
      <c r="AB69">
        <v>0.20107269720000001</v>
      </c>
      <c r="AC69">
        <f t="shared" si="2"/>
        <v>0.29274086526249993</v>
      </c>
      <c r="AD69">
        <f t="shared" si="3"/>
        <v>0.23389575950000002</v>
      </c>
    </row>
    <row r="70" spans="1:30" x14ac:dyDescent="0.25">
      <c r="A70" t="s">
        <v>408</v>
      </c>
      <c r="B70" t="s">
        <v>430</v>
      </c>
      <c r="C70">
        <v>34</v>
      </c>
      <c r="D70" t="s">
        <v>4</v>
      </c>
      <c r="E70">
        <v>0.14940962999999999</v>
      </c>
      <c r="F70">
        <v>0.14859998999999999</v>
      </c>
      <c r="G70">
        <v>0.14766819</v>
      </c>
      <c r="H70">
        <v>0.15047550000000001</v>
      </c>
      <c r="I70">
        <v>0.14671023</v>
      </c>
      <c r="J70">
        <v>0.14795295</v>
      </c>
      <c r="K70">
        <v>0.14651763000000001</v>
      </c>
      <c r="L70">
        <v>0.14810276999999999</v>
      </c>
      <c r="M70">
        <v>0.13800345</v>
      </c>
      <c r="N70">
        <v>0.13634363999999999</v>
      </c>
      <c r="O70">
        <v>0.13784313000000001</v>
      </c>
      <c r="P70">
        <v>0.13585865999999999</v>
      </c>
      <c r="Q70">
        <v>0.12496259999999999</v>
      </c>
      <c r="R70">
        <v>0.13759379999999999</v>
      </c>
      <c r="S70">
        <v>0.14350974</v>
      </c>
      <c r="T70">
        <v>0.14632250999999999</v>
      </c>
      <c r="U70">
        <v>0.15735621</v>
      </c>
      <c r="V70">
        <v>0.15882588</v>
      </c>
      <c r="W70">
        <v>0.17250431999999999</v>
      </c>
      <c r="X70">
        <v>0.17509179</v>
      </c>
      <c r="Y70">
        <v>0.17079828</v>
      </c>
      <c r="Z70">
        <v>0.1598658</v>
      </c>
      <c r="AA70">
        <v>0.15408261000000001</v>
      </c>
      <c r="AB70">
        <v>0.15735710999999999</v>
      </c>
      <c r="AC70">
        <f t="shared" si="2"/>
        <v>0.1496565175</v>
      </c>
      <c r="AD70">
        <f t="shared" si="3"/>
        <v>0.14802786000000001</v>
      </c>
    </row>
    <row r="71" spans="1:30" x14ac:dyDescent="0.25">
      <c r="A71" t="s">
        <v>408</v>
      </c>
      <c r="B71" t="s">
        <v>434</v>
      </c>
      <c r="C71">
        <v>115</v>
      </c>
      <c r="D71" t="s">
        <v>2</v>
      </c>
      <c r="E71">
        <v>0.84932216000000005</v>
      </c>
      <c r="F71">
        <v>0.81133268000000003</v>
      </c>
      <c r="G71">
        <v>0.81261810499999998</v>
      </c>
      <c r="H71">
        <v>0.81260037500000004</v>
      </c>
      <c r="I71">
        <v>0.81880587500000002</v>
      </c>
      <c r="J71">
        <v>0.81756477500000002</v>
      </c>
      <c r="K71">
        <v>1.0198374800000001</v>
      </c>
      <c r="L71">
        <v>1.2527752050000001</v>
      </c>
      <c r="M71">
        <v>1.3298140249999999</v>
      </c>
      <c r="N71">
        <v>1.3724783149999999</v>
      </c>
      <c r="O71">
        <v>1.4967370499999999</v>
      </c>
      <c r="P71">
        <v>1.5280886149999999</v>
      </c>
      <c r="Q71">
        <v>1.326626565</v>
      </c>
      <c r="R71">
        <v>1.4687049350000001</v>
      </c>
      <c r="S71">
        <v>1.533058925</v>
      </c>
      <c r="T71">
        <v>1.496570585</v>
      </c>
      <c r="U71">
        <v>1.4038003299999999</v>
      </c>
      <c r="V71">
        <v>1.1499618899999999</v>
      </c>
      <c r="W71">
        <v>1.202368815</v>
      </c>
      <c r="X71">
        <v>1.1513359649999999</v>
      </c>
      <c r="Y71">
        <v>1.0648835000000001</v>
      </c>
      <c r="Z71">
        <v>0.926078285</v>
      </c>
      <c r="AA71">
        <v>0.87158414500000003</v>
      </c>
      <c r="AB71">
        <v>0.88379322000000005</v>
      </c>
      <c r="AC71">
        <f t="shared" si="2"/>
        <v>1.1416975758333334</v>
      </c>
      <c r="AD71">
        <f t="shared" si="3"/>
        <v>1.1506489274999998</v>
      </c>
    </row>
    <row r="72" spans="1:30" x14ac:dyDescent="0.25">
      <c r="A72" t="s">
        <v>408</v>
      </c>
      <c r="B72" t="s">
        <v>434</v>
      </c>
      <c r="C72">
        <v>115</v>
      </c>
      <c r="D72" t="s">
        <v>3</v>
      </c>
      <c r="E72">
        <v>0.1760294164</v>
      </c>
      <c r="F72">
        <v>0.16551071570000001</v>
      </c>
      <c r="G72">
        <v>0.1795061315</v>
      </c>
      <c r="H72">
        <v>0.18634462730000001</v>
      </c>
      <c r="I72">
        <v>0.1705863162</v>
      </c>
      <c r="J72">
        <v>0.13956635210000001</v>
      </c>
      <c r="K72">
        <v>0.238015121</v>
      </c>
      <c r="L72">
        <v>0.35044634029999999</v>
      </c>
      <c r="M72">
        <v>0.41610482360000001</v>
      </c>
      <c r="N72">
        <v>0.42641923520000002</v>
      </c>
      <c r="O72">
        <v>0.48886627999999999</v>
      </c>
      <c r="P72">
        <v>0.50247530959999998</v>
      </c>
      <c r="Q72">
        <v>0.38342467730000002</v>
      </c>
      <c r="R72">
        <v>0.44894442610000002</v>
      </c>
      <c r="S72">
        <v>0.49623453519999999</v>
      </c>
      <c r="T72">
        <v>0.47729912679999997</v>
      </c>
      <c r="U72">
        <v>0.43500827530000002</v>
      </c>
      <c r="V72">
        <v>0.3045229787</v>
      </c>
      <c r="W72">
        <v>0.27202430950000001</v>
      </c>
      <c r="X72">
        <v>0.26429408360000001</v>
      </c>
      <c r="Y72">
        <v>0.2276700764</v>
      </c>
      <c r="Z72">
        <v>0.18408639390000001</v>
      </c>
      <c r="AA72">
        <v>0.17016246069999999</v>
      </c>
      <c r="AB72">
        <v>0.1906705102</v>
      </c>
      <c r="AC72">
        <f t="shared" si="2"/>
        <v>0.30392552177500004</v>
      </c>
      <c r="AD72">
        <f t="shared" si="3"/>
        <v>0.26815919654999998</v>
      </c>
    </row>
    <row r="73" spans="1:30" x14ac:dyDescent="0.25">
      <c r="A73" t="s">
        <v>408</v>
      </c>
      <c r="B73" t="s">
        <v>434</v>
      </c>
      <c r="C73">
        <v>115</v>
      </c>
      <c r="D73" t="s">
        <v>4</v>
      </c>
      <c r="E73">
        <v>1.293384E-2</v>
      </c>
      <c r="F73">
        <v>1.2355319999999999E-2</v>
      </c>
      <c r="G73">
        <v>1.2374895E-2</v>
      </c>
      <c r="H73">
        <v>1.2374625E-2</v>
      </c>
      <c r="I73">
        <v>1.2469124999999999E-2</v>
      </c>
      <c r="J73">
        <v>1.2450225000000001E-2</v>
      </c>
      <c r="K73">
        <v>1.5530520000000001E-2</v>
      </c>
      <c r="L73">
        <v>1.9077795000000002E-2</v>
      </c>
      <c r="M73">
        <v>2.0250975000000001E-2</v>
      </c>
      <c r="N73">
        <v>2.0900684999999999E-2</v>
      </c>
      <c r="O73">
        <v>2.2792949999999999E-2</v>
      </c>
      <c r="P73">
        <v>2.3270385000000001E-2</v>
      </c>
      <c r="Q73">
        <v>2.0202435000000001E-2</v>
      </c>
      <c r="R73">
        <v>2.2366065000000001E-2</v>
      </c>
      <c r="S73">
        <v>2.3346075000000001E-2</v>
      </c>
      <c r="T73">
        <v>2.2790415000000001E-2</v>
      </c>
      <c r="U73">
        <v>2.1377670000000001E-2</v>
      </c>
      <c r="V73">
        <v>1.7512110000000001E-2</v>
      </c>
      <c r="W73">
        <v>1.8310185E-2</v>
      </c>
      <c r="X73">
        <v>1.7533034999999999E-2</v>
      </c>
      <c r="Y73">
        <v>1.6216499999999998E-2</v>
      </c>
      <c r="Z73">
        <v>1.4102715E-2</v>
      </c>
      <c r="AA73">
        <v>1.3272855E-2</v>
      </c>
      <c r="AB73">
        <v>1.345878E-2</v>
      </c>
      <c r="AC73">
        <f t="shared" si="2"/>
        <v>1.7386257500000002E-2</v>
      </c>
      <c r="AD73">
        <f t="shared" si="3"/>
        <v>1.75225725E-2</v>
      </c>
    </row>
    <row r="74" spans="1:30" x14ac:dyDescent="0.25">
      <c r="A74" t="s">
        <v>408</v>
      </c>
      <c r="B74" t="s">
        <v>435</v>
      </c>
      <c r="C74">
        <v>34</v>
      </c>
      <c r="D74" t="s">
        <v>2</v>
      </c>
      <c r="E74">
        <v>2.8867985699999998</v>
      </c>
      <c r="F74">
        <v>2.83990198</v>
      </c>
      <c r="G74">
        <v>2.8169624500000001</v>
      </c>
      <c r="H74">
        <v>2.7794515799999999</v>
      </c>
      <c r="I74">
        <v>2.7884677299999998</v>
      </c>
      <c r="J74">
        <v>2.8289283699999999</v>
      </c>
      <c r="K74">
        <v>2.9228990600000002</v>
      </c>
      <c r="L74">
        <v>3.1811964800000001</v>
      </c>
      <c r="M74">
        <v>3.2541521200000001</v>
      </c>
      <c r="N74">
        <v>3.2610410600000002</v>
      </c>
      <c r="O74">
        <v>3.44212842</v>
      </c>
      <c r="P74">
        <v>3.4845300300000002</v>
      </c>
      <c r="Q74">
        <v>3.1980803</v>
      </c>
      <c r="R74">
        <v>3.5304100599999999</v>
      </c>
      <c r="S74">
        <v>3.6601029399999998</v>
      </c>
      <c r="T74">
        <v>3.6616258400000001</v>
      </c>
      <c r="U74">
        <v>3.5782320300000001</v>
      </c>
      <c r="V74">
        <v>3.2878683500000001</v>
      </c>
      <c r="W74">
        <v>3.5445613900000001</v>
      </c>
      <c r="X74">
        <v>3.5749495499999999</v>
      </c>
      <c r="Y74">
        <v>3.6665631400000001</v>
      </c>
      <c r="Z74">
        <v>3.4437269800000001</v>
      </c>
      <c r="AA74">
        <v>3.2242091899999998</v>
      </c>
      <c r="AB74">
        <v>3.0908797799999999</v>
      </c>
      <c r="AC74">
        <f t="shared" si="2"/>
        <v>3.2478194749999996</v>
      </c>
      <c r="AD74">
        <f t="shared" si="3"/>
        <v>3.2575965900000003</v>
      </c>
    </row>
    <row r="75" spans="1:30" x14ac:dyDescent="0.25">
      <c r="A75" t="s">
        <v>408</v>
      </c>
      <c r="B75" t="s">
        <v>435</v>
      </c>
      <c r="C75">
        <v>34</v>
      </c>
      <c r="D75" t="s">
        <v>3</v>
      </c>
      <c r="E75">
        <v>0.38574812739999997</v>
      </c>
      <c r="F75">
        <v>0.64950264710000005</v>
      </c>
      <c r="G75">
        <v>0.49933883600000001</v>
      </c>
      <c r="H75">
        <v>0.45028465680000002</v>
      </c>
      <c r="I75">
        <v>0.44761218400000002</v>
      </c>
      <c r="J75">
        <v>0.36272081319999999</v>
      </c>
      <c r="K75">
        <v>0.43694871349999997</v>
      </c>
      <c r="L75">
        <v>0.47136516979999998</v>
      </c>
      <c r="M75">
        <v>0.45824814889999999</v>
      </c>
      <c r="N75">
        <v>0.41838609129999998</v>
      </c>
      <c r="O75">
        <v>0.41208244690000001</v>
      </c>
      <c r="P75">
        <v>0.26733092320000001</v>
      </c>
      <c r="Q75">
        <v>0.12800002469999999</v>
      </c>
      <c r="R75">
        <v>0.29013915890000003</v>
      </c>
      <c r="S75">
        <v>0.3140099428</v>
      </c>
      <c r="T75">
        <v>0.27012070420000001</v>
      </c>
      <c r="U75">
        <v>6.9762166599999995E-2</v>
      </c>
      <c r="V75">
        <v>0.1248331821</v>
      </c>
      <c r="W75">
        <v>0.1686493731</v>
      </c>
      <c r="X75">
        <v>0.23698508830000001</v>
      </c>
      <c r="Y75">
        <v>0.29078205309999999</v>
      </c>
      <c r="Z75">
        <v>0.27960890109999997</v>
      </c>
      <c r="AA75">
        <v>0.22095771080000001</v>
      </c>
      <c r="AB75">
        <v>0.36391720900000002</v>
      </c>
      <c r="AC75">
        <f t="shared" si="2"/>
        <v>0.33405559470000007</v>
      </c>
      <c r="AD75">
        <f t="shared" si="3"/>
        <v>0.33836537799999999</v>
      </c>
    </row>
    <row r="76" spans="1:30" x14ac:dyDescent="0.25">
      <c r="A76" t="s">
        <v>408</v>
      </c>
      <c r="B76" t="s">
        <v>435</v>
      </c>
      <c r="C76">
        <v>34</v>
      </c>
      <c r="D76" t="s">
        <v>4</v>
      </c>
      <c r="E76">
        <v>8.9282429999999996E-2</v>
      </c>
      <c r="F76">
        <v>8.7832019999999997E-2</v>
      </c>
      <c r="G76">
        <v>8.7122550000000007E-2</v>
      </c>
      <c r="H76">
        <v>8.5962419999999998E-2</v>
      </c>
      <c r="I76">
        <v>8.6241269999999995E-2</v>
      </c>
      <c r="J76">
        <v>8.7492630000000002E-2</v>
      </c>
      <c r="K76">
        <v>9.0398939999999997E-2</v>
      </c>
      <c r="L76">
        <v>9.8387520000000006E-2</v>
      </c>
      <c r="M76">
        <v>0.10064388000000001</v>
      </c>
      <c r="N76">
        <v>0.10085694000000001</v>
      </c>
      <c r="O76">
        <v>0.10645758</v>
      </c>
      <c r="P76">
        <v>0.10776897000000001</v>
      </c>
      <c r="Q76">
        <v>9.8909700000000003E-2</v>
      </c>
      <c r="R76">
        <v>0.10918794</v>
      </c>
      <c r="S76">
        <v>0.11319906</v>
      </c>
      <c r="T76">
        <v>0.11324616</v>
      </c>
      <c r="U76">
        <v>0.11066697</v>
      </c>
      <c r="V76">
        <v>0.10168665</v>
      </c>
      <c r="W76">
        <v>0.10962561</v>
      </c>
      <c r="X76">
        <v>0.11056545</v>
      </c>
      <c r="Y76">
        <v>0.11339886</v>
      </c>
      <c r="Z76">
        <v>0.10650701999999999</v>
      </c>
      <c r="AA76">
        <v>9.9717810000000004E-2</v>
      </c>
      <c r="AB76">
        <v>9.5594219999999994E-2</v>
      </c>
      <c r="AC76">
        <f t="shared" si="2"/>
        <v>0.10044802500000001</v>
      </c>
      <c r="AD76">
        <f t="shared" si="3"/>
        <v>0.10075041000000001</v>
      </c>
    </row>
    <row r="77" spans="1:30" x14ac:dyDescent="0.25">
      <c r="A77" t="s">
        <v>408</v>
      </c>
      <c r="B77" t="s">
        <v>436</v>
      </c>
      <c r="C77">
        <v>34</v>
      </c>
      <c r="D77" t="s">
        <v>2</v>
      </c>
      <c r="E77">
        <v>1.6895605499999999</v>
      </c>
      <c r="F77">
        <v>1.6822001900000001</v>
      </c>
      <c r="G77">
        <v>1.7105862700000001</v>
      </c>
      <c r="H77">
        <v>1.7444926199999999</v>
      </c>
      <c r="I77">
        <v>1.76369183</v>
      </c>
      <c r="J77">
        <v>1.85838032</v>
      </c>
      <c r="K77">
        <v>1.7835593700000001</v>
      </c>
      <c r="L77">
        <v>1.5231522</v>
      </c>
      <c r="M77">
        <v>1.2982741900000001</v>
      </c>
      <c r="N77">
        <v>1.1847871000000001</v>
      </c>
      <c r="O77">
        <v>1.0118749</v>
      </c>
      <c r="P77">
        <v>0.97056357000000004</v>
      </c>
      <c r="Q77">
        <v>0.99903016</v>
      </c>
      <c r="R77">
        <v>0.97948272000000003</v>
      </c>
      <c r="S77">
        <v>1.0276199399999999</v>
      </c>
      <c r="T77">
        <v>1.03034176</v>
      </c>
      <c r="U77">
        <v>1.11129408</v>
      </c>
      <c r="V77">
        <v>1.2727234199999999</v>
      </c>
      <c r="W77">
        <v>1.5267120999999999</v>
      </c>
      <c r="X77">
        <v>1.5657274400000001</v>
      </c>
      <c r="Y77">
        <v>1.5051014700000001</v>
      </c>
      <c r="Z77">
        <v>1.50407812</v>
      </c>
      <c r="AA77">
        <v>1.59943591</v>
      </c>
      <c r="AB77">
        <v>1.7108627199999999</v>
      </c>
      <c r="AC77">
        <f t="shared" si="2"/>
        <v>1.4188972062499998</v>
      </c>
      <c r="AD77">
        <f t="shared" si="3"/>
        <v>1.5141268349999999</v>
      </c>
    </row>
    <row r="78" spans="1:30" x14ac:dyDescent="0.25">
      <c r="A78" t="s">
        <v>408</v>
      </c>
      <c r="B78" t="s">
        <v>436</v>
      </c>
      <c r="C78">
        <v>34</v>
      </c>
      <c r="D78" t="s">
        <v>3</v>
      </c>
      <c r="E78">
        <v>4.2079369899999997E-2</v>
      </c>
      <c r="F78">
        <v>0.68238621860000004</v>
      </c>
      <c r="G78">
        <v>0.68245231920000005</v>
      </c>
      <c r="H78">
        <v>0.83821466659999999</v>
      </c>
      <c r="I78">
        <v>4.3925647399999997E-2</v>
      </c>
      <c r="J78">
        <v>0.92475613189999994</v>
      </c>
      <c r="K78">
        <v>0.38141082450000002</v>
      </c>
      <c r="L78">
        <v>0.29171103939999998</v>
      </c>
      <c r="M78">
        <v>0.61552082890000004</v>
      </c>
      <c r="N78">
        <v>0.17497348200000001</v>
      </c>
      <c r="O78">
        <v>0.1324635233</v>
      </c>
      <c r="P78">
        <v>0.1179202399</v>
      </c>
      <c r="Q78">
        <v>0.46238951919999999</v>
      </c>
      <c r="R78">
        <v>0.39732816189999998</v>
      </c>
      <c r="S78">
        <v>0.40997734149999998</v>
      </c>
      <c r="T78">
        <v>0.28809996139999999</v>
      </c>
      <c r="U78">
        <v>0.24559126479999999</v>
      </c>
      <c r="V78">
        <v>0.42367426860000001</v>
      </c>
      <c r="W78">
        <v>0.71195179109999995</v>
      </c>
      <c r="X78">
        <v>0.72309379689999997</v>
      </c>
      <c r="Y78">
        <v>0.27556027020000001</v>
      </c>
      <c r="Z78">
        <v>0.2845573991</v>
      </c>
      <c r="AA78">
        <v>0.29919443039999999</v>
      </c>
      <c r="AB78">
        <v>0.32832039860000001</v>
      </c>
      <c r="AC78">
        <f t="shared" si="2"/>
        <v>0.40739803730416679</v>
      </c>
      <c r="AD78">
        <f t="shared" si="3"/>
        <v>0.35486561155000002</v>
      </c>
    </row>
    <row r="79" spans="1:30" x14ac:dyDescent="0.25">
      <c r="A79" t="s">
        <v>408</v>
      </c>
      <c r="B79" t="s">
        <v>436</v>
      </c>
      <c r="C79">
        <v>34</v>
      </c>
      <c r="D79" t="s">
        <v>4</v>
      </c>
      <c r="E79">
        <v>5.2254450000000001E-2</v>
      </c>
      <c r="F79">
        <v>5.202681E-2</v>
      </c>
      <c r="G79">
        <v>5.2904729999999997E-2</v>
      </c>
      <c r="H79">
        <v>5.3953380000000002E-2</v>
      </c>
      <c r="I79">
        <v>5.4547169999999999E-2</v>
      </c>
      <c r="J79">
        <v>5.7475680000000001E-2</v>
      </c>
      <c r="K79">
        <v>5.5161630000000003E-2</v>
      </c>
      <c r="L79">
        <v>4.7107799999999998E-2</v>
      </c>
      <c r="M79">
        <v>4.0152809999999997E-2</v>
      </c>
      <c r="N79">
        <v>3.6642899999999999E-2</v>
      </c>
      <c r="O79">
        <v>3.1295099999999999E-2</v>
      </c>
      <c r="P79">
        <v>3.0017430000000001E-2</v>
      </c>
      <c r="Q79">
        <v>3.0897839999999999E-2</v>
      </c>
      <c r="R79">
        <v>3.0293279999999999E-2</v>
      </c>
      <c r="S79">
        <v>3.1782060000000001E-2</v>
      </c>
      <c r="T79">
        <v>3.1866239999999997E-2</v>
      </c>
      <c r="U79">
        <v>3.4369919999999998E-2</v>
      </c>
      <c r="V79">
        <v>3.9362580000000001E-2</v>
      </c>
      <c r="W79">
        <v>4.72179E-2</v>
      </c>
      <c r="X79">
        <v>4.8424559999999998E-2</v>
      </c>
      <c r="Y79">
        <v>4.6549529999999999E-2</v>
      </c>
      <c r="Z79">
        <v>4.6517879999999998E-2</v>
      </c>
      <c r="AA79">
        <v>4.9467089999999998E-2</v>
      </c>
      <c r="AB79">
        <v>5.291328E-2</v>
      </c>
      <c r="AC79">
        <f t="shared" si="2"/>
        <v>4.3883418750000007E-2</v>
      </c>
      <c r="AD79">
        <f t="shared" si="3"/>
        <v>4.6828664999999998E-2</v>
      </c>
    </row>
    <row r="80" spans="1:30" x14ac:dyDescent="0.25">
      <c r="A80" t="s">
        <v>408</v>
      </c>
      <c r="B80" t="s">
        <v>444</v>
      </c>
      <c r="C80">
        <v>115</v>
      </c>
      <c r="D80" t="s">
        <v>2</v>
      </c>
      <c r="E80">
        <v>16.781922725000001</v>
      </c>
      <c r="F80">
        <v>16.447418695</v>
      </c>
      <c r="G80">
        <v>17.059523304999999</v>
      </c>
      <c r="H80">
        <v>16.807289430000001</v>
      </c>
      <c r="I80">
        <v>16.696511404999999</v>
      </c>
      <c r="J80">
        <v>16.457684364999999</v>
      </c>
      <c r="K80">
        <v>17.160123325000001</v>
      </c>
      <c r="L80">
        <v>15.783825179999999</v>
      </c>
      <c r="M80">
        <v>14.662348505000001</v>
      </c>
      <c r="N80">
        <v>14.784806659999999</v>
      </c>
      <c r="O80">
        <v>15.005981515</v>
      </c>
      <c r="P80">
        <v>15.295956650000001</v>
      </c>
      <c r="Q80">
        <v>15.58636617</v>
      </c>
      <c r="R80">
        <v>15.79942758</v>
      </c>
      <c r="S80">
        <v>15.617237055</v>
      </c>
      <c r="T80">
        <v>16.353011370000001</v>
      </c>
      <c r="U80">
        <v>17.294276385</v>
      </c>
      <c r="V80">
        <v>17.600328690000001</v>
      </c>
      <c r="W80">
        <v>18.77782921</v>
      </c>
      <c r="X80">
        <v>19.384734989999998</v>
      </c>
      <c r="Y80">
        <v>19.738654355000001</v>
      </c>
      <c r="Z80">
        <v>19.247216184999999</v>
      </c>
      <c r="AA80">
        <v>18.013806079999998</v>
      </c>
      <c r="AB80">
        <v>16.937353755</v>
      </c>
      <c r="AC80">
        <f t="shared" si="2"/>
        <v>16.803901399375</v>
      </c>
      <c r="AD80">
        <f t="shared" si="3"/>
        <v>16.739217064999998</v>
      </c>
    </row>
    <row r="81" spans="1:30" x14ac:dyDescent="0.25">
      <c r="A81" t="s">
        <v>408</v>
      </c>
      <c r="B81" t="s">
        <v>444</v>
      </c>
      <c r="C81">
        <v>115</v>
      </c>
      <c r="D81" t="s">
        <v>3</v>
      </c>
      <c r="E81">
        <v>5.0546810757999996</v>
      </c>
      <c r="F81">
        <v>5.0686379221999998</v>
      </c>
      <c r="G81">
        <v>5.0968764202000001</v>
      </c>
      <c r="H81">
        <v>4.8320500255000001</v>
      </c>
      <c r="I81">
        <v>4.7792310097000001</v>
      </c>
      <c r="J81">
        <v>4.8699270344999999</v>
      </c>
      <c r="K81">
        <v>4.5009887453999999</v>
      </c>
      <c r="L81">
        <v>3.5308949678000001</v>
      </c>
      <c r="M81">
        <v>3.3967285330000001</v>
      </c>
      <c r="N81">
        <v>3.6996007140999998</v>
      </c>
      <c r="O81">
        <v>3.5423621087999999</v>
      </c>
      <c r="P81">
        <v>3.8860611747</v>
      </c>
      <c r="Q81">
        <v>4.351327167</v>
      </c>
      <c r="R81">
        <v>4.1719657454999997</v>
      </c>
      <c r="S81">
        <v>4.2524711416000001</v>
      </c>
      <c r="T81">
        <v>4.2450143433000003</v>
      </c>
      <c r="U81">
        <v>4.9203482133999996</v>
      </c>
      <c r="V81">
        <v>6.0686549932</v>
      </c>
      <c r="W81">
        <v>6.7523388884999997</v>
      </c>
      <c r="X81">
        <v>6.5842739046999998</v>
      </c>
      <c r="Y81">
        <v>6.1421370436</v>
      </c>
      <c r="Z81">
        <v>5.7884823206</v>
      </c>
      <c r="AA81">
        <v>5.3020268569000004</v>
      </c>
      <c r="AB81">
        <v>4.9130941321000003</v>
      </c>
      <c r="AC81">
        <f t="shared" si="2"/>
        <v>4.822923936754167</v>
      </c>
      <c r="AD81">
        <f t="shared" si="3"/>
        <v>4.8509885300000004</v>
      </c>
    </row>
    <row r="82" spans="1:30" x14ac:dyDescent="0.25">
      <c r="A82" t="s">
        <v>408</v>
      </c>
      <c r="B82" t="s">
        <v>444</v>
      </c>
      <c r="C82">
        <v>115</v>
      </c>
      <c r="D82" t="s">
        <v>4</v>
      </c>
      <c r="E82">
        <v>0.25556227500000001</v>
      </c>
      <c r="F82">
        <v>0.250468305</v>
      </c>
      <c r="G82">
        <v>0.25978969499999999</v>
      </c>
      <c r="H82">
        <v>0.25594856999999999</v>
      </c>
      <c r="I82">
        <v>0.25426159500000001</v>
      </c>
      <c r="J82">
        <v>0.25062463499999998</v>
      </c>
      <c r="K82">
        <v>0.26132167499999998</v>
      </c>
      <c r="L82">
        <v>0.24036282</v>
      </c>
      <c r="M82">
        <v>0.223284495</v>
      </c>
      <c r="N82">
        <v>0.22514934</v>
      </c>
      <c r="O82">
        <v>0.22851748499999999</v>
      </c>
      <c r="P82">
        <v>0.23293335000000001</v>
      </c>
      <c r="Q82">
        <v>0.23735582999999999</v>
      </c>
      <c r="R82">
        <v>0.24060042000000001</v>
      </c>
      <c r="S82">
        <v>0.23782594500000001</v>
      </c>
      <c r="T82">
        <v>0.24903063</v>
      </c>
      <c r="U82">
        <v>0.26336461500000002</v>
      </c>
      <c r="V82">
        <v>0.26802531000000002</v>
      </c>
      <c r="W82">
        <v>0.28595679000000002</v>
      </c>
      <c r="X82">
        <v>0.29519900999999998</v>
      </c>
      <c r="Y82">
        <v>0.30058864499999999</v>
      </c>
      <c r="Z82">
        <v>0.29310481500000002</v>
      </c>
      <c r="AA82">
        <v>0.27432192</v>
      </c>
      <c r="AB82">
        <v>0.25792924499999997</v>
      </c>
      <c r="AC82">
        <f t="shared" si="2"/>
        <v>0.25589697562500002</v>
      </c>
      <c r="AD82">
        <f t="shared" si="3"/>
        <v>0.25491193499999998</v>
      </c>
    </row>
    <row r="83" spans="1:30" x14ac:dyDescent="0.25">
      <c r="A83" t="s">
        <v>408</v>
      </c>
      <c r="B83" t="s">
        <v>446</v>
      </c>
      <c r="C83">
        <v>220</v>
      </c>
      <c r="D83" t="s">
        <v>2</v>
      </c>
      <c r="E83">
        <v>1.447667</v>
      </c>
      <c r="F83">
        <v>1.3700110000000001</v>
      </c>
      <c r="G83">
        <v>1.337153</v>
      </c>
      <c r="H83">
        <v>1.300711</v>
      </c>
      <c r="I83">
        <v>1.4568160000000001</v>
      </c>
      <c r="J83">
        <v>1.941438</v>
      </c>
      <c r="K83">
        <v>2.3607550000000002</v>
      </c>
      <c r="L83">
        <v>2.1844579999999998</v>
      </c>
      <c r="M83">
        <v>2.0105499999999998</v>
      </c>
      <c r="N83">
        <v>2.033741</v>
      </c>
      <c r="O83">
        <v>2.2250269999999999</v>
      </c>
      <c r="P83">
        <v>2.426485</v>
      </c>
      <c r="Q83">
        <v>2.5352079999999999</v>
      </c>
      <c r="R83">
        <v>2.4379330000000001</v>
      </c>
      <c r="S83">
        <v>2.3247990000000001</v>
      </c>
      <c r="T83">
        <v>2.2353429999999999</v>
      </c>
      <c r="U83">
        <v>2.4121049999999999</v>
      </c>
      <c r="V83">
        <v>2.6453350000000002</v>
      </c>
      <c r="W83">
        <v>3.1203850000000002</v>
      </c>
      <c r="X83">
        <v>3.021566</v>
      </c>
      <c r="Y83">
        <v>2.6988620000000001</v>
      </c>
      <c r="Z83">
        <v>2.196094</v>
      </c>
      <c r="AA83">
        <v>1.756653</v>
      </c>
      <c r="AB83">
        <v>1.5579000000000001</v>
      </c>
      <c r="AC83">
        <f t="shared" si="2"/>
        <v>2.1265414583333335</v>
      </c>
      <c r="AD83">
        <f t="shared" si="3"/>
        <v>2.2105604999999997</v>
      </c>
    </row>
    <row r="84" spans="1:30" x14ac:dyDescent="0.25">
      <c r="A84" t="s">
        <v>408</v>
      </c>
      <c r="B84" t="s">
        <v>446</v>
      </c>
      <c r="C84">
        <v>220</v>
      </c>
      <c r="D84" t="s">
        <v>3</v>
      </c>
      <c r="E84">
        <v>0.44790438469999999</v>
      </c>
      <c r="F84">
        <v>0.43259834879999998</v>
      </c>
      <c r="G84">
        <v>0.42197879329999999</v>
      </c>
      <c r="H84">
        <v>0.3422078522</v>
      </c>
      <c r="I84">
        <v>0.34503727579999999</v>
      </c>
      <c r="J84">
        <v>0.32252671150000001</v>
      </c>
      <c r="K84">
        <v>0.32722211540000001</v>
      </c>
      <c r="L84">
        <v>0.40356044639999999</v>
      </c>
      <c r="M84">
        <v>0.52208163559999998</v>
      </c>
      <c r="N84">
        <v>0.4729443512</v>
      </c>
      <c r="O84">
        <v>0.55579357250000005</v>
      </c>
      <c r="P84">
        <v>0.49373355660000001</v>
      </c>
      <c r="Q84">
        <v>0.50610885029999997</v>
      </c>
      <c r="R84">
        <v>0.58108520220000004</v>
      </c>
      <c r="S84">
        <v>0.57467692930000003</v>
      </c>
      <c r="T84">
        <v>0.53187986610000004</v>
      </c>
      <c r="U84">
        <v>0.51437490220000004</v>
      </c>
      <c r="V84">
        <v>0.51300829889999999</v>
      </c>
      <c r="W84">
        <v>0.45157615280000002</v>
      </c>
      <c r="X84">
        <v>0.42394590469999999</v>
      </c>
      <c r="Y84">
        <v>0.45122426830000001</v>
      </c>
      <c r="Z84">
        <v>0.44731295700000001</v>
      </c>
      <c r="AA84">
        <v>0.48893341620000003</v>
      </c>
      <c r="AB84">
        <v>0.47170605380000002</v>
      </c>
      <c r="AC84">
        <f t="shared" si="2"/>
        <v>0.46014257690833332</v>
      </c>
      <c r="AD84">
        <f t="shared" si="3"/>
        <v>0.46164110330000002</v>
      </c>
    </row>
    <row r="85" spans="1:30" x14ac:dyDescent="0.25">
      <c r="A85" t="s">
        <v>408</v>
      </c>
      <c r="B85" t="s">
        <v>446</v>
      </c>
      <c r="C85">
        <v>220</v>
      </c>
      <c r="D85" t="s">
        <v>4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f t="shared" si="2"/>
        <v>0</v>
      </c>
      <c r="AD85">
        <f t="shared" si="3"/>
        <v>0</v>
      </c>
    </row>
    <row r="86" spans="1:30" x14ac:dyDescent="0.25">
      <c r="A86" t="s">
        <v>408</v>
      </c>
      <c r="B86" t="s">
        <v>448</v>
      </c>
      <c r="C86">
        <v>115</v>
      </c>
      <c r="D86" t="s">
        <v>2</v>
      </c>
      <c r="E86">
        <v>1.53105248</v>
      </c>
      <c r="F86">
        <v>1.4432889799999999</v>
      </c>
      <c r="G86">
        <v>1.43980602</v>
      </c>
      <c r="H86">
        <v>1.403090145</v>
      </c>
      <c r="I86">
        <v>1.4294861750000001</v>
      </c>
      <c r="J86">
        <v>1.458736735</v>
      </c>
      <c r="K86">
        <v>1.4797645150000001</v>
      </c>
      <c r="L86">
        <v>1.5381454649999999</v>
      </c>
      <c r="M86">
        <v>1.66226827</v>
      </c>
      <c r="N86">
        <v>1.90978892</v>
      </c>
      <c r="O86">
        <v>2.022377375</v>
      </c>
      <c r="P86">
        <v>2.1007449600000001</v>
      </c>
      <c r="Q86">
        <v>2.1910359700000002</v>
      </c>
      <c r="R86">
        <v>2.1503830499999999</v>
      </c>
      <c r="S86">
        <v>2.1288913350000001</v>
      </c>
      <c r="T86">
        <v>2.0561284</v>
      </c>
      <c r="U86">
        <v>2.076808475</v>
      </c>
      <c r="V86">
        <v>2.0810498850000001</v>
      </c>
      <c r="W86">
        <v>2.064517645</v>
      </c>
      <c r="X86">
        <v>1.973718375</v>
      </c>
      <c r="Y86">
        <v>1.8922756199999999</v>
      </c>
      <c r="Z86">
        <v>1.76231275</v>
      </c>
      <c r="AA86">
        <v>1.68206086</v>
      </c>
      <c r="AB86">
        <v>1.6253317549999999</v>
      </c>
      <c r="AC86">
        <f t="shared" si="2"/>
        <v>1.7959610066666665</v>
      </c>
      <c r="AD86">
        <f t="shared" si="3"/>
        <v>1.827294185</v>
      </c>
    </row>
    <row r="87" spans="1:30" x14ac:dyDescent="0.25">
      <c r="A87" t="s">
        <v>408</v>
      </c>
      <c r="B87" t="s">
        <v>448</v>
      </c>
      <c r="C87">
        <v>115</v>
      </c>
      <c r="D87" t="s">
        <v>3</v>
      </c>
      <c r="E87">
        <v>4.9394234000000002E-2</v>
      </c>
      <c r="F87">
        <v>0.1612065993</v>
      </c>
      <c r="G87">
        <v>0.30245797250000001</v>
      </c>
      <c r="H87">
        <v>5.7201833899999999E-2</v>
      </c>
      <c r="I87">
        <v>0.1998308335</v>
      </c>
      <c r="J87">
        <v>0.48343778980000002</v>
      </c>
      <c r="K87">
        <v>0.1048318142</v>
      </c>
      <c r="L87">
        <v>9.6444990499999994E-2</v>
      </c>
      <c r="M87">
        <v>0.43241896759999998</v>
      </c>
      <c r="N87">
        <v>0.42418558239999998</v>
      </c>
      <c r="O87">
        <v>0.38001499039999997</v>
      </c>
      <c r="P87">
        <v>0.1509014652</v>
      </c>
      <c r="Q87">
        <v>7.2698516199999993E-2</v>
      </c>
      <c r="R87">
        <v>0.15922193630000001</v>
      </c>
      <c r="S87">
        <v>0.14899080170000001</v>
      </c>
      <c r="T87">
        <v>0.38288486090000001</v>
      </c>
      <c r="U87">
        <v>0.32645326200000002</v>
      </c>
      <c r="V87">
        <v>0.16766905330000001</v>
      </c>
      <c r="W87">
        <v>0.3596884601</v>
      </c>
      <c r="X87">
        <v>9.3492046199999998E-2</v>
      </c>
      <c r="Y87">
        <v>0.28729584359999999</v>
      </c>
      <c r="Z87">
        <v>0.22764518659999999</v>
      </c>
      <c r="AA87">
        <v>4.5769608400000002E-2</v>
      </c>
      <c r="AB87">
        <v>0.26163793699999999</v>
      </c>
      <c r="AC87">
        <f t="shared" si="2"/>
        <v>0.22399060773333332</v>
      </c>
      <c r="AD87">
        <f t="shared" si="3"/>
        <v>0.1837499434</v>
      </c>
    </row>
    <row r="88" spans="1:30" x14ac:dyDescent="0.25">
      <c r="A88" t="s">
        <v>408</v>
      </c>
      <c r="B88" t="s">
        <v>448</v>
      </c>
      <c r="C88">
        <v>115</v>
      </c>
      <c r="D88" t="s">
        <v>4</v>
      </c>
      <c r="E88">
        <v>2.3315519999999999E-2</v>
      </c>
      <c r="F88">
        <v>2.1979019999999998E-2</v>
      </c>
      <c r="G88">
        <v>2.1925980000000001E-2</v>
      </c>
      <c r="H88">
        <v>2.1366855000000001E-2</v>
      </c>
      <c r="I88">
        <v>2.1768824999999999E-2</v>
      </c>
      <c r="J88">
        <v>2.2214265E-2</v>
      </c>
      <c r="K88">
        <v>2.2534485E-2</v>
      </c>
      <c r="L88">
        <v>2.3423534999999999E-2</v>
      </c>
      <c r="M88">
        <v>2.531373E-2</v>
      </c>
      <c r="N88">
        <v>2.9083080000000001E-2</v>
      </c>
      <c r="O88">
        <v>3.0797624999999999E-2</v>
      </c>
      <c r="P88">
        <v>3.1991039999999998E-2</v>
      </c>
      <c r="Q88">
        <v>3.3366029999999998E-2</v>
      </c>
      <c r="R88">
        <v>3.2746949999999997E-2</v>
      </c>
      <c r="S88">
        <v>3.2419665E-2</v>
      </c>
      <c r="T88">
        <v>3.1311600000000002E-2</v>
      </c>
      <c r="U88">
        <v>3.1626525000000003E-2</v>
      </c>
      <c r="V88">
        <v>3.1691114999999999E-2</v>
      </c>
      <c r="W88">
        <v>3.1439355000000002E-2</v>
      </c>
      <c r="X88">
        <v>3.0056625E-2</v>
      </c>
      <c r="Y88">
        <v>2.8816379999999999E-2</v>
      </c>
      <c r="Z88">
        <v>2.683725E-2</v>
      </c>
      <c r="AA88">
        <v>2.5615140000000002E-2</v>
      </c>
      <c r="AB88">
        <v>2.4751245000000002E-2</v>
      </c>
      <c r="AC88">
        <f t="shared" si="2"/>
        <v>2.7349659999999998E-2</v>
      </c>
      <c r="AD88">
        <f t="shared" si="3"/>
        <v>2.7826814999999998E-2</v>
      </c>
    </row>
    <row r="89" spans="1:30" x14ac:dyDescent="0.25">
      <c r="A89" t="s">
        <v>408</v>
      </c>
      <c r="B89" t="s">
        <v>452</v>
      </c>
      <c r="C89">
        <v>115</v>
      </c>
      <c r="D89" t="s">
        <v>2</v>
      </c>
      <c r="E89">
        <v>10.01291112</v>
      </c>
      <c r="F89">
        <v>10.053346355</v>
      </c>
      <c r="G89">
        <v>9.3805558950000005</v>
      </c>
      <c r="H89">
        <v>10.4933823</v>
      </c>
      <c r="I89">
        <v>9.8338814600000006</v>
      </c>
      <c r="J89">
        <v>10.261553685000001</v>
      </c>
      <c r="K89">
        <v>10.01554698</v>
      </c>
      <c r="L89">
        <v>8.9805995999999997</v>
      </c>
      <c r="M89">
        <v>8.1107204900000003</v>
      </c>
      <c r="N89">
        <v>7.5924341750000002</v>
      </c>
      <c r="O89">
        <v>6.9194408049999998</v>
      </c>
      <c r="P89">
        <v>7.3390448949999998</v>
      </c>
      <c r="Q89">
        <v>6.9572884449999997</v>
      </c>
      <c r="R89">
        <v>7.5077487999999999</v>
      </c>
      <c r="S89">
        <v>8.0453411149999994</v>
      </c>
      <c r="T89">
        <v>8.8999586350000008</v>
      </c>
      <c r="U89">
        <v>10.203894740000001</v>
      </c>
      <c r="V89">
        <v>11.405819320000001</v>
      </c>
      <c r="W89">
        <v>13.38456809</v>
      </c>
      <c r="X89">
        <v>11.932381605</v>
      </c>
      <c r="Y89">
        <v>13.414470720000001</v>
      </c>
      <c r="Z89">
        <v>12.166866765</v>
      </c>
      <c r="AA89">
        <v>11.542858430000001</v>
      </c>
      <c r="AB89">
        <v>10.92029509</v>
      </c>
      <c r="AC89">
        <f t="shared" si="2"/>
        <v>9.8072878964583321</v>
      </c>
      <c r="AD89">
        <f t="shared" si="3"/>
        <v>10.014229050000001</v>
      </c>
    </row>
    <row r="90" spans="1:30" x14ac:dyDescent="0.25">
      <c r="A90" t="s">
        <v>408</v>
      </c>
      <c r="B90" t="s">
        <v>452</v>
      </c>
      <c r="C90">
        <v>115</v>
      </c>
      <c r="D90" t="s">
        <v>3</v>
      </c>
      <c r="E90">
        <v>1.2407361797000001</v>
      </c>
      <c r="F90">
        <v>1.1599068401999999</v>
      </c>
      <c r="G90">
        <v>1.1044576183999999</v>
      </c>
      <c r="H90">
        <v>1.2272661482</v>
      </c>
      <c r="I90">
        <v>1.2054941196</v>
      </c>
      <c r="J90">
        <v>0.68953026640000004</v>
      </c>
      <c r="K90">
        <v>0.91086196689999999</v>
      </c>
      <c r="L90">
        <v>0.84234114090000001</v>
      </c>
      <c r="M90">
        <v>0.84632226610000005</v>
      </c>
      <c r="N90">
        <v>0.72836115339999996</v>
      </c>
      <c r="O90">
        <v>0.72403622820000002</v>
      </c>
      <c r="P90">
        <v>0.67637673649999996</v>
      </c>
      <c r="Q90">
        <v>0.71159720250000003</v>
      </c>
      <c r="R90">
        <v>0.7328250275</v>
      </c>
      <c r="S90">
        <v>0.66217709260000002</v>
      </c>
      <c r="T90">
        <v>0.82898928940000005</v>
      </c>
      <c r="U90">
        <v>0.77338739180000005</v>
      </c>
      <c r="V90">
        <v>0.95266189749999997</v>
      </c>
      <c r="W90">
        <v>1.1855636414999999</v>
      </c>
      <c r="X90">
        <v>1.5068979660999999</v>
      </c>
      <c r="Y90">
        <v>1.1508630368999999</v>
      </c>
      <c r="Z90">
        <v>1.0058723286</v>
      </c>
      <c r="AA90">
        <v>1.1771692862000001</v>
      </c>
      <c r="AB90">
        <v>1.4550214041</v>
      </c>
      <c r="AC90">
        <f t="shared" si="2"/>
        <v>0.9791131762166666</v>
      </c>
      <c r="AD90">
        <f t="shared" si="3"/>
        <v>0.93176193219999992</v>
      </c>
    </row>
    <row r="91" spans="1:30" x14ac:dyDescent="0.25">
      <c r="A91" t="s">
        <v>408</v>
      </c>
      <c r="B91" t="s">
        <v>452</v>
      </c>
      <c r="C91">
        <v>115</v>
      </c>
      <c r="D91" t="s">
        <v>4</v>
      </c>
      <c r="E91">
        <v>0.15248088000000001</v>
      </c>
      <c r="F91">
        <v>0.153096645</v>
      </c>
      <c r="G91">
        <v>0.14285110500000001</v>
      </c>
      <c r="H91">
        <v>0.15979769999999999</v>
      </c>
      <c r="I91">
        <v>0.14975453999999999</v>
      </c>
      <c r="J91">
        <v>0.15626731499999999</v>
      </c>
      <c r="K91">
        <v>0.15252102000000001</v>
      </c>
      <c r="L91">
        <v>0.1367604</v>
      </c>
      <c r="M91">
        <v>0.12351351000000001</v>
      </c>
      <c r="N91">
        <v>0.115620825</v>
      </c>
      <c r="O91">
        <v>0.105372195</v>
      </c>
      <c r="P91">
        <v>0.111762105</v>
      </c>
      <c r="Q91">
        <v>0.105948555</v>
      </c>
      <c r="R91">
        <v>0.11433119999999999</v>
      </c>
      <c r="S91">
        <v>0.12251788500000001</v>
      </c>
      <c r="T91">
        <v>0.13553236499999999</v>
      </c>
      <c r="U91">
        <v>0.15538926</v>
      </c>
      <c r="V91">
        <v>0.17369267999999999</v>
      </c>
      <c r="W91">
        <v>0.20382591</v>
      </c>
      <c r="X91">
        <v>0.181711395</v>
      </c>
      <c r="Y91">
        <v>0.20428128000000001</v>
      </c>
      <c r="Z91">
        <v>0.18528223499999999</v>
      </c>
      <c r="AA91">
        <v>0.17577957</v>
      </c>
      <c r="AB91">
        <v>0.16629890999999999</v>
      </c>
      <c r="AC91">
        <f t="shared" si="2"/>
        <v>0.14934956187499998</v>
      </c>
      <c r="AD91">
        <f t="shared" si="3"/>
        <v>0.15250095000000002</v>
      </c>
    </row>
    <row r="92" spans="1:30" x14ac:dyDescent="0.25">
      <c r="A92" t="s">
        <v>408</v>
      </c>
      <c r="B92" t="s">
        <v>453</v>
      </c>
      <c r="C92">
        <v>115</v>
      </c>
      <c r="D92" t="s">
        <v>2</v>
      </c>
      <c r="E92">
        <v>8.1438342200000005</v>
      </c>
      <c r="F92">
        <v>7.9146306299999996</v>
      </c>
      <c r="G92">
        <v>7.8753045049999999</v>
      </c>
      <c r="H92">
        <v>7.8849348499999996</v>
      </c>
      <c r="I92">
        <v>7.9881461050000002</v>
      </c>
      <c r="J92">
        <v>8.2120435000000001</v>
      </c>
      <c r="K92">
        <v>8.3072476900000005</v>
      </c>
      <c r="L92">
        <v>7.7906063249999997</v>
      </c>
      <c r="M92">
        <v>7.4716071800000003</v>
      </c>
      <c r="N92">
        <v>6.8653130850000004</v>
      </c>
      <c r="O92">
        <v>6.4086493549999997</v>
      </c>
      <c r="P92">
        <v>6.507186785</v>
      </c>
      <c r="Q92">
        <v>6.8192229649999998</v>
      </c>
      <c r="R92">
        <v>7.1762056799999998</v>
      </c>
      <c r="S92">
        <v>7.2852530599999996</v>
      </c>
      <c r="T92">
        <v>7.6682673550000002</v>
      </c>
      <c r="U92">
        <v>8.5213738849999991</v>
      </c>
      <c r="V92">
        <v>9.6339737400000001</v>
      </c>
      <c r="W92">
        <v>11.003027210000001</v>
      </c>
      <c r="X92">
        <v>10.87111601</v>
      </c>
      <c r="Y92">
        <v>10.587549285</v>
      </c>
      <c r="Z92">
        <v>9.9657040099999996</v>
      </c>
      <c r="AA92">
        <v>9.1661036649999996</v>
      </c>
      <c r="AB92">
        <v>8.8258265500000004</v>
      </c>
      <c r="AC92">
        <f t="shared" si="2"/>
        <v>8.2872136518749979</v>
      </c>
      <c r="AD92">
        <f t="shared" si="3"/>
        <v>7.9513883674999999</v>
      </c>
    </row>
    <row r="93" spans="1:30" x14ac:dyDescent="0.25">
      <c r="A93" t="s">
        <v>408</v>
      </c>
      <c r="B93" t="s">
        <v>453</v>
      </c>
      <c r="C93">
        <v>115</v>
      </c>
      <c r="D93" t="s">
        <v>3</v>
      </c>
      <c r="E93">
        <v>0.78383596649999998</v>
      </c>
      <c r="F93">
        <v>0.69924327870000003</v>
      </c>
      <c r="G93">
        <v>0.72925282540000003</v>
      </c>
      <c r="H93">
        <v>0.72495181490000005</v>
      </c>
      <c r="I93">
        <v>0.73795239479999997</v>
      </c>
      <c r="J93">
        <v>0.70646630310000003</v>
      </c>
      <c r="K93">
        <v>0.62852786039999997</v>
      </c>
      <c r="L93">
        <v>0.72311218040000003</v>
      </c>
      <c r="M93">
        <v>0.80188713680000001</v>
      </c>
      <c r="N93">
        <v>0.8808081391</v>
      </c>
      <c r="O93">
        <v>0.97343352780000003</v>
      </c>
      <c r="P93">
        <v>1.0181303003</v>
      </c>
      <c r="Q93">
        <v>1.0911037252</v>
      </c>
      <c r="R93">
        <v>1.0476965127</v>
      </c>
      <c r="S93">
        <v>1.0870670427</v>
      </c>
      <c r="T93">
        <v>0.99842306970000005</v>
      </c>
      <c r="U93">
        <v>1.0678113793999999</v>
      </c>
      <c r="V93">
        <v>1.0760562623000001</v>
      </c>
      <c r="W93">
        <v>1.2026047823999999</v>
      </c>
      <c r="X93">
        <v>1.4102935785999999</v>
      </c>
      <c r="Y93">
        <v>1.3075639385</v>
      </c>
      <c r="Z93">
        <v>1.1998522763999999</v>
      </c>
      <c r="AA93">
        <v>1.0902803511000001</v>
      </c>
      <c r="AB93">
        <v>0.9898083392</v>
      </c>
      <c r="AC93">
        <f t="shared" si="2"/>
        <v>0.95734012443333327</v>
      </c>
      <c r="AD93">
        <f t="shared" si="3"/>
        <v>0.99411570444999997</v>
      </c>
    </row>
    <row r="94" spans="1:30" x14ac:dyDescent="0.25">
      <c r="A94" t="s">
        <v>408</v>
      </c>
      <c r="B94" t="s">
        <v>453</v>
      </c>
      <c r="C94">
        <v>115</v>
      </c>
      <c r="D94" t="s">
        <v>4</v>
      </c>
      <c r="E94">
        <v>0.12401777999999999</v>
      </c>
      <c r="F94">
        <v>0.12052736999999999</v>
      </c>
      <c r="G94">
        <v>0.119928495</v>
      </c>
      <c r="H94">
        <v>0.12007515000000001</v>
      </c>
      <c r="I94">
        <v>0.121646895</v>
      </c>
      <c r="J94">
        <v>0.12505649999999999</v>
      </c>
      <c r="K94">
        <v>0.12650631000000001</v>
      </c>
      <c r="L94">
        <v>0.118638675</v>
      </c>
      <c r="M94">
        <v>0.11378082</v>
      </c>
      <c r="N94">
        <v>0.10454791500000001</v>
      </c>
      <c r="O94">
        <v>9.7593645000000007E-2</v>
      </c>
      <c r="P94">
        <v>9.9094214999999999E-2</v>
      </c>
      <c r="Q94">
        <v>0.103846035</v>
      </c>
      <c r="R94">
        <v>0.10928232</v>
      </c>
      <c r="S94">
        <v>0.11094294</v>
      </c>
      <c r="T94">
        <v>0.116775645</v>
      </c>
      <c r="U94">
        <v>0.12976711499999999</v>
      </c>
      <c r="V94">
        <v>0.14671026000000001</v>
      </c>
      <c r="W94">
        <v>0.16755879000000001</v>
      </c>
      <c r="X94">
        <v>0.16554999000000001</v>
      </c>
      <c r="Y94">
        <v>0.161231715</v>
      </c>
      <c r="Z94">
        <v>0.15176199000000001</v>
      </c>
      <c r="AA94">
        <v>0.139585335</v>
      </c>
      <c r="AB94">
        <v>0.13440345000000001</v>
      </c>
      <c r="AC94">
        <f t="shared" si="2"/>
        <v>0.12620122312500004</v>
      </c>
      <c r="AD94">
        <f t="shared" si="3"/>
        <v>0.1210871325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6BD84-F81B-4120-BE25-811141A433C5}">
  <dimension ref="A1:AD94"/>
  <sheetViews>
    <sheetView topLeftCell="A79" workbookViewId="0">
      <selection activeCell="A2" sqref="A2:AB94"/>
    </sheetView>
  </sheetViews>
  <sheetFormatPr baseColWidth="10" defaultRowHeight="15" x14ac:dyDescent="0.25"/>
  <sheetData>
    <row r="1" spans="1:30" x14ac:dyDescent="0.25">
      <c r="A1" t="s">
        <v>569</v>
      </c>
      <c r="B1" t="s">
        <v>570</v>
      </c>
      <c r="C1" t="s">
        <v>571</v>
      </c>
      <c r="D1" t="s">
        <v>572</v>
      </c>
      <c r="E1" t="s">
        <v>573</v>
      </c>
      <c r="F1" t="s">
        <v>574</v>
      </c>
      <c r="G1" t="s">
        <v>575</v>
      </c>
      <c r="H1" t="s">
        <v>576</v>
      </c>
      <c r="I1" t="s">
        <v>577</v>
      </c>
      <c r="J1" t="s">
        <v>578</v>
      </c>
      <c r="K1" t="s">
        <v>579</v>
      </c>
      <c r="L1" t="s">
        <v>580</v>
      </c>
      <c r="M1" t="s">
        <v>581</v>
      </c>
      <c r="N1" t="s">
        <v>582</v>
      </c>
      <c r="O1" t="s">
        <v>583</v>
      </c>
      <c r="P1" t="s">
        <v>584</v>
      </c>
      <c r="Q1" t="s">
        <v>585</v>
      </c>
      <c r="R1" t="s">
        <v>586</v>
      </c>
      <c r="S1" t="s">
        <v>587</v>
      </c>
      <c r="T1" t="s">
        <v>588</v>
      </c>
      <c r="U1" t="s">
        <v>589</v>
      </c>
      <c r="V1" t="s">
        <v>590</v>
      </c>
      <c r="W1" t="s">
        <v>591</v>
      </c>
      <c r="X1" t="s">
        <v>592</v>
      </c>
      <c r="Y1" t="s">
        <v>593</v>
      </c>
      <c r="Z1" t="s">
        <v>594</v>
      </c>
      <c r="AA1" t="s">
        <v>595</v>
      </c>
      <c r="AB1" t="s">
        <v>596</v>
      </c>
      <c r="AC1" t="s">
        <v>597</v>
      </c>
      <c r="AD1" t="s">
        <v>599</v>
      </c>
    </row>
    <row r="2" spans="1:30" x14ac:dyDescent="0.25">
      <c r="A2" t="s">
        <v>112</v>
      </c>
      <c r="B2" t="s">
        <v>113</v>
      </c>
      <c r="C2">
        <v>115</v>
      </c>
      <c r="D2" t="s">
        <v>2</v>
      </c>
      <c r="E2">
        <v>25.832878905000001</v>
      </c>
      <c r="F2">
        <v>23.639322320000002</v>
      </c>
      <c r="G2">
        <v>22.675904655</v>
      </c>
      <c r="H2">
        <v>21.663558099999999</v>
      </c>
      <c r="I2">
        <v>21.680258774999999</v>
      </c>
      <c r="J2">
        <v>22.297431209999999</v>
      </c>
      <c r="K2">
        <v>21.706462729999998</v>
      </c>
      <c r="L2">
        <v>22.362528874999999</v>
      </c>
      <c r="M2">
        <v>23.767079774999999</v>
      </c>
      <c r="N2">
        <v>26.566616239999998</v>
      </c>
      <c r="O2">
        <v>27.790903275000002</v>
      </c>
      <c r="P2">
        <v>29.755409929999999</v>
      </c>
      <c r="Q2">
        <v>31.096053045000001</v>
      </c>
      <c r="R2">
        <v>31.158896044999999</v>
      </c>
      <c r="S2">
        <v>30.245572525</v>
      </c>
      <c r="T2">
        <v>30.425022779999999</v>
      </c>
      <c r="U2">
        <v>30.013037664999999</v>
      </c>
      <c r="V2">
        <v>30.70360836</v>
      </c>
      <c r="W2">
        <v>35.671873499999997</v>
      </c>
      <c r="X2">
        <v>35.732480549999998</v>
      </c>
      <c r="Y2">
        <v>36.464749249999997</v>
      </c>
      <c r="Z2">
        <v>32.630078255000001</v>
      </c>
      <c r="AA2">
        <v>31.200563514999999</v>
      </c>
      <c r="AB2">
        <v>28.678573454999999</v>
      </c>
      <c r="AC2">
        <f>AVERAGE(E2:AB2)</f>
        <v>28.073285988958332</v>
      </c>
      <c r="AD2">
        <f>MEDIAN(E2:AB2)</f>
        <v>29.216991692499999</v>
      </c>
    </row>
    <row r="3" spans="1:30" x14ac:dyDescent="0.25">
      <c r="A3" t="s">
        <v>112</v>
      </c>
      <c r="B3" t="s">
        <v>113</v>
      </c>
      <c r="C3">
        <v>115</v>
      </c>
      <c r="D3" t="s">
        <v>3</v>
      </c>
      <c r="E3">
        <v>11.837430188100001</v>
      </c>
      <c r="F3">
        <v>11.449046341900001</v>
      </c>
      <c r="G3">
        <v>10.4237130494</v>
      </c>
      <c r="H3">
        <v>9.9520714567000006</v>
      </c>
      <c r="I3">
        <v>9.9534531254999994</v>
      </c>
      <c r="J3">
        <v>10.723239964699999</v>
      </c>
      <c r="K3">
        <v>10.4883156846</v>
      </c>
      <c r="L3">
        <v>10.5311564639</v>
      </c>
      <c r="M3">
        <v>10.8562738629</v>
      </c>
      <c r="N3">
        <v>11.909900069800001</v>
      </c>
      <c r="O3">
        <v>12.2621567825</v>
      </c>
      <c r="P3">
        <v>12.881174327</v>
      </c>
      <c r="Q3">
        <v>13.6375312694</v>
      </c>
      <c r="R3">
        <v>13.7482133882</v>
      </c>
      <c r="S3">
        <v>13.2735207313</v>
      </c>
      <c r="T3">
        <v>13.3522739662</v>
      </c>
      <c r="U3">
        <v>13.0285579962</v>
      </c>
      <c r="V3">
        <v>13.033358611600001</v>
      </c>
      <c r="W3">
        <v>13.7365544979</v>
      </c>
      <c r="X3">
        <v>13.1344201868</v>
      </c>
      <c r="Y3">
        <v>13.439545902300001</v>
      </c>
      <c r="Z3">
        <v>12.313418566799999</v>
      </c>
      <c r="AA3">
        <v>12.153825593600001</v>
      </c>
      <c r="AB3">
        <v>11.991100519</v>
      </c>
      <c r="AC3">
        <f t="shared" ref="AC3:AC66" si="0">AVERAGE(E3:AB3)</f>
        <v>12.087927189429164</v>
      </c>
      <c r="AD3">
        <f t="shared" ref="AD3:AD66" si="1">MEDIAN(E3:AB3)</f>
        <v>12.20799118805</v>
      </c>
    </row>
    <row r="4" spans="1:30" x14ac:dyDescent="0.25">
      <c r="A4" t="s">
        <v>112</v>
      </c>
      <c r="B4" t="s">
        <v>113</v>
      </c>
      <c r="C4">
        <v>115</v>
      </c>
      <c r="D4" t="s">
        <v>4</v>
      </c>
      <c r="E4">
        <v>0.393394095</v>
      </c>
      <c r="F4">
        <v>0.35998967999999998</v>
      </c>
      <c r="G4">
        <v>0.34531834500000003</v>
      </c>
      <c r="H4">
        <v>0.32990190000000003</v>
      </c>
      <c r="I4">
        <v>0.33015622500000003</v>
      </c>
      <c r="J4">
        <v>0.33955479</v>
      </c>
      <c r="K4">
        <v>0.33055527000000001</v>
      </c>
      <c r="L4">
        <v>0.34054612499999998</v>
      </c>
      <c r="M4">
        <v>0.36193522500000003</v>
      </c>
      <c r="N4">
        <v>0.40456776</v>
      </c>
      <c r="O4">
        <v>0.42321172499999998</v>
      </c>
      <c r="P4">
        <v>0.45312806999999999</v>
      </c>
      <c r="Q4">
        <v>0.47354395500000002</v>
      </c>
      <c r="R4">
        <v>0.474500955</v>
      </c>
      <c r="S4">
        <v>0.460592475</v>
      </c>
      <c r="T4">
        <v>0.46332521999999998</v>
      </c>
      <c r="U4">
        <v>0.457051335</v>
      </c>
      <c r="V4">
        <v>0.46756764000000001</v>
      </c>
      <c r="W4">
        <v>0.54322649999999995</v>
      </c>
      <c r="X4">
        <v>0.54414945000000003</v>
      </c>
      <c r="Y4">
        <v>0.55530075000000001</v>
      </c>
      <c r="Z4">
        <v>0.49690474499999998</v>
      </c>
      <c r="AA4">
        <v>0.47513548500000002</v>
      </c>
      <c r="AB4">
        <v>0.436729545</v>
      </c>
      <c r="AC4">
        <f t="shared" si="0"/>
        <v>0.42751196937500019</v>
      </c>
      <c r="AD4">
        <f t="shared" si="1"/>
        <v>0.44492880749999997</v>
      </c>
    </row>
    <row r="5" spans="1:30" x14ac:dyDescent="0.25">
      <c r="A5" t="s">
        <v>112</v>
      </c>
      <c r="B5" t="s">
        <v>114</v>
      </c>
      <c r="C5">
        <v>115</v>
      </c>
      <c r="D5" t="s">
        <v>2</v>
      </c>
      <c r="E5">
        <v>15.259831775</v>
      </c>
      <c r="F5">
        <v>14.485804985</v>
      </c>
      <c r="G5">
        <v>13.697896589999999</v>
      </c>
      <c r="H5">
        <v>13.096358074999999</v>
      </c>
      <c r="I5">
        <v>13.032764504999999</v>
      </c>
      <c r="J5">
        <v>13.253063695</v>
      </c>
      <c r="K5">
        <v>13.704850690000001</v>
      </c>
      <c r="L5">
        <v>15.394045905</v>
      </c>
      <c r="M5">
        <v>16.812507960000001</v>
      </c>
      <c r="N5">
        <v>18.423011525</v>
      </c>
      <c r="O5">
        <v>18.666881764999999</v>
      </c>
      <c r="P5">
        <v>19.720232885000001</v>
      </c>
      <c r="Q5">
        <v>19.772114805000001</v>
      </c>
      <c r="R5">
        <v>19.644923725000002</v>
      </c>
      <c r="S5">
        <v>19.439534479999999</v>
      </c>
      <c r="T5">
        <v>19.668508565</v>
      </c>
      <c r="U5">
        <v>19.182716415000002</v>
      </c>
      <c r="V5">
        <v>18.806133185</v>
      </c>
      <c r="W5">
        <v>20.832454500000001</v>
      </c>
      <c r="X5">
        <v>20.247925949999999</v>
      </c>
      <c r="Y5">
        <v>20.274649</v>
      </c>
      <c r="Z5">
        <v>18.094707085</v>
      </c>
      <c r="AA5">
        <v>17.352941014999999</v>
      </c>
      <c r="AB5">
        <v>16.406331389999998</v>
      </c>
      <c r="AC5">
        <f t="shared" si="0"/>
        <v>17.302924602916669</v>
      </c>
      <c r="AD5">
        <f t="shared" si="1"/>
        <v>18.258859305000001</v>
      </c>
    </row>
    <row r="6" spans="1:30" x14ac:dyDescent="0.25">
      <c r="A6" t="s">
        <v>112</v>
      </c>
      <c r="B6" t="s">
        <v>114</v>
      </c>
      <c r="C6">
        <v>115</v>
      </c>
      <c r="D6" t="s">
        <v>3</v>
      </c>
      <c r="E6">
        <v>3.5987792773999998</v>
      </c>
      <c r="F6">
        <v>3.5279604082999998</v>
      </c>
      <c r="G6">
        <v>3.4150121650999998</v>
      </c>
      <c r="H6">
        <v>3.1954244692999998</v>
      </c>
      <c r="I6">
        <v>3.1212013821000002</v>
      </c>
      <c r="J6">
        <v>3.1799725635999998</v>
      </c>
      <c r="K6">
        <v>3.4764919158000001</v>
      </c>
      <c r="L6">
        <v>4.1772022456000002</v>
      </c>
      <c r="M6">
        <v>4.8840724480000004</v>
      </c>
      <c r="N6">
        <v>5.4231779250000001</v>
      </c>
      <c r="O6">
        <v>5.5307930303999999</v>
      </c>
      <c r="P6">
        <v>5.8805533000999999</v>
      </c>
      <c r="Q6">
        <v>6.0082369250000003</v>
      </c>
      <c r="R6">
        <v>5.8055167986000003</v>
      </c>
      <c r="S6">
        <v>5.8485287571000004</v>
      </c>
      <c r="T6">
        <v>5.7518769520999999</v>
      </c>
      <c r="U6">
        <v>5.4066696495000004</v>
      </c>
      <c r="V6">
        <v>5.1797219429999997</v>
      </c>
      <c r="W6">
        <v>5.0736617510000004</v>
      </c>
      <c r="X6">
        <v>4.6241284451000002</v>
      </c>
      <c r="Y6">
        <v>4.4450131688000001</v>
      </c>
      <c r="Z6">
        <v>3.9315230233</v>
      </c>
      <c r="AA6">
        <v>3.7703559832</v>
      </c>
      <c r="AB6">
        <v>3.6209420326999999</v>
      </c>
      <c r="AC6">
        <f t="shared" si="0"/>
        <v>4.5365340233375013</v>
      </c>
      <c r="AD6">
        <f t="shared" si="1"/>
        <v>4.5345708069500006</v>
      </c>
    </row>
    <row r="7" spans="1:30" x14ac:dyDescent="0.25">
      <c r="A7" t="s">
        <v>112</v>
      </c>
      <c r="B7" t="s">
        <v>114</v>
      </c>
      <c r="C7">
        <v>115</v>
      </c>
      <c r="D7" t="s">
        <v>4</v>
      </c>
      <c r="E7">
        <v>0.232383225</v>
      </c>
      <c r="F7">
        <v>0.22059601500000001</v>
      </c>
      <c r="G7">
        <v>0.20859741000000001</v>
      </c>
      <c r="H7">
        <v>0.19943692499999999</v>
      </c>
      <c r="I7">
        <v>0.19846849499999999</v>
      </c>
      <c r="J7">
        <v>0.20182330500000001</v>
      </c>
      <c r="K7">
        <v>0.20870331</v>
      </c>
      <c r="L7">
        <v>0.234427095</v>
      </c>
      <c r="M7">
        <v>0.25602804000000001</v>
      </c>
      <c r="N7">
        <v>0.280553475</v>
      </c>
      <c r="O7">
        <v>0.28426723500000001</v>
      </c>
      <c r="P7">
        <v>0.30030811499999999</v>
      </c>
      <c r="Q7">
        <v>0.30109819500000001</v>
      </c>
      <c r="R7">
        <v>0.299161275</v>
      </c>
      <c r="S7">
        <v>0.29603351999999999</v>
      </c>
      <c r="T7">
        <v>0.29952043499999997</v>
      </c>
      <c r="U7">
        <v>0.29212258499999999</v>
      </c>
      <c r="V7">
        <v>0.28638781499999999</v>
      </c>
      <c r="W7">
        <v>0.31724550000000001</v>
      </c>
      <c r="X7">
        <v>0.30834404999999998</v>
      </c>
      <c r="Y7">
        <v>0.308751</v>
      </c>
      <c r="Z7">
        <v>0.27555391499999998</v>
      </c>
      <c r="AA7">
        <v>0.26425798499999997</v>
      </c>
      <c r="AB7">
        <v>0.24984260999999999</v>
      </c>
      <c r="AC7">
        <f t="shared" si="0"/>
        <v>0.26349631374999999</v>
      </c>
      <c r="AD7">
        <f t="shared" si="1"/>
        <v>0.27805369499999999</v>
      </c>
    </row>
    <row r="8" spans="1:30" x14ac:dyDescent="0.25">
      <c r="A8" t="s">
        <v>112</v>
      </c>
      <c r="B8" t="s">
        <v>116</v>
      </c>
      <c r="C8">
        <v>115</v>
      </c>
      <c r="D8" t="s">
        <v>2</v>
      </c>
      <c r="E8">
        <v>2.8090042849999999</v>
      </c>
      <c r="F8">
        <v>2.6661438249999998</v>
      </c>
      <c r="G8">
        <v>2.5696778500000002</v>
      </c>
      <c r="H8">
        <v>2.42828307</v>
      </c>
      <c r="I8">
        <v>2.3618251199999998</v>
      </c>
      <c r="J8">
        <v>2.4074434249999999</v>
      </c>
      <c r="K8">
        <v>2.3802042349999999</v>
      </c>
      <c r="L8">
        <v>2.504479715</v>
      </c>
      <c r="M8">
        <v>2.6923645249999999</v>
      </c>
      <c r="N8">
        <v>2.9395975550000002</v>
      </c>
      <c r="O8">
        <v>3.0318211349999999</v>
      </c>
      <c r="P8">
        <v>3.2250643449999998</v>
      </c>
      <c r="Q8">
        <v>3.2986694550000002</v>
      </c>
      <c r="R8">
        <v>3.280653805</v>
      </c>
      <c r="S8">
        <v>3.1926933050000001</v>
      </c>
      <c r="T8">
        <v>3.1729568600000002</v>
      </c>
      <c r="U8">
        <v>3.1421588649999999</v>
      </c>
      <c r="V8">
        <v>3.1935817750000002</v>
      </c>
      <c r="W8">
        <v>3.6118964999999998</v>
      </c>
      <c r="X8">
        <v>3.5737277500000002</v>
      </c>
      <c r="Y8">
        <v>3.6116009999999998</v>
      </c>
      <c r="Z8">
        <v>3.2953657650000001</v>
      </c>
      <c r="AA8">
        <v>3.2347468949999998</v>
      </c>
      <c r="AB8">
        <v>2.99826711</v>
      </c>
      <c r="AC8">
        <f t="shared" si="0"/>
        <v>2.9842595070833333</v>
      </c>
      <c r="AD8">
        <f t="shared" si="1"/>
        <v>3.0869900000000001</v>
      </c>
    </row>
    <row r="9" spans="1:30" x14ac:dyDescent="0.25">
      <c r="A9" t="s">
        <v>112</v>
      </c>
      <c r="B9" t="s">
        <v>116</v>
      </c>
      <c r="C9">
        <v>115</v>
      </c>
      <c r="D9" t="s">
        <v>3</v>
      </c>
      <c r="E9">
        <v>0.73891109290000001</v>
      </c>
      <c r="F9">
        <v>0.7212742567</v>
      </c>
      <c r="G9">
        <v>0.75147898219999998</v>
      </c>
      <c r="H9">
        <v>0.70069013000000002</v>
      </c>
      <c r="I9">
        <v>0.69615834700000001</v>
      </c>
      <c r="J9">
        <v>0.63630976750000001</v>
      </c>
      <c r="K9">
        <v>0.69790833019999998</v>
      </c>
      <c r="L9">
        <v>0.69888742520000002</v>
      </c>
      <c r="M9">
        <v>0.83420760940000005</v>
      </c>
      <c r="N9">
        <v>0.79040799569999998</v>
      </c>
      <c r="O9">
        <v>0.83381713459999995</v>
      </c>
      <c r="P9">
        <v>0.87115335719999998</v>
      </c>
      <c r="Q9">
        <v>0.9569882099</v>
      </c>
      <c r="R9">
        <v>0.97202186339999996</v>
      </c>
      <c r="S9">
        <v>0.94228714579999995</v>
      </c>
      <c r="T9">
        <v>0.90935345599999995</v>
      </c>
      <c r="U9">
        <v>0.90052690570000005</v>
      </c>
      <c r="V9">
        <v>0.82792351919999996</v>
      </c>
      <c r="W9">
        <v>0.88771711509999995</v>
      </c>
      <c r="X9">
        <v>0.85910757930000003</v>
      </c>
      <c r="Y9">
        <v>0.79003802670000001</v>
      </c>
      <c r="Z9">
        <v>0.71924411040000003</v>
      </c>
      <c r="AA9">
        <v>0.75389135959999998</v>
      </c>
      <c r="AB9">
        <v>0.73021607479999995</v>
      </c>
      <c r="AC9">
        <f t="shared" si="0"/>
        <v>0.80085499143749994</v>
      </c>
      <c r="AD9">
        <f t="shared" si="1"/>
        <v>0.79022301119999994</v>
      </c>
    </row>
    <row r="10" spans="1:30" x14ac:dyDescent="0.25">
      <c r="A10" t="s">
        <v>112</v>
      </c>
      <c r="B10" t="s">
        <v>116</v>
      </c>
      <c r="C10">
        <v>115</v>
      </c>
      <c r="D10" t="s">
        <v>4</v>
      </c>
      <c r="E10">
        <v>4.2776715E-2</v>
      </c>
      <c r="F10">
        <v>4.0601175000000003E-2</v>
      </c>
      <c r="G10">
        <v>3.9132149999999997E-2</v>
      </c>
      <c r="H10">
        <v>3.697893E-2</v>
      </c>
      <c r="I10">
        <v>3.596688E-2</v>
      </c>
      <c r="J10">
        <v>3.6661575000000002E-2</v>
      </c>
      <c r="K10">
        <v>3.6246765E-2</v>
      </c>
      <c r="L10">
        <v>3.8139285000000002E-2</v>
      </c>
      <c r="M10">
        <v>4.1000475000000002E-2</v>
      </c>
      <c r="N10">
        <v>4.4765445000000001E-2</v>
      </c>
      <c r="O10">
        <v>4.6169864999999997E-2</v>
      </c>
      <c r="P10">
        <v>4.9112654999999998E-2</v>
      </c>
      <c r="Q10">
        <v>5.0233544999999998E-2</v>
      </c>
      <c r="R10">
        <v>4.9959194999999998E-2</v>
      </c>
      <c r="S10">
        <v>4.8619694999999997E-2</v>
      </c>
      <c r="T10">
        <v>4.8319139999999997E-2</v>
      </c>
      <c r="U10">
        <v>4.7850135000000002E-2</v>
      </c>
      <c r="V10">
        <v>4.8633225000000002E-2</v>
      </c>
      <c r="W10">
        <v>5.5003499999999997E-2</v>
      </c>
      <c r="X10">
        <v>5.4422249999999998E-2</v>
      </c>
      <c r="Y10">
        <v>5.4998999999999999E-2</v>
      </c>
      <c r="Z10">
        <v>5.0183235E-2</v>
      </c>
      <c r="AA10">
        <v>4.9260104999999998E-2</v>
      </c>
      <c r="AB10">
        <v>4.5658890000000001E-2</v>
      </c>
      <c r="AC10">
        <f t="shared" si="0"/>
        <v>4.5445576250000001E-2</v>
      </c>
      <c r="AD10">
        <f t="shared" si="1"/>
        <v>4.7009999999999996E-2</v>
      </c>
    </row>
    <row r="11" spans="1:30" x14ac:dyDescent="0.25">
      <c r="A11" t="s">
        <v>112</v>
      </c>
      <c r="B11" t="s">
        <v>117</v>
      </c>
      <c r="C11">
        <v>115</v>
      </c>
      <c r="D11" t="s">
        <v>2</v>
      </c>
      <c r="E11">
        <v>17.28706717</v>
      </c>
      <c r="F11">
        <v>16.952169139999999</v>
      </c>
      <c r="G11">
        <v>16.687040629999998</v>
      </c>
      <c r="H11">
        <v>16.271542019999998</v>
      </c>
      <c r="I11">
        <v>16.320862940000001</v>
      </c>
      <c r="J11">
        <v>16.626948734999999</v>
      </c>
      <c r="K11">
        <v>17.76080292</v>
      </c>
      <c r="L11">
        <v>19.842589584999999</v>
      </c>
      <c r="M11">
        <v>22.834458134999998</v>
      </c>
      <c r="N11">
        <v>25.321880605</v>
      </c>
      <c r="O11">
        <v>25.929927015000001</v>
      </c>
      <c r="P11">
        <v>26.806498215000001</v>
      </c>
      <c r="Q11">
        <v>26.205266035000001</v>
      </c>
      <c r="R11">
        <v>25.621269385000002</v>
      </c>
      <c r="S11">
        <v>24.502503430000001</v>
      </c>
      <c r="T11">
        <v>24.346707949999999</v>
      </c>
      <c r="U11">
        <v>22.828940164999999</v>
      </c>
      <c r="V11">
        <v>21.898184114999999</v>
      </c>
      <c r="W11">
        <v>21.093676500000001</v>
      </c>
      <c r="X11">
        <v>18.434678850000001</v>
      </c>
      <c r="Y11">
        <v>18.20609975</v>
      </c>
      <c r="Z11">
        <v>16.229887354999999</v>
      </c>
      <c r="AA11">
        <v>16.028350445000001</v>
      </c>
      <c r="AB11">
        <v>15.44642722</v>
      </c>
      <c r="AC11">
        <f t="shared" si="0"/>
        <v>20.395157429583335</v>
      </c>
      <c r="AD11">
        <f t="shared" si="1"/>
        <v>19.138634217499998</v>
      </c>
    </row>
    <row r="12" spans="1:30" x14ac:dyDescent="0.25">
      <c r="A12" t="s">
        <v>112</v>
      </c>
      <c r="B12" t="s">
        <v>117</v>
      </c>
      <c r="C12">
        <v>115</v>
      </c>
      <c r="D12" t="s">
        <v>3</v>
      </c>
      <c r="E12">
        <v>8.1607944867000004</v>
      </c>
      <c r="F12">
        <v>7.9978408115999997</v>
      </c>
      <c r="G12">
        <v>8.0677185026</v>
      </c>
      <c r="H12">
        <v>7.4750208688999997</v>
      </c>
      <c r="I12">
        <v>7.4787280339000004</v>
      </c>
      <c r="J12">
        <v>7.5463780429999998</v>
      </c>
      <c r="K12">
        <v>8.5313988035000001</v>
      </c>
      <c r="L12">
        <v>6.7032501133000002</v>
      </c>
      <c r="M12">
        <v>6.4268261356999998</v>
      </c>
      <c r="N12">
        <v>7.6756234227000002</v>
      </c>
      <c r="O12">
        <v>6.3498755674999998</v>
      </c>
      <c r="P12">
        <v>5.4151751713999996</v>
      </c>
      <c r="Q12">
        <v>6.7712939649999999</v>
      </c>
      <c r="R12">
        <v>7.3227781159000003</v>
      </c>
      <c r="S12">
        <v>7.7450271675</v>
      </c>
      <c r="T12">
        <v>7.5975871367999996</v>
      </c>
      <c r="U12">
        <v>8.0950367926000002</v>
      </c>
      <c r="V12">
        <v>7.9188888143999998</v>
      </c>
      <c r="W12">
        <v>8.2368671967000004</v>
      </c>
      <c r="X12">
        <v>7.5213788164000004</v>
      </c>
      <c r="Y12">
        <v>8.3426022930000006</v>
      </c>
      <c r="Z12">
        <v>7.4370401855999999</v>
      </c>
      <c r="AA12">
        <v>7.2746956637000002</v>
      </c>
      <c r="AB12">
        <v>7.4196888112000003</v>
      </c>
      <c r="AC12">
        <f t="shared" si="0"/>
        <v>7.4796464549833308</v>
      </c>
      <c r="AD12">
        <f t="shared" si="1"/>
        <v>7.5338784296999997</v>
      </c>
    </row>
    <row r="13" spans="1:30" x14ac:dyDescent="0.25">
      <c r="A13" t="s">
        <v>112</v>
      </c>
      <c r="B13" t="s">
        <v>117</v>
      </c>
      <c r="C13">
        <v>115</v>
      </c>
      <c r="D13" t="s">
        <v>4</v>
      </c>
      <c r="E13">
        <v>0.26325483</v>
      </c>
      <c r="F13">
        <v>0.25815485999999999</v>
      </c>
      <c r="G13">
        <v>0.25411737000000001</v>
      </c>
      <c r="H13">
        <v>0.24778997999999999</v>
      </c>
      <c r="I13">
        <v>0.24854106000000001</v>
      </c>
      <c r="J13">
        <v>0.25320226499999998</v>
      </c>
      <c r="K13">
        <v>0.27046907999999997</v>
      </c>
      <c r="L13">
        <v>0.302171415</v>
      </c>
      <c r="M13">
        <v>0.347732865</v>
      </c>
      <c r="N13">
        <v>0.385612395</v>
      </c>
      <c r="O13">
        <v>0.39487198499999998</v>
      </c>
      <c r="P13">
        <v>0.40822078499999997</v>
      </c>
      <c r="Q13">
        <v>0.39906496499999999</v>
      </c>
      <c r="R13">
        <v>0.39017161500000003</v>
      </c>
      <c r="S13">
        <v>0.37313457</v>
      </c>
      <c r="T13">
        <v>0.37076205000000001</v>
      </c>
      <c r="U13">
        <v>0.34764883499999999</v>
      </c>
      <c r="V13">
        <v>0.333474885</v>
      </c>
      <c r="W13">
        <v>0.3212235</v>
      </c>
      <c r="X13">
        <v>0.28073114999999998</v>
      </c>
      <c r="Y13">
        <v>0.27725024999999998</v>
      </c>
      <c r="Z13">
        <v>0.24715564500000001</v>
      </c>
      <c r="AA13">
        <v>0.24408655500000001</v>
      </c>
      <c r="AB13">
        <v>0.23522477999999999</v>
      </c>
      <c r="AC13">
        <f t="shared" si="0"/>
        <v>0.31058615375000004</v>
      </c>
      <c r="AD13">
        <f t="shared" si="1"/>
        <v>0.29145128249999996</v>
      </c>
    </row>
    <row r="14" spans="1:30" x14ac:dyDescent="0.25">
      <c r="A14" t="s">
        <v>112</v>
      </c>
      <c r="B14" t="s">
        <v>118</v>
      </c>
      <c r="C14">
        <v>115</v>
      </c>
      <c r="D14" t="s">
        <v>2</v>
      </c>
      <c r="E14">
        <v>19.548066705</v>
      </c>
      <c r="F14">
        <v>18.70659401</v>
      </c>
      <c r="G14">
        <v>18.192187610000001</v>
      </c>
      <c r="H14">
        <v>17.188969050000001</v>
      </c>
      <c r="I14">
        <v>17.120671120000001</v>
      </c>
      <c r="J14">
        <v>17.884362305</v>
      </c>
      <c r="K14">
        <v>19.226638550000001</v>
      </c>
      <c r="L14">
        <v>21.709353705000002</v>
      </c>
      <c r="M14">
        <v>25.32081311</v>
      </c>
      <c r="N14">
        <v>29.422867279999998</v>
      </c>
      <c r="O14">
        <v>31.898840109999998</v>
      </c>
      <c r="P14">
        <v>33.085279505000003</v>
      </c>
      <c r="Q14">
        <v>33.016544975000002</v>
      </c>
      <c r="R14">
        <v>31.690234595</v>
      </c>
      <c r="S14">
        <v>30.439212690000002</v>
      </c>
      <c r="T14">
        <v>29.961503449999999</v>
      </c>
      <c r="U14">
        <v>29.174500269999999</v>
      </c>
      <c r="V14">
        <v>28.391492249999999</v>
      </c>
      <c r="W14">
        <v>30.050577000000001</v>
      </c>
      <c r="X14">
        <v>27.654416749999999</v>
      </c>
      <c r="Y14">
        <v>26.781263500000001</v>
      </c>
      <c r="Z14">
        <v>23.152709665</v>
      </c>
      <c r="AA14">
        <v>22.03342954</v>
      </c>
      <c r="AB14">
        <v>20.961096484999999</v>
      </c>
      <c r="AC14">
        <f t="shared" si="0"/>
        <v>25.108817676249998</v>
      </c>
      <c r="AD14">
        <f t="shared" si="1"/>
        <v>26.051038304999999</v>
      </c>
    </row>
    <row r="15" spans="1:30" x14ac:dyDescent="0.25">
      <c r="A15" t="s">
        <v>112</v>
      </c>
      <c r="B15" t="s">
        <v>118</v>
      </c>
      <c r="C15">
        <v>115</v>
      </c>
      <c r="D15" t="s">
        <v>3</v>
      </c>
      <c r="E15">
        <v>5.7543601754999996</v>
      </c>
      <c r="F15">
        <v>5.6350956021999998</v>
      </c>
      <c r="G15">
        <v>5.6434377552999999</v>
      </c>
      <c r="H15">
        <v>5.3067429769999999</v>
      </c>
      <c r="I15">
        <v>5.3047029828000003</v>
      </c>
      <c r="J15">
        <v>5.4211467287000001</v>
      </c>
      <c r="K15">
        <v>5.6892771049000004</v>
      </c>
      <c r="L15">
        <v>6.0144499891000001</v>
      </c>
      <c r="M15">
        <v>6.8083377967000001</v>
      </c>
      <c r="N15">
        <v>7.8503705309000003</v>
      </c>
      <c r="O15">
        <v>8.5770578476000008</v>
      </c>
      <c r="P15">
        <v>9.3645516849000003</v>
      </c>
      <c r="Q15">
        <v>9.6936378541000003</v>
      </c>
      <c r="R15">
        <v>9.5102297522000008</v>
      </c>
      <c r="S15">
        <v>9.2496934928000005</v>
      </c>
      <c r="T15">
        <v>9.1718838291000004</v>
      </c>
      <c r="U15">
        <v>9.0610743042999999</v>
      </c>
      <c r="V15">
        <v>8.5953993219000004</v>
      </c>
      <c r="W15">
        <v>8.5412967705000007</v>
      </c>
      <c r="X15">
        <v>7.6167805391999996</v>
      </c>
      <c r="Y15">
        <v>7.4195930543999999</v>
      </c>
      <c r="Z15">
        <v>6.5163989751000004</v>
      </c>
      <c r="AA15">
        <v>6.1131142597999997</v>
      </c>
      <c r="AB15">
        <v>5.9411970433999999</v>
      </c>
      <c r="AC15">
        <f t="shared" si="0"/>
        <v>7.2833262655166671</v>
      </c>
      <c r="AD15">
        <f t="shared" si="1"/>
        <v>7.11396542555</v>
      </c>
    </row>
    <row r="16" spans="1:30" x14ac:dyDescent="0.25">
      <c r="A16" t="s">
        <v>112</v>
      </c>
      <c r="B16" t="s">
        <v>118</v>
      </c>
      <c r="C16">
        <v>115</v>
      </c>
      <c r="D16" t="s">
        <v>4</v>
      </c>
      <c r="E16">
        <v>0.29768629499999999</v>
      </c>
      <c r="F16">
        <v>0.28487199000000002</v>
      </c>
      <c r="G16">
        <v>0.27703839000000002</v>
      </c>
      <c r="H16">
        <v>0.26176094999999999</v>
      </c>
      <c r="I16">
        <v>0.26072087999999999</v>
      </c>
      <c r="J16">
        <v>0.27235069499999998</v>
      </c>
      <c r="K16">
        <v>0.29279145000000001</v>
      </c>
      <c r="L16">
        <v>0.33059929500000002</v>
      </c>
      <c r="M16">
        <v>0.38559613869999998</v>
      </c>
      <c r="N16">
        <v>0.44806396869999998</v>
      </c>
      <c r="O16">
        <v>0.48576913869999999</v>
      </c>
      <c r="P16">
        <v>0.50383674369999998</v>
      </c>
      <c r="Q16">
        <v>0.50279002500000003</v>
      </c>
      <c r="R16">
        <v>0.482592405</v>
      </c>
      <c r="S16">
        <v>0.46354130999999998</v>
      </c>
      <c r="T16">
        <v>0.45626654999999999</v>
      </c>
      <c r="U16">
        <v>0.44428172999999999</v>
      </c>
      <c r="V16">
        <v>0.43235774999999999</v>
      </c>
      <c r="W16">
        <v>0.457623</v>
      </c>
      <c r="X16">
        <v>0.42113325000000001</v>
      </c>
      <c r="Y16">
        <v>0.40783649999999999</v>
      </c>
      <c r="Z16">
        <v>0.35257933499999999</v>
      </c>
      <c r="AA16">
        <v>0.33553445999999998</v>
      </c>
      <c r="AB16">
        <v>0.31920451500000002</v>
      </c>
      <c r="AC16">
        <f t="shared" si="0"/>
        <v>0.3823677818666667</v>
      </c>
      <c r="AD16">
        <f t="shared" si="1"/>
        <v>0.39671631934999996</v>
      </c>
    </row>
    <row r="17" spans="1:30" x14ac:dyDescent="0.25">
      <c r="A17" t="s">
        <v>112</v>
      </c>
      <c r="B17" t="s">
        <v>121</v>
      </c>
      <c r="C17">
        <v>115</v>
      </c>
      <c r="D17" t="s">
        <v>2</v>
      </c>
      <c r="E17">
        <v>25.499477089999999</v>
      </c>
      <c r="F17">
        <v>24.907012394999999</v>
      </c>
      <c r="G17">
        <v>24.202201554999998</v>
      </c>
      <c r="H17">
        <v>23.484770895</v>
      </c>
      <c r="I17">
        <v>23.878020325000001</v>
      </c>
      <c r="J17">
        <v>24.16103545</v>
      </c>
      <c r="K17">
        <v>24.293021509999999</v>
      </c>
      <c r="L17">
        <v>24.608057015</v>
      </c>
      <c r="M17">
        <v>25.100602325000001</v>
      </c>
      <c r="N17">
        <v>25.47345339</v>
      </c>
      <c r="O17">
        <v>25.444454005000001</v>
      </c>
      <c r="P17">
        <v>25.79558385</v>
      </c>
      <c r="Q17">
        <v>25.712704965</v>
      </c>
      <c r="R17">
        <v>25.43115749</v>
      </c>
      <c r="S17">
        <v>24.979518245000001</v>
      </c>
      <c r="T17">
        <v>25.020483410000001</v>
      </c>
      <c r="U17">
        <v>25.532987774999999</v>
      </c>
      <c r="V17">
        <v>25.654795830000001</v>
      </c>
      <c r="W17">
        <v>27.850283999999998</v>
      </c>
      <c r="X17">
        <v>26.51274265</v>
      </c>
      <c r="Y17">
        <v>26.776486250000001</v>
      </c>
      <c r="Z17">
        <v>22.509814939999998</v>
      </c>
      <c r="AA17">
        <v>20.797684</v>
      </c>
      <c r="AB17">
        <v>19.985895265</v>
      </c>
      <c r="AC17">
        <f t="shared" si="0"/>
        <v>24.733843526041664</v>
      </c>
      <c r="AD17">
        <f t="shared" si="1"/>
        <v>25.060542867500001</v>
      </c>
    </row>
    <row r="18" spans="1:30" x14ac:dyDescent="0.25">
      <c r="A18" t="s">
        <v>112</v>
      </c>
      <c r="B18" t="s">
        <v>121</v>
      </c>
      <c r="C18">
        <v>115</v>
      </c>
      <c r="D18" t="s">
        <v>3</v>
      </c>
      <c r="E18">
        <v>9.6720119995000005</v>
      </c>
      <c r="F18">
        <v>9.6547544830999996</v>
      </c>
      <c r="G18">
        <v>9.2111438045000007</v>
      </c>
      <c r="H18">
        <v>8.9380960421999998</v>
      </c>
      <c r="I18">
        <v>8.9332349565999998</v>
      </c>
      <c r="J18">
        <v>8.7933073779999997</v>
      </c>
      <c r="K18">
        <v>9.3780467779999999</v>
      </c>
      <c r="L18">
        <v>9.8106553318999996</v>
      </c>
      <c r="M18">
        <v>10.3800603993</v>
      </c>
      <c r="N18">
        <v>10.681980787200001</v>
      </c>
      <c r="O18">
        <v>10.877607923299999</v>
      </c>
      <c r="P18">
        <v>10.801369108199999</v>
      </c>
      <c r="Q18">
        <v>10.743177619400001</v>
      </c>
      <c r="R18">
        <v>10.5712281942</v>
      </c>
      <c r="S18">
        <v>10.490039661300001</v>
      </c>
      <c r="T18">
        <v>10.6435902164</v>
      </c>
      <c r="U18">
        <v>10.5353816378</v>
      </c>
      <c r="V18">
        <v>9.7639883351000005</v>
      </c>
      <c r="W18">
        <v>10.034218748400001</v>
      </c>
      <c r="X18">
        <v>9.3476107732999996</v>
      </c>
      <c r="Y18">
        <v>9.3497670891000002</v>
      </c>
      <c r="Z18">
        <v>7.5571794562000001</v>
      </c>
      <c r="AA18">
        <v>6.8432454935000004</v>
      </c>
      <c r="AB18">
        <v>6.6115017773</v>
      </c>
      <c r="AC18">
        <f t="shared" si="0"/>
        <v>9.5676332497416681</v>
      </c>
      <c r="AD18">
        <f t="shared" si="1"/>
        <v>9.7180001673000014</v>
      </c>
    </row>
    <row r="19" spans="1:30" x14ac:dyDescent="0.25">
      <c r="A19" t="s">
        <v>112</v>
      </c>
      <c r="B19" t="s">
        <v>121</v>
      </c>
      <c r="C19">
        <v>115</v>
      </c>
      <c r="D19" t="s">
        <v>4</v>
      </c>
      <c r="E19">
        <v>0.38831691000000002</v>
      </c>
      <c r="F19">
        <v>0.37929460500000001</v>
      </c>
      <c r="G19">
        <v>0.36856144499999999</v>
      </c>
      <c r="H19">
        <v>0.35763610499999998</v>
      </c>
      <c r="I19">
        <v>0.36362467500000001</v>
      </c>
      <c r="J19">
        <v>0.36793455000000003</v>
      </c>
      <c r="K19">
        <v>0.36994449000000001</v>
      </c>
      <c r="L19">
        <v>0.374741985</v>
      </c>
      <c r="M19">
        <v>0.38224267499999998</v>
      </c>
      <c r="N19">
        <v>0.38792061</v>
      </c>
      <c r="O19">
        <v>0.38747899499999999</v>
      </c>
      <c r="P19">
        <v>0.39282614999999999</v>
      </c>
      <c r="Q19">
        <v>0.39156403499999998</v>
      </c>
      <c r="R19">
        <v>0.38727651000000002</v>
      </c>
      <c r="S19">
        <v>0.38039875499999998</v>
      </c>
      <c r="T19">
        <v>0.38102258999999999</v>
      </c>
      <c r="U19">
        <v>0.388827225</v>
      </c>
      <c r="V19">
        <v>0.39068217</v>
      </c>
      <c r="W19">
        <v>0.42411599999999999</v>
      </c>
      <c r="X19">
        <v>0.40374735</v>
      </c>
      <c r="Y19">
        <v>0.40776374999999998</v>
      </c>
      <c r="Z19">
        <v>0.34278905999999998</v>
      </c>
      <c r="AA19">
        <v>0.316716</v>
      </c>
      <c r="AB19">
        <v>0.30435373500000001</v>
      </c>
      <c r="AC19">
        <f t="shared" si="0"/>
        <v>0.37665751562499988</v>
      </c>
      <c r="AD19">
        <f t="shared" si="1"/>
        <v>0.38163263250000001</v>
      </c>
    </row>
    <row r="20" spans="1:30" x14ac:dyDescent="0.25">
      <c r="A20" t="s">
        <v>112</v>
      </c>
      <c r="B20" t="s">
        <v>122</v>
      </c>
      <c r="C20">
        <v>115</v>
      </c>
      <c r="D20" t="s">
        <v>2</v>
      </c>
      <c r="E20">
        <v>30.557984975</v>
      </c>
      <c r="F20">
        <v>29.563682634999999</v>
      </c>
      <c r="G20">
        <v>28.953813974999999</v>
      </c>
      <c r="H20">
        <v>27.676286704999999</v>
      </c>
      <c r="I20">
        <v>27.648054635000001</v>
      </c>
      <c r="J20">
        <v>28.504826349999998</v>
      </c>
      <c r="K20">
        <v>27.907801105000001</v>
      </c>
      <c r="L20">
        <v>29.091384985000001</v>
      </c>
      <c r="M20">
        <v>30.523311005</v>
      </c>
      <c r="N20">
        <v>32.771923180000002</v>
      </c>
      <c r="O20">
        <v>33.607050504999997</v>
      </c>
      <c r="P20">
        <v>35.396807324999997</v>
      </c>
      <c r="Q20">
        <v>36.623687865000001</v>
      </c>
      <c r="R20">
        <v>36.345545534999999</v>
      </c>
      <c r="S20">
        <v>36.021702159999997</v>
      </c>
      <c r="T20">
        <v>36.532008005000002</v>
      </c>
      <c r="U20">
        <v>36.678937500000004</v>
      </c>
      <c r="V20">
        <v>36.795410795000002</v>
      </c>
      <c r="W20">
        <v>41.850778499999997</v>
      </c>
      <c r="X20">
        <v>41.469632750000002</v>
      </c>
      <c r="Y20">
        <v>42.168785749999998</v>
      </c>
      <c r="Z20">
        <v>38.10532388</v>
      </c>
      <c r="AA20">
        <v>36.632191370000001</v>
      </c>
      <c r="AB20">
        <v>33.707553994999998</v>
      </c>
      <c r="AC20">
        <f t="shared" si="0"/>
        <v>33.963936895208334</v>
      </c>
      <c r="AD20">
        <f t="shared" si="1"/>
        <v>34.552180659999998</v>
      </c>
    </row>
    <row r="21" spans="1:30" x14ac:dyDescent="0.25">
      <c r="A21" t="s">
        <v>112</v>
      </c>
      <c r="B21" t="s">
        <v>122</v>
      </c>
      <c r="C21">
        <v>115</v>
      </c>
      <c r="D21" t="s">
        <v>3</v>
      </c>
      <c r="E21">
        <v>6.8915831166999997</v>
      </c>
      <c r="F21">
        <v>7.0127945502999998</v>
      </c>
      <c r="G21">
        <v>6.9734555672000003</v>
      </c>
      <c r="H21">
        <v>6.6782618885999998</v>
      </c>
      <c r="I21">
        <v>6.5710316246999998</v>
      </c>
      <c r="J21">
        <v>6.6035230958</v>
      </c>
      <c r="K21">
        <v>6.5815939374000001</v>
      </c>
      <c r="L21">
        <v>6.5190266622999999</v>
      </c>
      <c r="M21">
        <v>6.7514537188999997</v>
      </c>
      <c r="N21">
        <v>6.9737254901999997</v>
      </c>
      <c r="O21">
        <v>6.9981017265999999</v>
      </c>
      <c r="P21">
        <v>7.5322896419000003</v>
      </c>
      <c r="Q21">
        <v>7.8848623646</v>
      </c>
      <c r="R21">
        <v>8.0216052208999997</v>
      </c>
      <c r="S21">
        <v>7.9325868401999999</v>
      </c>
      <c r="T21">
        <v>8.1512238015000005</v>
      </c>
      <c r="U21">
        <v>8.1130172592999994</v>
      </c>
      <c r="V21">
        <v>8.0489992498999996</v>
      </c>
      <c r="W21">
        <v>8.1638711117000007</v>
      </c>
      <c r="X21">
        <v>7.8387281715999997</v>
      </c>
      <c r="Y21">
        <v>7.8763207812999996</v>
      </c>
      <c r="Z21">
        <v>7.3083483942000003</v>
      </c>
      <c r="AA21">
        <v>7.1657127869000004</v>
      </c>
      <c r="AB21">
        <v>7.0706188876000002</v>
      </c>
      <c r="AC21">
        <f t="shared" si="0"/>
        <v>7.3192806620958324</v>
      </c>
      <c r="AD21">
        <f t="shared" si="1"/>
        <v>7.1181658372500003</v>
      </c>
    </row>
    <row r="22" spans="1:30" x14ac:dyDescent="0.25">
      <c r="A22" t="s">
        <v>112</v>
      </c>
      <c r="B22" t="s">
        <v>122</v>
      </c>
      <c r="C22">
        <v>115</v>
      </c>
      <c r="D22" t="s">
        <v>4</v>
      </c>
      <c r="E22">
        <v>0.465350025</v>
      </c>
      <c r="F22">
        <v>0.450208365</v>
      </c>
      <c r="G22">
        <v>0.44092102500000002</v>
      </c>
      <c r="H22">
        <v>0.42146629499999999</v>
      </c>
      <c r="I22">
        <v>0.42103636500000002</v>
      </c>
      <c r="J22">
        <v>0.43408364999999999</v>
      </c>
      <c r="K22">
        <v>0.42499189500000001</v>
      </c>
      <c r="L22">
        <v>0.44301601499999999</v>
      </c>
      <c r="M22">
        <v>0.46482199499999999</v>
      </c>
      <c r="N22">
        <v>0.49906482000000002</v>
      </c>
      <c r="O22">
        <v>0.51178249499999995</v>
      </c>
      <c r="P22">
        <v>0.53903767499999999</v>
      </c>
      <c r="Q22">
        <v>0.55772113499999998</v>
      </c>
      <c r="R22">
        <v>0.55348546499999995</v>
      </c>
      <c r="S22">
        <v>0.54855383999999996</v>
      </c>
      <c r="T22">
        <v>0.55632499499999999</v>
      </c>
      <c r="U22">
        <v>0.55856249999999996</v>
      </c>
      <c r="V22">
        <v>0.56033620500000003</v>
      </c>
      <c r="W22">
        <v>0.63732149999999999</v>
      </c>
      <c r="X22">
        <v>0.63151725000000003</v>
      </c>
      <c r="Y22">
        <v>0.64216424999999999</v>
      </c>
      <c r="Z22">
        <v>0.58028411999999996</v>
      </c>
      <c r="AA22">
        <v>0.55785063000000001</v>
      </c>
      <c r="AB22">
        <v>0.51331300499999999</v>
      </c>
      <c r="AC22">
        <f t="shared" si="0"/>
        <v>0.51721731312500008</v>
      </c>
      <c r="AD22">
        <f t="shared" si="1"/>
        <v>0.52617533999999999</v>
      </c>
    </row>
    <row r="23" spans="1:30" x14ac:dyDescent="0.25">
      <c r="A23" t="s">
        <v>112</v>
      </c>
      <c r="B23" t="s">
        <v>123</v>
      </c>
      <c r="C23">
        <v>115</v>
      </c>
      <c r="D23" t="s">
        <v>2</v>
      </c>
      <c r="E23">
        <v>8.1894170650000007</v>
      </c>
      <c r="F23">
        <v>7.6061374949999996</v>
      </c>
      <c r="G23">
        <v>7.3389138899999997</v>
      </c>
      <c r="H23">
        <v>7.0256504</v>
      </c>
      <c r="I23">
        <v>7.1675081299999999</v>
      </c>
      <c r="J23">
        <v>7.5291179599999998</v>
      </c>
      <c r="K23">
        <v>7.7381408699999996</v>
      </c>
      <c r="L23">
        <v>8.5533505099999996</v>
      </c>
      <c r="M23">
        <v>9.4914359449999992</v>
      </c>
      <c r="N23">
        <v>11.211809779999999</v>
      </c>
      <c r="O23">
        <v>12.241514990000001</v>
      </c>
      <c r="P23">
        <v>13.260241389999999</v>
      </c>
      <c r="Q23">
        <v>13.841475115</v>
      </c>
      <c r="R23">
        <v>13.649078019999999</v>
      </c>
      <c r="S23">
        <v>13.162774655</v>
      </c>
      <c r="T23">
        <v>13.250916395000001</v>
      </c>
      <c r="U23">
        <v>13.129231465</v>
      </c>
      <c r="V23">
        <v>13.143525785</v>
      </c>
      <c r="W23">
        <v>14.7841605</v>
      </c>
      <c r="X23">
        <v>14.25173845</v>
      </c>
      <c r="Y23">
        <v>14.059446749999999</v>
      </c>
      <c r="Z23">
        <v>11.789233525</v>
      </c>
      <c r="AA23">
        <v>10.499801545</v>
      </c>
      <c r="AB23">
        <v>9.4001780799999999</v>
      </c>
      <c r="AC23">
        <f t="shared" si="0"/>
        <v>10.929783279583335</v>
      </c>
      <c r="AD23">
        <f t="shared" si="1"/>
        <v>11.5005216525</v>
      </c>
    </row>
    <row r="24" spans="1:30" x14ac:dyDescent="0.25">
      <c r="A24" t="s">
        <v>112</v>
      </c>
      <c r="B24" t="s">
        <v>123</v>
      </c>
      <c r="C24">
        <v>115</v>
      </c>
      <c r="D24" t="s">
        <v>3</v>
      </c>
      <c r="E24">
        <v>3.8777414538000001</v>
      </c>
      <c r="F24">
        <v>3.4875781567000002</v>
      </c>
      <c r="G24">
        <v>3.3629190593999998</v>
      </c>
      <c r="H24">
        <v>3.2173310125999999</v>
      </c>
      <c r="I24">
        <v>3.4551257991000002</v>
      </c>
      <c r="J24">
        <v>3.4193943506000002</v>
      </c>
      <c r="K24">
        <v>3.3173930384000001</v>
      </c>
      <c r="L24">
        <v>3.4526922964</v>
      </c>
      <c r="M24">
        <v>3.8402055797000001</v>
      </c>
      <c r="N24">
        <v>4.3709900420999999</v>
      </c>
      <c r="O24">
        <v>4.6511281137999996</v>
      </c>
      <c r="P24">
        <v>4.9566007823999998</v>
      </c>
      <c r="Q24">
        <v>5.281297447</v>
      </c>
      <c r="R24">
        <v>5.3471083246999997</v>
      </c>
      <c r="S24">
        <v>5.2270693930999998</v>
      </c>
      <c r="T24">
        <v>5.3653901601999996</v>
      </c>
      <c r="U24">
        <v>5.3323918680000002</v>
      </c>
      <c r="V24">
        <v>5.2974169865</v>
      </c>
      <c r="W24">
        <v>5.3413762999000003</v>
      </c>
      <c r="X24">
        <v>4.9860915442999998</v>
      </c>
      <c r="Y24">
        <v>4.9901491930999997</v>
      </c>
      <c r="Z24">
        <v>4.1365724511000002</v>
      </c>
      <c r="AA24">
        <v>3.9995101372000001</v>
      </c>
      <c r="AB24">
        <v>3.9646790809999999</v>
      </c>
      <c r="AC24">
        <f t="shared" si="0"/>
        <v>4.3615896904625</v>
      </c>
      <c r="AD24">
        <f t="shared" si="1"/>
        <v>4.2537812466</v>
      </c>
    </row>
    <row r="25" spans="1:30" x14ac:dyDescent="0.25">
      <c r="A25" t="s">
        <v>112</v>
      </c>
      <c r="B25" t="s">
        <v>123</v>
      </c>
      <c r="C25">
        <v>115</v>
      </c>
      <c r="D25" t="s">
        <v>4</v>
      </c>
      <c r="E25">
        <v>0.124711935</v>
      </c>
      <c r="F25">
        <v>0.115829505</v>
      </c>
      <c r="G25">
        <v>0.11176011</v>
      </c>
      <c r="H25">
        <v>0.1069896</v>
      </c>
      <c r="I25">
        <v>0.10914987</v>
      </c>
      <c r="J25">
        <v>0.1146566186</v>
      </c>
      <c r="K25">
        <v>0.1178397086</v>
      </c>
      <c r="L25">
        <v>0.13025406859999999</v>
      </c>
      <c r="M25">
        <v>0.14453963359999999</v>
      </c>
      <c r="N25">
        <v>0.17073822</v>
      </c>
      <c r="O25">
        <v>0.18641901</v>
      </c>
      <c r="P25">
        <v>0.20193261000000001</v>
      </c>
      <c r="Q25">
        <v>0.210783885</v>
      </c>
      <c r="R25">
        <v>0.20785397999999999</v>
      </c>
      <c r="S25">
        <v>0.200448345</v>
      </c>
      <c r="T25">
        <v>0.20179060500000001</v>
      </c>
      <c r="U25">
        <v>0.199937535</v>
      </c>
      <c r="V25">
        <v>0.200155215</v>
      </c>
      <c r="W25">
        <v>0.22513949999999999</v>
      </c>
      <c r="X25">
        <v>0.21703154999999999</v>
      </c>
      <c r="Y25">
        <v>0.21410324999999999</v>
      </c>
      <c r="Z25">
        <v>0.179531475</v>
      </c>
      <c r="AA25">
        <v>0.15989545499999999</v>
      </c>
      <c r="AB25">
        <v>0.14314992000000001</v>
      </c>
      <c r="AC25">
        <f t="shared" si="0"/>
        <v>0.16644340018333334</v>
      </c>
      <c r="AD25">
        <f t="shared" si="1"/>
        <v>0.1751348475</v>
      </c>
    </row>
    <row r="26" spans="1:30" x14ac:dyDescent="0.25">
      <c r="A26" t="s">
        <v>112</v>
      </c>
      <c r="B26" t="s">
        <v>124</v>
      </c>
      <c r="C26">
        <v>115</v>
      </c>
      <c r="D26" t="s">
        <v>2</v>
      </c>
      <c r="E26">
        <v>35.501526615000003</v>
      </c>
      <c r="F26">
        <v>33.403074734999997</v>
      </c>
      <c r="G26">
        <v>32.274302165000002</v>
      </c>
      <c r="H26">
        <v>30.527473615000002</v>
      </c>
      <c r="I26">
        <v>30.242302325000001</v>
      </c>
      <c r="J26">
        <v>30.964228524999999</v>
      </c>
      <c r="K26">
        <v>31.191699499999999</v>
      </c>
      <c r="L26">
        <v>32.855833359999998</v>
      </c>
      <c r="M26">
        <v>35.528239814999999</v>
      </c>
      <c r="N26">
        <v>39.987717979999999</v>
      </c>
      <c r="O26">
        <v>42.726312495000002</v>
      </c>
      <c r="P26">
        <v>45.422122549999997</v>
      </c>
      <c r="Q26">
        <v>46.853044855</v>
      </c>
      <c r="R26">
        <v>46.713970734999997</v>
      </c>
      <c r="S26">
        <v>46.109857429999998</v>
      </c>
      <c r="T26">
        <v>46.925352719999999</v>
      </c>
      <c r="U26">
        <v>46.590635929999998</v>
      </c>
      <c r="V26">
        <v>46.722280195000003</v>
      </c>
      <c r="W26">
        <v>51.752096999999999</v>
      </c>
      <c r="X26">
        <v>49.562087400000003</v>
      </c>
      <c r="Y26">
        <v>49.2725565</v>
      </c>
      <c r="Z26">
        <v>43.435811934999997</v>
      </c>
      <c r="AA26">
        <v>40.993648245000003</v>
      </c>
      <c r="AB26">
        <v>38.243197285000001</v>
      </c>
      <c r="AC26">
        <f t="shared" si="0"/>
        <v>40.574973912916668</v>
      </c>
      <c r="AD26">
        <f t="shared" si="1"/>
        <v>41.859980370000002</v>
      </c>
    </row>
    <row r="27" spans="1:30" x14ac:dyDescent="0.25">
      <c r="A27" t="s">
        <v>112</v>
      </c>
      <c r="B27" t="s">
        <v>124</v>
      </c>
      <c r="C27">
        <v>115</v>
      </c>
      <c r="D27" t="s">
        <v>3</v>
      </c>
      <c r="E27">
        <v>11.5041897074</v>
      </c>
      <c r="F27">
        <v>11.330716585199999</v>
      </c>
      <c r="G27">
        <v>11.269484927500001</v>
      </c>
      <c r="H27">
        <v>10.8351808245</v>
      </c>
      <c r="I27">
        <v>10.498078309</v>
      </c>
      <c r="J27">
        <v>10.535642021699999</v>
      </c>
      <c r="K27">
        <v>10.515489947100001</v>
      </c>
      <c r="L27">
        <v>10.5641866094</v>
      </c>
      <c r="M27">
        <v>10.928989806800001</v>
      </c>
      <c r="N27">
        <v>12.015459589900001</v>
      </c>
      <c r="O27">
        <v>12.8706944468</v>
      </c>
      <c r="P27">
        <v>14.390661139800001</v>
      </c>
      <c r="Q27">
        <v>14.895153039</v>
      </c>
      <c r="R27">
        <v>15.2710971424</v>
      </c>
      <c r="S27">
        <v>15.057176936199999</v>
      </c>
      <c r="T27">
        <v>15.5398701619</v>
      </c>
      <c r="U27">
        <v>15.280510356300001</v>
      </c>
      <c r="V27">
        <v>14.887513334399999</v>
      </c>
      <c r="W27">
        <v>15.074296200099999</v>
      </c>
      <c r="X27">
        <v>14.0478398798</v>
      </c>
      <c r="Y27">
        <v>13.907119033400001</v>
      </c>
      <c r="Z27">
        <v>12.294195845699999</v>
      </c>
      <c r="AA27">
        <v>11.8928066584</v>
      </c>
      <c r="AB27">
        <v>11.389502501500001</v>
      </c>
      <c r="AC27">
        <f t="shared" si="0"/>
        <v>12.783160625175002</v>
      </c>
      <c r="AD27">
        <f t="shared" si="1"/>
        <v>12.1548277178</v>
      </c>
    </row>
    <row r="28" spans="1:30" x14ac:dyDescent="0.25">
      <c r="A28" t="s">
        <v>112</v>
      </c>
      <c r="B28" t="s">
        <v>124</v>
      </c>
      <c r="C28">
        <v>115</v>
      </c>
      <c r="D28" t="s">
        <v>4</v>
      </c>
      <c r="E28">
        <v>0.54063238499999999</v>
      </c>
      <c r="F28">
        <v>0.50867626499999996</v>
      </c>
      <c r="G28">
        <v>0.49148683500000001</v>
      </c>
      <c r="H28">
        <v>0.46488538499999998</v>
      </c>
      <c r="I28">
        <v>0.46054267500000001</v>
      </c>
      <c r="J28">
        <v>0.47153647500000001</v>
      </c>
      <c r="K28">
        <v>0.47500049999999999</v>
      </c>
      <c r="L28">
        <v>0.50034263999999995</v>
      </c>
      <c r="M28">
        <v>0.54103918500000003</v>
      </c>
      <c r="N28">
        <v>0.60895001999999998</v>
      </c>
      <c r="O28">
        <v>0.65065450499999999</v>
      </c>
      <c r="P28">
        <v>0.69170745</v>
      </c>
      <c r="Q28">
        <v>0.71349814499999997</v>
      </c>
      <c r="R28">
        <v>0.71138026499999996</v>
      </c>
      <c r="S28">
        <v>0.70218057</v>
      </c>
      <c r="T28">
        <v>0.71459927999999995</v>
      </c>
      <c r="U28">
        <v>0.70950206999999998</v>
      </c>
      <c r="V28">
        <v>0.71150680499999996</v>
      </c>
      <c r="W28">
        <v>0.788103</v>
      </c>
      <c r="X28">
        <v>0.7547526</v>
      </c>
      <c r="Y28">
        <v>0.75034350000000005</v>
      </c>
      <c r="Z28">
        <v>0.66145906499999996</v>
      </c>
      <c r="AA28">
        <v>0.62426875500000001</v>
      </c>
      <c r="AB28">
        <v>0.58238371499999997</v>
      </c>
      <c r="AC28">
        <f t="shared" si="0"/>
        <v>0.61789300374999989</v>
      </c>
      <c r="AD28">
        <f t="shared" si="1"/>
        <v>0.63746163</v>
      </c>
    </row>
    <row r="29" spans="1:30" x14ac:dyDescent="0.25">
      <c r="A29" t="s">
        <v>112</v>
      </c>
      <c r="B29" t="s">
        <v>125</v>
      </c>
      <c r="C29">
        <v>115</v>
      </c>
      <c r="D29" t="s">
        <v>2</v>
      </c>
      <c r="E29">
        <v>17.402032429999998</v>
      </c>
      <c r="F29">
        <v>16.454537290000001</v>
      </c>
      <c r="G29">
        <v>15.929179660000001</v>
      </c>
      <c r="H29">
        <v>15.023295845</v>
      </c>
      <c r="I29">
        <v>14.981013734999999</v>
      </c>
      <c r="J29">
        <v>15.324504905</v>
      </c>
      <c r="K29">
        <v>15.316557925</v>
      </c>
      <c r="L29">
        <v>16.940021134999999</v>
      </c>
      <c r="M29">
        <v>18.534271215</v>
      </c>
      <c r="N29">
        <v>20.747130845000001</v>
      </c>
      <c r="O29">
        <v>21.727260019999999</v>
      </c>
      <c r="P29">
        <v>22.447236905</v>
      </c>
      <c r="Q29">
        <v>23.77231111</v>
      </c>
      <c r="R29">
        <v>23.564158939999999</v>
      </c>
      <c r="S29">
        <v>23.416231639999999</v>
      </c>
      <c r="T29">
        <v>24.203352035000002</v>
      </c>
      <c r="U29">
        <v>24.232783834999999</v>
      </c>
      <c r="V29">
        <v>24.058005434999998</v>
      </c>
      <c r="W29">
        <v>27.026430000000001</v>
      </c>
      <c r="X29">
        <v>25.5869313</v>
      </c>
      <c r="Y29">
        <v>25.42930175</v>
      </c>
      <c r="Z29">
        <v>22.726952279999999</v>
      </c>
      <c r="AA29">
        <v>21.67401289</v>
      </c>
      <c r="AB29">
        <v>20.188583640000001</v>
      </c>
      <c r="AC29">
        <f t="shared" si="0"/>
        <v>20.696087365208335</v>
      </c>
      <c r="AD29">
        <f t="shared" si="1"/>
        <v>21.700636455000001</v>
      </c>
    </row>
    <row r="30" spans="1:30" x14ac:dyDescent="0.25">
      <c r="A30" t="s">
        <v>112</v>
      </c>
      <c r="B30" t="s">
        <v>125</v>
      </c>
      <c r="C30">
        <v>115</v>
      </c>
      <c r="D30" t="s">
        <v>3</v>
      </c>
      <c r="E30">
        <v>5.5006303468000004</v>
      </c>
      <c r="F30">
        <v>5.3143398801000004</v>
      </c>
      <c r="G30">
        <v>5.2807515899000004</v>
      </c>
      <c r="H30">
        <v>5.0699582825</v>
      </c>
      <c r="I30">
        <v>5.1387189804000002</v>
      </c>
      <c r="J30">
        <v>5.2565417542999997</v>
      </c>
      <c r="K30">
        <v>5.2959094835</v>
      </c>
      <c r="L30">
        <v>5.6278011382999997</v>
      </c>
      <c r="M30">
        <v>5.9993424341999999</v>
      </c>
      <c r="N30">
        <v>6.6783325206999997</v>
      </c>
      <c r="O30">
        <v>7.0795346788</v>
      </c>
      <c r="P30">
        <v>7.5440152429999996</v>
      </c>
      <c r="Q30">
        <v>8.4695261256999999</v>
      </c>
      <c r="R30">
        <v>8.1476303888999997</v>
      </c>
      <c r="S30">
        <v>7.9755289066000001</v>
      </c>
      <c r="T30">
        <v>8.1426589584000002</v>
      </c>
      <c r="U30">
        <v>8.0931910485999996</v>
      </c>
      <c r="V30">
        <v>7.8561432360000003</v>
      </c>
      <c r="W30">
        <v>7.9765436752000003</v>
      </c>
      <c r="X30">
        <v>7.3330856469999999</v>
      </c>
      <c r="Y30">
        <v>7.2978927760000003</v>
      </c>
      <c r="Z30">
        <v>6.6374972028999997</v>
      </c>
      <c r="AA30">
        <v>6.5043646684</v>
      </c>
      <c r="AB30">
        <v>6.3519143262000002</v>
      </c>
      <c r="AC30">
        <f t="shared" si="0"/>
        <v>6.690493887183333</v>
      </c>
      <c r="AD30">
        <f t="shared" si="1"/>
        <v>6.6579148618000001</v>
      </c>
    </row>
    <row r="31" spans="1:30" x14ac:dyDescent="0.25">
      <c r="A31" t="s">
        <v>112</v>
      </c>
      <c r="B31" t="s">
        <v>125</v>
      </c>
      <c r="C31">
        <v>115</v>
      </c>
      <c r="D31" t="s">
        <v>4</v>
      </c>
      <c r="E31">
        <v>0.26500557000000002</v>
      </c>
      <c r="F31">
        <v>0.25057670999999998</v>
      </c>
      <c r="G31">
        <v>0.24257634</v>
      </c>
      <c r="H31">
        <v>0.22878115500000001</v>
      </c>
      <c r="I31">
        <v>0.22813726500000001</v>
      </c>
      <c r="J31">
        <v>0.233368095</v>
      </c>
      <c r="K31">
        <v>0.233247075</v>
      </c>
      <c r="L31">
        <v>0.25796986500000002</v>
      </c>
      <c r="M31">
        <v>0.28224778499999997</v>
      </c>
      <c r="N31">
        <v>0.31594615500000001</v>
      </c>
      <c r="O31">
        <v>0.33087198000000001</v>
      </c>
      <c r="P31">
        <v>0.34183609500000001</v>
      </c>
      <c r="Q31">
        <v>0.36201488999999998</v>
      </c>
      <c r="R31">
        <v>0.35884505999999999</v>
      </c>
      <c r="S31">
        <v>0.35659236</v>
      </c>
      <c r="T31">
        <v>0.36857896499999998</v>
      </c>
      <c r="U31">
        <v>0.36902716499999999</v>
      </c>
      <c r="V31">
        <v>0.366365565</v>
      </c>
      <c r="W31">
        <v>0.41156999999999999</v>
      </c>
      <c r="X31">
        <v>0.38964870000000001</v>
      </c>
      <c r="Y31">
        <v>0.38724825000000002</v>
      </c>
      <c r="Z31">
        <v>0.34609572</v>
      </c>
      <c r="AA31">
        <v>0.33006110999999999</v>
      </c>
      <c r="AB31">
        <v>0.30744036000000002</v>
      </c>
      <c r="AC31">
        <f t="shared" si="0"/>
        <v>0.31516884312500004</v>
      </c>
      <c r="AD31">
        <f t="shared" si="1"/>
        <v>0.330466545</v>
      </c>
    </row>
    <row r="32" spans="1:30" x14ac:dyDescent="0.25">
      <c r="A32" t="s">
        <v>112</v>
      </c>
      <c r="B32" t="s">
        <v>126</v>
      </c>
      <c r="C32">
        <v>115</v>
      </c>
      <c r="D32" t="s">
        <v>2</v>
      </c>
      <c r="E32">
        <v>30.872225584999999</v>
      </c>
      <c r="F32">
        <v>29.240403664999999</v>
      </c>
      <c r="G32">
        <v>28.566070695000001</v>
      </c>
      <c r="H32">
        <v>27.236331530000001</v>
      </c>
      <c r="I32">
        <v>27.350690029999999</v>
      </c>
      <c r="J32">
        <v>27.870923690000001</v>
      </c>
      <c r="K32">
        <v>28.669181479999999</v>
      </c>
      <c r="L32">
        <v>31.166855829999999</v>
      </c>
      <c r="M32">
        <v>34.12297676</v>
      </c>
      <c r="N32">
        <v>37.126203345</v>
      </c>
      <c r="O32">
        <v>38.161921980000002</v>
      </c>
      <c r="P32">
        <v>39.987839135000002</v>
      </c>
      <c r="Q32">
        <v>39.41486956</v>
      </c>
      <c r="R32">
        <v>38.163797420000002</v>
      </c>
      <c r="S32">
        <v>37.117420099999997</v>
      </c>
      <c r="T32">
        <v>37.444710975</v>
      </c>
      <c r="U32">
        <v>37.022831535000002</v>
      </c>
      <c r="V32">
        <v>36.989241065000002</v>
      </c>
      <c r="W32">
        <v>40.057389000000001</v>
      </c>
      <c r="X32">
        <v>38.2029098</v>
      </c>
      <c r="Y32">
        <v>38.409089999999999</v>
      </c>
      <c r="Z32">
        <v>33.758336655000001</v>
      </c>
      <c r="AA32">
        <v>32.238428464999998</v>
      </c>
      <c r="AB32">
        <v>30.445409325</v>
      </c>
      <c r="AC32">
        <f t="shared" si="0"/>
        <v>34.151502401041661</v>
      </c>
      <c r="AD32">
        <f t="shared" si="1"/>
        <v>35.556108912500001</v>
      </c>
    </row>
    <row r="33" spans="1:30" x14ac:dyDescent="0.25">
      <c r="A33" t="s">
        <v>112</v>
      </c>
      <c r="B33" t="s">
        <v>126</v>
      </c>
      <c r="C33">
        <v>115</v>
      </c>
      <c r="D33" t="s">
        <v>3</v>
      </c>
      <c r="E33">
        <v>8.2113882909000004</v>
      </c>
      <c r="F33">
        <v>7.5305865161999996</v>
      </c>
      <c r="G33">
        <v>8.0513783393999994</v>
      </c>
      <c r="H33">
        <v>7.5676106190999999</v>
      </c>
      <c r="I33">
        <v>6.8905239826000004</v>
      </c>
      <c r="J33">
        <v>6.8376092358999996</v>
      </c>
      <c r="K33">
        <v>7.8846520595999996</v>
      </c>
      <c r="L33">
        <v>8.9811282996999999</v>
      </c>
      <c r="M33">
        <v>11.179312227200001</v>
      </c>
      <c r="N33">
        <v>11.197774238299999</v>
      </c>
      <c r="O33">
        <v>11.437901891499999</v>
      </c>
      <c r="P33">
        <v>12.2710240567</v>
      </c>
      <c r="Q33">
        <v>12.415488610600001</v>
      </c>
      <c r="R33">
        <v>11.278260487100001</v>
      </c>
      <c r="S33">
        <v>10.5058202361</v>
      </c>
      <c r="T33">
        <v>10.790172587400001</v>
      </c>
      <c r="U33">
        <v>10.346242242900001</v>
      </c>
      <c r="V33">
        <v>10.0522529117</v>
      </c>
      <c r="W33">
        <v>9.3357905383999995</v>
      </c>
      <c r="X33">
        <v>9.1318122429000006</v>
      </c>
      <c r="Y33">
        <v>8.3263628098000009</v>
      </c>
      <c r="Z33">
        <v>7.4341555518</v>
      </c>
      <c r="AA33">
        <v>6.3583537749000003</v>
      </c>
      <c r="AB33">
        <v>6.1020947686999998</v>
      </c>
      <c r="AC33">
        <f t="shared" si="0"/>
        <v>9.1715706883083339</v>
      </c>
      <c r="AD33">
        <f t="shared" si="1"/>
        <v>9.0564702713000003</v>
      </c>
    </row>
    <row r="34" spans="1:30" x14ac:dyDescent="0.25">
      <c r="A34" t="s">
        <v>112</v>
      </c>
      <c r="B34" t="s">
        <v>126</v>
      </c>
      <c r="C34">
        <v>115</v>
      </c>
      <c r="D34" t="s">
        <v>4</v>
      </c>
      <c r="E34">
        <v>0.470135415</v>
      </c>
      <c r="F34">
        <v>0.445285335</v>
      </c>
      <c r="G34">
        <v>0.43501630499999999</v>
      </c>
      <c r="H34">
        <v>0.41476647</v>
      </c>
      <c r="I34">
        <v>0.41650797000000001</v>
      </c>
      <c r="J34">
        <v>0.42443030999999998</v>
      </c>
      <c r="K34">
        <v>0.43658651999999998</v>
      </c>
      <c r="L34">
        <v>0.47462217000000001</v>
      </c>
      <c r="M34">
        <v>0.51963923999999995</v>
      </c>
      <c r="N34">
        <v>0.56537365500000003</v>
      </c>
      <c r="O34">
        <v>0.58114602000000004</v>
      </c>
      <c r="P34">
        <v>0.60895186499999998</v>
      </c>
      <c r="Q34">
        <v>0.60022644000000003</v>
      </c>
      <c r="R34">
        <v>0.58117458</v>
      </c>
      <c r="S34">
        <v>0.56523990000000002</v>
      </c>
      <c r="T34">
        <v>0.57022402500000002</v>
      </c>
      <c r="U34">
        <v>0.563799465</v>
      </c>
      <c r="V34">
        <v>0.56328793499999996</v>
      </c>
      <c r="W34">
        <v>0.61001099999999997</v>
      </c>
      <c r="X34">
        <v>0.58177020000000002</v>
      </c>
      <c r="Y34">
        <v>0.58491000000000004</v>
      </c>
      <c r="Z34">
        <v>0.51408634499999994</v>
      </c>
      <c r="AA34">
        <v>0.49094053500000001</v>
      </c>
      <c r="AB34">
        <v>0.46363567500000002</v>
      </c>
      <c r="AC34">
        <f t="shared" si="0"/>
        <v>0.52007364062500006</v>
      </c>
      <c r="AD34">
        <f t="shared" si="1"/>
        <v>0.54146358750000001</v>
      </c>
    </row>
    <row r="35" spans="1:30" x14ac:dyDescent="0.25">
      <c r="A35" t="s">
        <v>112</v>
      </c>
      <c r="B35" t="s">
        <v>127</v>
      </c>
      <c r="C35">
        <v>115</v>
      </c>
      <c r="D35" t="s">
        <v>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f t="shared" si="0"/>
        <v>0</v>
      </c>
      <c r="AD35">
        <f t="shared" si="1"/>
        <v>0</v>
      </c>
    </row>
    <row r="36" spans="1:30" x14ac:dyDescent="0.25">
      <c r="A36" t="s">
        <v>112</v>
      </c>
      <c r="B36" t="s">
        <v>127</v>
      </c>
      <c r="C36">
        <v>115</v>
      </c>
      <c r="D36" t="s">
        <v>3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f t="shared" si="0"/>
        <v>0</v>
      </c>
      <c r="AD36">
        <f t="shared" si="1"/>
        <v>0</v>
      </c>
    </row>
    <row r="37" spans="1:30" x14ac:dyDescent="0.25">
      <c r="A37" t="s">
        <v>112</v>
      </c>
      <c r="B37" t="s">
        <v>127</v>
      </c>
      <c r="C37">
        <v>115</v>
      </c>
      <c r="D37" t="s">
        <v>4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f t="shared" si="0"/>
        <v>0</v>
      </c>
      <c r="AD37">
        <f t="shared" si="1"/>
        <v>0</v>
      </c>
    </row>
    <row r="38" spans="1:30" x14ac:dyDescent="0.25">
      <c r="A38" t="s">
        <v>112</v>
      </c>
      <c r="B38" t="s">
        <v>129</v>
      </c>
      <c r="C38">
        <v>115</v>
      </c>
      <c r="D38" t="s">
        <v>2</v>
      </c>
      <c r="E38">
        <v>4.1004564999999999</v>
      </c>
      <c r="F38">
        <v>3.9156714849999998</v>
      </c>
      <c r="G38">
        <v>3.8175044150000002</v>
      </c>
      <c r="H38">
        <v>3.6969926200000001</v>
      </c>
      <c r="I38">
        <v>3.77345226</v>
      </c>
      <c r="J38">
        <v>4.0978501899999999</v>
      </c>
      <c r="K38">
        <v>4.40106471</v>
      </c>
      <c r="L38">
        <v>4.6070055549999998</v>
      </c>
      <c r="M38">
        <v>4.9205281000000003</v>
      </c>
      <c r="N38">
        <v>5.4152906449999998</v>
      </c>
      <c r="O38">
        <v>5.5734107249999996</v>
      </c>
      <c r="P38">
        <v>5.8041292450000004</v>
      </c>
      <c r="Q38">
        <v>5.9356149251000003</v>
      </c>
      <c r="R38">
        <v>5.7423618650000003</v>
      </c>
      <c r="S38">
        <v>5.5258155249999996</v>
      </c>
      <c r="T38">
        <v>5.5431170500000002</v>
      </c>
      <c r="U38">
        <v>5.4269372850000002</v>
      </c>
      <c r="V38">
        <v>5.4641624049999997</v>
      </c>
      <c r="W38">
        <v>6.158811</v>
      </c>
      <c r="X38">
        <v>5.9386241000000002</v>
      </c>
      <c r="Y38">
        <v>5.8951264999999999</v>
      </c>
      <c r="Z38">
        <v>5.1644426650000002</v>
      </c>
      <c r="AA38">
        <v>4.8702921149999998</v>
      </c>
      <c r="AB38">
        <v>4.4935759099999997</v>
      </c>
      <c r="AC38">
        <f t="shared" si="0"/>
        <v>5.0117599081291662</v>
      </c>
      <c r="AD38">
        <f t="shared" si="1"/>
        <v>5.289866655</v>
      </c>
    </row>
    <row r="39" spans="1:30" x14ac:dyDescent="0.25">
      <c r="A39" t="s">
        <v>112</v>
      </c>
      <c r="B39" t="s">
        <v>129</v>
      </c>
      <c r="C39">
        <v>115</v>
      </c>
      <c r="D39" t="s">
        <v>3</v>
      </c>
      <c r="E39">
        <v>1.4205966871</v>
      </c>
      <c r="F39">
        <v>1.795419863</v>
      </c>
      <c r="G39">
        <v>1.7492994943</v>
      </c>
      <c r="H39">
        <v>1.6908543209</v>
      </c>
      <c r="I39">
        <v>1.3252977224</v>
      </c>
      <c r="J39">
        <v>1.3264296311999999</v>
      </c>
      <c r="K39">
        <v>1.4023482861000001</v>
      </c>
      <c r="L39">
        <v>1.4291491295000001</v>
      </c>
      <c r="M39">
        <v>1.9369688836000001</v>
      </c>
      <c r="N39">
        <v>2.0644957934999999</v>
      </c>
      <c r="O39">
        <v>2.0887465170000001</v>
      </c>
      <c r="P39">
        <v>1.638208407</v>
      </c>
      <c r="Q39">
        <v>1.5488550297000001</v>
      </c>
      <c r="R39">
        <v>1.5177598382999999</v>
      </c>
      <c r="S39">
        <v>1.4903565330999999</v>
      </c>
      <c r="T39">
        <v>1.4370313018</v>
      </c>
      <c r="U39">
        <v>1.3313974417000001</v>
      </c>
      <c r="V39">
        <v>1.3258753279</v>
      </c>
      <c r="W39">
        <v>1.4749663740000001</v>
      </c>
      <c r="X39">
        <v>1.9180039117000001</v>
      </c>
      <c r="Y39">
        <v>1.8352747983</v>
      </c>
      <c r="Z39">
        <v>1.6362014848999999</v>
      </c>
      <c r="AA39">
        <v>1.6333910288</v>
      </c>
      <c r="AB39">
        <v>1.6782093171000001</v>
      </c>
      <c r="AC39">
        <f t="shared" si="0"/>
        <v>1.6122973801208333</v>
      </c>
      <c r="AD39">
        <f t="shared" si="1"/>
        <v>1.59112302925</v>
      </c>
    </row>
    <row r="40" spans="1:30" x14ac:dyDescent="0.25">
      <c r="A40" t="s">
        <v>112</v>
      </c>
      <c r="B40" t="s">
        <v>129</v>
      </c>
      <c r="C40">
        <v>115</v>
      </c>
      <c r="D40" t="s">
        <v>4</v>
      </c>
      <c r="E40">
        <v>6.2443499999999999E-2</v>
      </c>
      <c r="F40">
        <v>5.9629515000000001E-2</v>
      </c>
      <c r="G40">
        <v>5.8134585000000003E-2</v>
      </c>
      <c r="H40">
        <v>5.6299380000000003E-2</v>
      </c>
      <c r="I40">
        <v>5.7463739999999999E-2</v>
      </c>
      <c r="J40">
        <v>6.2403809999999997E-2</v>
      </c>
      <c r="K40">
        <v>6.7021289999999997E-2</v>
      </c>
      <c r="L40">
        <v>7.0157444999999999E-2</v>
      </c>
      <c r="M40">
        <v>7.4931899999999996E-2</v>
      </c>
      <c r="N40">
        <v>8.2466355000000005E-2</v>
      </c>
      <c r="O40">
        <v>8.4874274999999999E-2</v>
      </c>
      <c r="P40">
        <v>8.8387754999999998E-2</v>
      </c>
      <c r="Q40">
        <v>9.0390074900000006E-2</v>
      </c>
      <c r="R40">
        <v>8.7447134999999995E-2</v>
      </c>
      <c r="S40">
        <v>8.4149475000000001E-2</v>
      </c>
      <c r="T40">
        <v>8.441295E-2</v>
      </c>
      <c r="U40">
        <v>8.2643715000000006E-2</v>
      </c>
      <c r="V40">
        <v>8.3210594999999998E-2</v>
      </c>
      <c r="W40">
        <v>9.3788999999999997E-2</v>
      </c>
      <c r="X40">
        <v>9.04359E-2</v>
      </c>
      <c r="Y40">
        <v>8.9773500000000006E-2</v>
      </c>
      <c r="Z40">
        <v>7.8646334999999998E-2</v>
      </c>
      <c r="AA40">
        <v>7.4166885000000002E-2</v>
      </c>
      <c r="AB40">
        <v>6.8430089999999999E-2</v>
      </c>
      <c r="AC40">
        <f t="shared" si="0"/>
        <v>7.6321216870833306E-2</v>
      </c>
      <c r="AD40">
        <f t="shared" si="1"/>
        <v>8.0556345000000001E-2</v>
      </c>
    </row>
    <row r="41" spans="1:30" x14ac:dyDescent="0.25">
      <c r="A41" t="s">
        <v>112</v>
      </c>
      <c r="B41" t="s">
        <v>130</v>
      </c>
      <c r="C41">
        <v>115</v>
      </c>
      <c r="D41" t="s">
        <v>2</v>
      </c>
      <c r="E41">
        <v>23.851630204999999</v>
      </c>
      <c r="F41">
        <v>22.397059035000002</v>
      </c>
      <c r="G41">
        <v>21.695973465000002</v>
      </c>
      <c r="H41">
        <v>20.493753385000002</v>
      </c>
      <c r="I41">
        <v>20.709551125000001</v>
      </c>
      <c r="J41">
        <v>21.705096534999999</v>
      </c>
      <c r="K41">
        <v>22.3575497</v>
      </c>
      <c r="L41">
        <v>24.693086155</v>
      </c>
      <c r="M41">
        <v>27.738106290000001</v>
      </c>
      <c r="N41">
        <v>30.672867494999998</v>
      </c>
      <c r="O41">
        <v>31.341514060000002</v>
      </c>
      <c r="P41">
        <v>32.418307194999997</v>
      </c>
      <c r="Q41">
        <v>32.583688694999999</v>
      </c>
      <c r="R41">
        <v>31.738981259999999</v>
      </c>
      <c r="S41">
        <v>30.491164545</v>
      </c>
      <c r="T41">
        <v>30.63527891</v>
      </c>
      <c r="U41">
        <v>29.871710849999999</v>
      </c>
      <c r="V41">
        <v>28.760691919999999</v>
      </c>
      <c r="W41">
        <v>32.557303500000003</v>
      </c>
      <c r="X41">
        <v>31.746215100000001</v>
      </c>
      <c r="Y41">
        <v>31.797376</v>
      </c>
      <c r="Z41">
        <v>28.351212645</v>
      </c>
      <c r="AA41">
        <v>26.790647594999999</v>
      </c>
      <c r="AB41">
        <v>24.884848909999999</v>
      </c>
      <c r="AC41">
        <f t="shared" si="0"/>
        <v>27.511817273958332</v>
      </c>
      <c r="AD41">
        <f t="shared" si="1"/>
        <v>28.555952282500002</v>
      </c>
    </row>
    <row r="42" spans="1:30" x14ac:dyDescent="0.25">
      <c r="A42" t="s">
        <v>112</v>
      </c>
      <c r="B42" t="s">
        <v>130</v>
      </c>
      <c r="C42">
        <v>115</v>
      </c>
      <c r="D42" t="s">
        <v>3</v>
      </c>
      <c r="E42">
        <v>7.8396517289999998</v>
      </c>
      <c r="F42">
        <v>7.542789548</v>
      </c>
      <c r="G42">
        <v>7.6346786382999996</v>
      </c>
      <c r="H42">
        <v>7.2185610254999997</v>
      </c>
      <c r="I42">
        <v>6.7848282915000002</v>
      </c>
      <c r="J42">
        <v>6.8528668376999997</v>
      </c>
      <c r="K42">
        <v>7.0588633719000002</v>
      </c>
      <c r="L42">
        <v>7.832269492</v>
      </c>
      <c r="M42">
        <v>8.5016119183000001</v>
      </c>
      <c r="N42">
        <v>9.1932803940000003</v>
      </c>
      <c r="O42">
        <v>9.9410492016000003</v>
      </c>
      <c r="P42">
        <v>10.597752890100001</v>
      </c>
      <c r="Q42">
        <v>10.927867065099999</v>
      </c>
      <c r="R42">
        <v>10.8431677565</v>
      </c>
      <c r="S42">
        <v>10.646852021999999</v>
      </c>
      <c r="T42">
        <v>10.738823345</v>
      </c>
      <c r="U42">
        <v>10.2567443254</v>
      </c>
      <c r="V42">
        <v>9.5649809883000003</v>
      </c>
      <c r="W42">
        <v>9.6588336858999995</v>
      </c>
      <c r="X42">
        <v>9.0983053640999998</v>
      </c>
      <c r="Y42">
        <v>9.2372112720999997</v>
      </c>
      <c r="Z42">
        <v>8.3457403451999994</v>
      </c>
      <c r="AA42">
        <v>8.2112198472000006</v>
      </c>
      <c r="AB42">
        <v>8.0281418108999993</v>
      </c>
      <c r="AC42">
        <f t="shared" si="0"/>
        <v>8.8565037985666653</v>
      </c>
      <c r="AD42">
        <f t="shared" si="1"/>
        <v>8.7999586411999999</v>
      </c>
    </row>
    <row r="43" spans="1:30" x14ac:dyDescent="0.25">
      <c r="A43" t="s">
        <v>112</v>
      </c>
      <c r="B43" t="s">
        <v>130</v>
      </c>
      <c r="C43">
        <v>115</v>
      </c>
      <c r="D43" t="s">
        <v>4</v>
      </c>
      <c r="E43">
        <v>0.36322279499999999</v>
      </c>
      <c r="F43">
        <v>0.34107196499999998</v>
      </c>
      <c r="G43">
        <v>0.33039553500000002</v>
      </c>
      <c r="H43">
        <v>0.31208761499999998</v>
      </c>
      <c r="I43">
        <v>0.31537387500000003</v>
      </c>
      <c r="J43">
        <v>0.330534465</v>
      </c>
      <c r="K43">
        <v>0.3404703</v>
      </c>
      <c r="L43">
        <v>0.37603684500000001</v>
      </c>
      <c r="M43">
        <v>0.42240770999999999</v>
      </c>
      <c r="N43">
        <v>0.46709950500000003</v>
      </c>
      <c r="O43">
        <v>0.47728194000000002</v>
      </c>
      <c r="P43">
        <v>0.49367980500000003</v>
      </c>
      <c r="Q43">
        <v>0.49619830500000001</v>
      </c>
      <c r="R43">
        <v>0.48333473999999998</v>
      </c>
      <c r="S43">
        <v>0.46433245499999998</v>
      </c>
      <c r="T43">
        <v>0.46652708999999998</v>
      </c>
      <c r="U43">
        <v>0.45489914999999997</v>
      </c>
      <c r="V43">
        <v>0.43798007999999999</v>
      </c>
      <c r="W43">
        <v>0.49579649999999997</v>
      </c>
      <c r="X43">
        <v>0.48344490000000001</v>
      </c>
      <c r="Y43">
        <v>0.48422399999999999</v>
      </c>
      <c r="Z43">
        <v>0.43174435500000002</v>
      </c>
      <c r="AA43">
        <v>0.40797940500000002</v>
      </c>
      <c r="AB43">
        <v>0.37895709</v>
      </c>
      <c r="AC43">
        <f t="shared" si="0"/>
        <v>0.41896168437499998</v>
      </c>
      <c r="AD43">
        <f t="shared" si="1"/>
        <v>0.43486221749999998</v>
      </c>
    </row>
    <row r="44" spans="1:30" x14ac:dyDescent="0.25">
      <c r="A44" t="s">
        <v>112</v>
      </c>
      <c r="B44" t="s">
        <v>132</v>
      </c>
      <c r="C44">
        <v>115</v>
      </c>
      <c r="D44" t="s">
        <v>2</v>
      </c>
      <c r="E44">
        <v>2.6787094699999998</v>
      </c>
      <c r="F44">
        <v>2.6661438249999998</v>
      </c>
      <c r="G44">
        <v>2.6824751249999998</v>
      </c>
      <c r="H44">
        <v>2.6124504900000001</v>
      </c>
      <c r="I44">
        <v>2.58057589</v>
      </c>
      <c r="J44">
        <v>2.4871141649999999</v>
      </c>
      <c r="K44">
        <v>2.373088595</v>
      </c>
      <c r="L44">
        <v>2.7054561600000002</v>
      </c>
      <c r="M44">
        <v>3.008864725</v>
      </c>
      <c r="N44">
        <v>3.1141366000000001</v>
      </c>
      <c r="O44">
        <v>2.960428335</v>
      </c>
      <c r="P44">
        <v>3.0968508350000001</v>
      </c>
      <c r="Q44">
        <v>2.9255169799999998</v>
      </c>
      <c r="R44">
        <v>2.7834366400000001</v>
      </c>
      <c r="S44">
        <v>2.8148601100000001</v>
      </c>
      <c r="T44">
        <v>2.8766865899999998</v>
      </c>
      <c r="U44">
        <v>2.6663595400000002</v>
      </c>
      <c r="V44">
        <v>2.713620825</v>
      </c>
      <c r="W44">
        <v>3.3808155000000002</v>
      </c>
      <c r="X44">
        <v>3.5929155499999998</v>
      </c>
      <c r="Y44">
        <v>3.688037</v>
      </c>
      <c r="Z44">
        <v>3.0654559300000002</v>
      </c>
      <c r="AA44">
        <v>2.8066777150000002</v>
      </c>
      <c r="AB44">
        <v>2.6120101949999999</v>
      </c>
      <c r="AC44">
        <f t="shared" si="0"/>
        <v>2.8705286162499992</v>
      </c>
      <c r="AD44">
        <f t="shared" si="1"/>
        <v>2.7950571775000004</v>
      </c>
    </row>
    <row r="45" spans="1:30" x14ac:dyDescent="0.25">
      <c r="A45" t="s">
        <v>112</v>
      </c>
      <c r="B45" t="s">
        <v>132</v>
      </c>
      <c r="C45">
        <v>115</v>
      </c>
      <c r="D45" t="s">
        <v>3</v>
      </c>
      <c r="E45">
        <v>1.2874789654000001</v>
      </c>
      <c r="F45">
        <v>0.98351656080000005</v>
      </c>
      <c r="G45">
        <v>0.96020068039999995</v>
      </c>
      <c r="H45">
        <v>1.0907273158999999</v>
      </c>
      <c r="I45">
        <v>1.0520821443999999</v>
      </c>
      <c r="J45">
        <v>0.91747412390000005</v>
      </c>
      <c r="K45">
        <v>0.84945476740000003</v>
      </c>
      <c r="L45">
        <v>1.1295582239999999</v>
      </c>
      <c r="M45">
        <v>1.1099432291</v>
      </c>
      <c r="N45">
        <v>1.1147153068</v>
      </c>
      <c r="O45">
        <v>1.2360119605</v>
      </c>
      <c r="P45">
        <v>1.2625637089999999</v>
      </c>
      <c r="Q45">
        <v>1.079196993</v>
      </c>
      <c r="R45">
        <v>0.9963401824</v>
      </c>
      <c r="S45">
        <v>1.0383766654</v>
      </c>
      <c r="T45">
        <v>1.0297193048</v>
      </c>
      <c r="U45">
        <v>1.1132349476000001</v>
      </c>
      <c r="V45">
        <v>1.0010304005999999</v>
      </c>
      <c r="W45">
        <v>1.2101738849000001</v>
      </c>
      <c r="X45">
        <v>1.5000824510999999</v>
      </c>
      <c r="Y45">
        <v>1.5035860369</v>
      </c>
      <c r="Z45">
        <v>1.3939832119</v>
      </c>
      <c r="AA45">
        <v>1.1442622247000001</v>
      </c>
      <c r="AB45">
        <v>1.1877836263999999</v>
      </c>
      <c r="AC45">
        <f t="shared" si="0"/>
        <v>1.1329790382208333</v>
      </c>
      <c r="AD45">
        <f t="shared" si="1"/>
        <v>1.1115890883500001</v>
      </c>
    </row>
    <row r="46" spans="1:30" x14ac:dyDescent="0.25">
      <c r="A46" t="s">
        <v>112</v>
      </c>
      <c r="B46" t="s">
        <v>132</v>
      </c>
      <c r="C46">
        <v>115</v>
      </c>
      <c r="D46" t="s">
        <v>4</v>
      </c>
      <c r="E46">
        <v>4.079253E-2</v>
      </c>
      <c r="F46">
        <v>4.0601175000000003E-2</v>
      </c>
      <c r="G46">
        <v>4.0849875000000001E-2</v>
      </c>
      <c r="H46">
        <v>3.9783510000000001E-2</v>
      </c>
      <c r="I46">
        <v>3.9298109999999997E-2</v>
      </c>
      <c r="J46">
        <v>3.7874835000000003E-2</v>
      </c>
      <c r="K46">
        <v>3.6138404999999998E-2</v>
      </c>
      <c r="L46">
        <v>4.1199840000000001E-2</v>
      </c>
      <c r="M46">
        <v>4.5820275000000001E-2</v>
      </c>
      <c r="N46">
        <v>4.7423399999999998E-2</v>
      </c>
      <c r="O46">
        <v>4.5082665000000001E-2</v>
      </c>
      <c r="P46">
        <v>4.7160164999999997E-2</v>
      </c>
      <c r="Q46">
        <v>4.4551019999999997E-2</v>
      </c>
      <c r="R46">
        <v>4.2387359999999999E-2</v>
      </c>
      <c r="S46">
        <v>4.2865889999999997E-2</v>
      </c>
      <c r="T46">
        <v>4.3807409999999998E-2</v>
      </c>
      <c r="U46">
        <v>4.0604460000000002E-2</v>
      </c>
      <c r="V46">
        <v>4.1324174999999998E-2</v>
      </c>
      <c r="W46">
        <v>5.1484500000000002E-2</v>
      </c>
      <c r="X46">
        <v>5.4714449999999998E-2</v>
      </c>
      <c r="Y46">
        <v>5.6162999999999998E-2</v>
      </c>
      <c r="Z46">
        <v>4.6682069999999999E-2</v>
      </c>
      <c r="AA46">
        <v>4.2741284999999997E-2</v>
      </c>
      <c r="AB46">
        <v>3.9776804999999998E-2</v>
      </c>
      <c r="AC46">
        <f t="shared" si="0"/>
        <v>4.3713633750000001E-2</v>
      </c>
      <c r="AD46">
        <f t="shared" si="1"/>
        <v>4.2564322500000001E-2</v>
      </c>
    </row>
    <row r="47" spans="1:30" x14ac:dyDescent="0.25">
      <c r="A47" t="s">
        <v>112</v>
      </c>
      <c r="B47" t="s">
        <v>133</v>
      </c>
      <c r="C47">
        <v>115</v>
      </c>
      <c r="D47" t="s">
        <v>2</v>
      </c>
      <c r="E47">
        <v>6.9056291349999999</v>
      </c>
      <c r="F47">
        <v>6.6617263900000001</v>
      </c>
      <c r="G47">
        <v>6.52112946</v>
      </c>
      <c r="H47">
        <v>6.4288113200000003</v>
      </c>
      <c r="I47">
        <v>6.4223881350000003</v>
      </c>
      <c r="J47">
        <v>6.0792279249999996</v>
      </c>
      <c r="K47">
        <v>6.2902848599999999</v>
      </c>
      <c r="L47">
        <v>7.7994437449999996</v>
      </c>
      <c r="M47">
        <v>8.7565150549999995</v>
      </c>
      <c r="N47">
        <v>10.068123325</v>
      </c>
      <c r="O47">
        <v>9.8236729199999999</v>
      </c>
      <c r="P47">
        <v>10.000658704999999</v>
      </c>
      <c r="Q47">
        <v>9.5029539649999997</v>
      </c>
      <c r="R47">
        <v>9.0717623350000007</v>
      </c>
      <c r="S47">
        <v>8.7374001450000005</v>
      </c>
      <c r="T47">
        <v>8.2047692750000003</v>
      </c>
      <c r="U47">
        <v>8.5502531000000008</v>
      </c>
      <c r="V47">
        <v>8.330079005</v>
      </c>
      <c r="W47">
        <v>7.7160960000000003</v>
      </c>
      <c r="X47">
        <v>7.0611103999999996</v>
      </c>
      <c r="Y47">
        <v>7.0034485000000002</v>
      </c>
      <c r="Z47">
        <v>6.0840790499999997</v>
      </c>
      <c r="AA47">
        <v>5.7143149749999997</v>
      </c>
      <c r="AB47">
        <v>4.7689267500000003</v>
      </c>
      <c r="AC47">
        <f t="shared" si="0"/>
        <v>7.6042835197916654</v>
      </c>
      <c r="AD47">
        <f t="shared" si="1"/>
        <v>7.3886032000000004</v>
      </c>
    </row>
    <row r="48" spans="1:30" x14ac:dyDescent="0.25">
      <c r="A48" t="s">
        <v>112</v>
      </c>
      <c r="B48" t="s">
        <v>133</v>
      </c>
      <c r="C48">
        <v>115</v>
      </c>
      <c r="D48" t="s">
        <v>3</v>
      </c>
      <c r="E48">
        <v>1.9573262032000001</v>
      </c>
      <c r="F48">
        <v>1.8749626997</v>
      </c>
      <c r="G48">
        <v>1.8275853899000001</v>
      </c>
      <c r="H48">
        <v>1.8272655917</v>
      </c>
      <c r="I48">
        <v>1.8203567463000001</v>
      </c>
      <c r="J48">
        <v>1.5888997756000001</v>
      </c>
      <c r="K48">
        <v>1.4365464008</v>
      </c>
      <c r="L48">
        <v>1.389438441</v>
      </c>
      <c r="M48">
        <v>1.3572426154999999</v>
      </c>
      <c r="N48">
        <v>1.7577315027</v>
      </c>
      <c r="O48">
        <v>1.7326307738</v>
      </c>
      <c r="P48">
        <v>1.9014820533000001</v>
      </c>
      <c r="Q48">
        <v>1.7480036513999999</v>
      </c>
      <c r="R48">
        <v>1.7448908028000001</v>
      </c>
      <c r="S48">
        <v>1.9241229939</v>
      </c>
      <c r="T48">
        <v>2.0491247168000002</v>
      </c>
      <c r="U48">
        <v>2.5885514944999999</v>
      </c>
      <c r="V48">
        <v>2.6452048607999998</v>
      </c>
      <c r="W48">
        <v>2.9416422458000002</v>
      </c>
      <c r="X48">
        <v>2.2164546044</v>
      </c>
      <c r="Y48">
        <v>2.0016455328</v>
      </c>
      <c r="Z48">
        <v>0.95916226510000002</v>
      </c>
      <c r="AA48">
        <v>1.7937008515999999</v>
      </c>
      <c r="AB48">
        <v>1.4969472297999999</v>
      </c>
      <c r="AC48">
        <f t="shared" si="0"/>
        <v>1.8575383101333331</v>
      </c>
      <c r="AD48">
        <f t="shared" si="1"/>
        <v>1.8238111690000001</v>
      </c>
    </row>
    <row r="49" spans="1:30" x14ac:dyDescent="0.25">
      <c r="A49" t="s">
        <v>112</v>
      </c>
      <c r="B49" t="s">
        <v>133</v>
      </c>
      <c r="C49">
        <v>115</v>
      </c>
      <c r="D49" t="s">
        <v>4</v>
      </c>
      <c r="E49">
        <v>0.10516186499999999</v>
      </c>
      <c r="F49">
        <v>0.10144760999999999</v>
      </c>
      <c r="G49">
        <v>9.9306539999999999E-2</v>
      </c>
      <c r="H49">
        <v>9.7900680000000004E-2</v>
      </c>
      <c r="I49">
        <v>9.7802865000000003E-2</v>
      </c>
      <c r="J49">
        <v>9.2577074999999995E-2</v>
      </c>
      <c r="K49">
        <v>9.5791139999999997E-2</v>
      </c>
      <c r="L49">
        <v>0.11877325499999999</v>
      </c>
      <c r="M49">
        <v>0.133347945</v>
      </c>
      <c r="N49">
        <v>0.15332167499999999</v>
      </c>
      <c r="O49">
        <v>0.14959908</v>
      </c>
      <c r="P49">
        <v>0.152294295</v>
      </c>
      <c r="Q49">
        <v>0.14471503499999999</v>
      </c>
      <c r="R49">
        <v>0.138148665</v>
      </c>
      <c r="S49">
        <v>0.133056855</v>
      </c>
      <c r="T49">
        <v>0.12494572499999999</v>
      </c>
      <c r="U49">
        <v>0.13020689999999999</v>
      </c>
      <c r="V49">
        <v>0.126853995</v>
      </c>
      <c r="W49">
        <v>0.117504</v>
      </c>
      <c r="X49">
        <v>0.1075296</v>
      </c>
      <c r="Y49">
        <v>0.1066515</v>
      </c>
      <c r="Z49">
        <v>9.2650949999999996E-2</v>
      </c>
      <c r="AA49">
        <v>8.7020025000000001E-2</v>
      </c>
      <c r="AB49">
        <v>7.262325E-2</v>
      </c>
      <c r="AC49">
        <f t="shared" si="0"/>
        <v>0.11580127187499996</v>
      </c>
      <c r="AD49">
        <f t="shared" si="1"/>
        <v>0.1125168</v>
      </c>
    </row>
    <row r="50" spans="1:30" x14ac:dyDescent="0.25">
      <c r="A50" t="s">
        <v>408</v>
      </c>
      <c r="B50" t="s">
        <v>409</v>
      </c>
      <c r="C50">
        <v>115</v>
      </c>
      <c r="D50" t="s">
        <v>2</v>
      </c>
      <c r="E50">
        <v>2.5324931149999999</v>
      </c>
      <c r="F50">
        <v>2.3323755899999998</v>
      </c>
      <c r="G50">
        <v>2.17267163</v>
      </c>
      <c r="H50">
        <v>2.1220485400000002</v>
      </c>
      <c r="I50">
        <v>2.0957086550000001</v>
      </c>
      <c r="J50">
        <v>2.1157987149999999</v>
      </c>
      <c r="K50">
        <v>1.9804469099999999</v>
      </c>
      <c r="L50">
        <v>1.888202645</v>
      </c>
      <c r="M50">
        <v>1.8575346699999999</v>
      </c>
      <c r="N50">
        <v>1.860468985</v>
      </c>
      <c r="O50">
        <v>2.0051418449999998</v>
      </c>
      <c r="P50">
        <v>2.1288686800000001</v>
      </c>
      <c r="Q50">
        <v>2.2692922499999999</v>
      </c>
      <c r="R50">
        <v>2.36666541</v>
      </c>
      <c r="S50">
        <v>2.3868214650000001</v>
      </c>
      <c r="T50">
        <v>2.4813509300000001</v>
      </c>
      <c r="U50">
        <v>2.669662245</v>
      </c>
      <c r="V50">
        <v>2.9219798450000001</v>
      </c>
      <c r="W50">
        <v>3.5269697999999998</v>
      </c>
      <c r="X50">
        <v>3.7745475800000001</v>
      </c>
      <c r="Y50">
        <v>3.6309769350000001</v>
      </c>
      <c r="Z50">
        <v>3.2566838300000001</v>
      </c>
      <c r="AA50">
        <v>2.9362643149999998</v>
      </c>
      <c r="AB50">
        <v>2.69525353</v>
      </c>
      <c r="AC50">
        <f t="shared" si="0"/>
        <v>2.5003428381249999</v>
      </c>
      <c r="AD50">
        <f t="shared" si="1"/>
        <v>2.3495204999999997</v>
      </c>
    </row>
    <row r="51" spans="1:30" x14ac:dyDescent="0.25">
      <c r="A51" t="s">
        <v>408</v>
      </c>
      <c r="B51" t="s">
        <v>409</v>
      </c>
      <c r="C51">
        <v>115</v>
      </c>
      <c r="D51" t="s">
        <v>3</v>
      </c>
      <c r="E51">
        <v>0.83140129279999997</v>
      </c>
      <c r="F51">
        <v>0.79311070530000005</v>
      </c>
      <c r="G51">
        <v>0.74944302490000003</v>
      </c>
      <c r="H51">
        <v>0.73793581580000001</v>
      </c>
      <c r="I51">
        <v>0.77851066349999998</v>
      </c>
      <c r="J51">
        <v>0.76996600749999999</v>
      </c>
      <c r="K51">
        <v>0.89097770089999995</v>
      </c>
      <c r="L51">
        <v>0.79803915800000003</v>
      </c>
      <c r="M51">
        <v>0.82338716050000005</v>
      </c>
      <c r="N51">
        <v>0.80005292289999996</v>
      </c>
      <c r="O51">
        <v>0.90824752689999999</v>
      </c>
      <c r="P51">
        <v>0.96429074010000004</v>
      </c>
      <c r="Q51">
        <v>0.93488908100000001</v>
      </c>
      <c r="R51">
        <v>0.99315162940000001</v>
      </c>
      <c r="S51">
        <v>1.1000851904</v>
      </c>
      <c r="T51">
        <v>1.0146157517000001</v>
      </c>
      <c r="U51">
        <v>1.0831166281</v>
      </c>
      <c r="V51">
        <v>0.99532252519999997</v>
      </c>
      <c r="W51">
        <v>1.0632495847000001</v>
      </c>
      <c r="X51">
        <v>1.0274758933000001</v>
      </c>
      <c r="Y51">
        <v>0.98913644720000005</v>
      </c>
      <c r="Z51">
        <v>0.85008314929999995</v>
      </c>
      <c r="AA51">
        <v>0.80527144490000002</v>
      </c>
      <c r="AB51">
        <v>0.87561095249999998</v>
      </c>
      <c r="AC51">
        <f t="shared" si="0"/>
        <v>0.89905712486666678</v>
      </c>
      <c r="AD51">
        <f t="shared" si="1"/>
        <v>0.88329432669999997</v>
      </c>
    </row>
    <row r="52" spans="1:30" x14ac:dyDescent="0.25">
      <c r="A52" t="s">
        <v>408</v>
      </c>
      <c r="B52" t="s">
        <v>409</v>
      </c>
      <c r="C52">
        <v>115</v>
      </c>
      <c r="D52" t="s">
        <v>4</v>
      </c>
      <c r="E52">
        <v>3.8565885000000001E-2</v>
      </c>
      <c r="F52">
        <v>3.551841E-2</v>
      </c>
      <c r="G52">
        <v>3.3086369999999997E-2</v>
      </c>
      <c r="H52">
        <v>3.2315459999999997E-2</v>
      </c>
      <c r="I52">
        <v>3.1914344999999997E-2</v>
      </c>
      <c r="J52">
        <v>3.2220285000000001E-2</v>
      </c>
      <c r="K52">
        <v>3.015909E-2</v>
      </c>
      <c r="L52">
        <v>2.8754354999999999E-2</v>
      </c>
      <c r="M52">
        <v>2.8287329999999999E-2</v>
      </c>
      <c r="N52">
        <v>2.8332014999999999E-2</v>
      </c>
      <c r="O52">
        <v>3.0535155000000001E-2</v>
      </c>
      <c r="P52">
        <v>3.2419320000000001E-2</v>
      </c>
      <c r="Q52">
        <v>3.4557749999999998E-2</v>
      </c>
      <c r="R52">
        <v>3.6040589999999997E-2</v>
      </c>
      <c r="S52">
        <v>3.6347535E-2</v>
      </c>
      <c r="T52">
        <v>3.7787069999999999E-2</v>
      </c>
      <c r="U52">
        <v>4.0654755000000001E-2</v>
      </c>
      <c r="V52">
        <v>4.4497154999999997E-2</v>
      </c>
      <c r="W52">
        <v>5.37102E-2</v>
      </c>
      <c r="X52">
        <v>5.7480419999999997E-2</v>
      </c>
      <c r="Y52">
        <v>5.5294065000000003E-2</v>
      </c>
      <c r="Z52">
        <v>4.959417E-2</v>
      </c>
      <c r="AA52">
        <v>4.4714684999999997E-2</v>
      </c>
      <c r="AB52">
        <v>4.104447E-2</v>
      </c>
      <c r="AC52">
        <f t="shared" si="0"/>
        <v>3.8076286874999997E-2</v>
      </c>
      <c r="AD52">
        <f t="shared" si="1"/>
        <v>3.5779499999999999E-2</v>
      </c>
    </row>
    <row r="53" spans="1:30" x14ac:dyDescent="0.25">
      <c r="A53" t="s">
        <v>408</v>
      </c>
      <c r="B53" t="s">
        <v>411</v>
      </c>
      <c r="C53">
        <v>115</v>
      </c>
      <c r="D53" t="s">
        <v>2</v>
      </c>
      <c r="E53">
        <v>0.56051720500000002</v>
      </c>
      <c r="F53">
        <v>0.56134165000000003</v>
      </c>
      <c r="G53">
        <v>0.552745555</v>
      </c>
      <c r="H53">
        <v>0.53722786499999997</v>
      </c>
      <c r="I53">
        <v>0.55671411999999998</v>
      </c>
      <c r="J53">
        <v>0.56188340000000003</v>
      </c>
      <c r="K53">
        <v>0.59655244510000005</v>
      </c>
      <c r="L53">
        <v>0.53131195499999995</v>
      </c>
      <c r="M53">
        <v>0.516737895</v>
      </c>
      <c r="N53">
        <v>0.51017385500000001</v>
      </c>
      <c r="O53">
        <v>0.523942185</v>
      </c>
      <c r="P53">
        <v>0.52083254000000001</v>
      </c>
      <c r="Q53">
        <v>0.52959608499999999</v>
      </c>
      <c r="R53">
        <v>0.53164193000000004</v>
      </c>
      <c r="S53">
        <v>0.53200243999999997</v>
      </c>
      <c r="T53">
        <v>0.55042981999999996</v>
      </c>
      <c r="U53">
        <v>0.5462780451</v>
      </c>
      <c r="V53">
        <v>0.58504567500000004</v>
      </c>
      <c r="W53">
        <v>0.66903367000000002</v>
      </c>
      <c r="X53">
        <v>0.66414314500000005</v>
      </c>
      <c r="Y53">
        <v>0.65328746000000004</v>
      </c>
      <c r="Z53">
        <v>0.60093569499999999</v>
      </c>
      <c r="AA53">
        <v>0.58665713500000005</v>
      </c>
      <c r="AB53">
        <v>0.56023352500000001</v>
      </c>
      <c r="AC53">
        <f t="shared" si="0"/>
        <v>0.56413605396666655</v>
      </c>
      <c r="AD53">
        <f t="shared" si="1"/>
        <v>0.55472983750000004</v>
      </c>
    </row>
    <row r="54" spans="1:30" x14ac:dyDescent="0.25">
      <c r="A54" t="s">
        <v>408</v>
      </c>
      <c r="B54" t="s">
        <v>411</v>
      </c>
      <c r="C54">
        <v>115</v>
      </c>
      <c r="D54" t="s">
        <v>3</v>
      </c>
      <c r="E54">
        <v>0.1433946388</v>
      </c>
      <c r="F54">
        <v>0.12584376659999999</v>
      </c>
      <c r="G54">
        <v>0.1235712561</v>
      </c>
      <c r="H54">
        <v>0.12005042639999999</v>
      </c>
      <c r="I54">
        <v>0.1353361038</v>
      </c>
      <c r="J54">
        <v>0.1340026097</v>
      </c>
      <c r="K54">
        <v>0.1480437198</v>
      </c>
      <c r="L54">
        <v>0.14109678179999999</v>
      </c>
      <c r="M54">
        <v>0.14748460699999999</v>
      </c>
      <c r="N54">
        <v>0.1599168772</v>
      </c>
      <c r="O54">
        <v>0.14148397190000001</v>
      </c>
      <c r="P54">
        <v>0.12614560699999999</v>
      </c>
      <c r="Q54">
        <v>0.20183220060000001</v>
      </c>
      <c r="R54">
        <v>0.2024237626</v>
      </c>
      <c r="S54">
        <v>0.1258793329</v>
      </c>
      <c r="T54">
        <v>0.1841782941</v>
      </c>
      <c r="U54">
        <v>0.1717748905</v>
      </c>
      <c r="V54">
        <v>0.21010370589999999</v>
      </c>
      <c r="W54">
        <v>0.31065940489999999</v>
      </c>
      <c r="X54">
        <v>0.2675961825</v>
      </c>
      <c r="Y54">
        <v>0.29048778539999998</v>
      </c>
      <c r="Z54">
        <v>0.23361068660000001</v>
      </c>
      <c r="AA54">
        <v>0.19369782360000001</v>
      </c>
      <c r="AB54">
        <v>0.16187625650000001</v>
      </c>
      <c r="AC54">
        <f t="shared" si="0"/>
        <v>0.17502044550833332</v>
      </c>
      <c r="AD54">
        <f t="shared" si="1"/>
        <v>0.1539802985</v>
      </c>
    </row>
    <row r="55" spans="1:30" x14ac:dyDescent="0.25">
      <c r="A55" t="s">
        <v>408</v>
      </c>
      <c r="B55" t="s">
        <v>411</v>
      </c>
      <c r="C55">
        <v>115</v>
      </c>
      <c r="D55" t="s">
        <v>4</v>
      </c>
      <c r="E55">
        <v>8.5357950000000005E-3</v>
      </c>
      <c r="F55">
        <v>8.5483499999999997E-3</v>
      </c>
      <c r="G55">
        <v>8.4174450000000008E-3</v>
      </c>
      <c r="H55">
        <v>8.1811350000000008E-3</v>
      </c>
      <c r="I55">
        <v>8.4778800000000001E-3</v>
      </c>
      <c r="J55">
        <v>8.5565999999999993E-3</v>
      </c>
      <c r="K55">
        <v>9.0845548999999998E-3</v>
      </c>
      <c r="L55">
        <v>8.0910449999999998E-3</v>
      </c>
      <c r="M55">
        <v>7.8691049999999995E-3</v>
      </c>
      <c r="N55">
        <v>7.7691449999999999E-3</v>
      </c>
      <c r="O55">
        <v>7.9788150000000002E-3</v>
      </c>
      <c r="P55">
        <v>7.9314599999999996E-3</v>
      </c>
      <c r="Q55">
        <v>8.0649150000000006E-3</v>
      </c>
      <c r="R55">
        <v>8.0960700000000003E-3</v>
      </c>
      <c r="S55">
        <v>8.1015600000000007E-3</v>
      </c>
      <c r="T55">
        <v>8.3821799999999995E-3</v>
      </c>
      <c r="U55">
        <v>8.3189548999999998E-3</v>
      </c>
      <c r="V55">
        <v>8.9093249999999992E-3</v>
      </c>
      <c r="W55">
        <v>1.0188330000000001E-2</v>
      </c>
      <c r="X55">
        <v>1.0113855E-2</v>
      </c>
      <c r="Y55">
        <v>9.9485400000000005E-3</v>
      </c>
      <c r="Z55">
        <v>9.1513050000000002E-3</v>
      </c>
      <c r="AA55">
        <v>8.9338649999999992E-3</v>
      </c>
      <c r="AB55">
        <v>8.5314750000000002E-3</v>
      </c>
      <c r="AC55">
        <f t="shared" si="0"/>
        <v>8.5909043666666674E-3</v>
      </c>
      <c r="AD55">
        <f t="shared" si="1"/>
        <v>8.4476625000000014E-3</v>
      </c>
    </row>
    <row r="56" spans="1:30" x14ac:dyDescent="0.25">
      <c r="A56" t="s">
        <v>408</v>
      </c>
      <c r="B56" t="s">
        <v>427</v>
      </c>
      <c r="C56">
        <v>115</v>
      </c>
      <c r="D56" t="s">
        <v>2</v>
      </c>
      <c r="E56">
        <v>2.1752720299999999</v>
      </c>
      <c r="F56">
        <v>2.0629317949999999</v>
      </c>
      <c r="G56">
        <v>1.96744491</v>
      </c>
      <c r="H56">
        <v>1.928646745</v>
      </c>
      <c r="I56">
        <v>1.76649703</v>
      </c>
      <c r="J56">
        <v>1.938362785</v>
      </c>
      <c r="K56">
        <v>1.7493491649999999</v>
      </c>
      <c r="L56">
        <v>1.7792153500000001</v>
      </c>
      <c r="M56">
        <v>1.8738531650000001</v>
      </c>
      <c r="N56">
        <v>2.0490117749999999</v>
      </c>
      <c r="O56">
        <v>2.1750691199999999</v>
      </c>
      <c r="P56">
        <v>2.2910952249999998</v>
      </c>
      <c r="Q56">
        <v>2.2038045249999998</v>
      </c>
      <c r="R56">
        <v>2.2551919749999998</v>
      </c>
      <c r="S56">
        <v>2.1970257549999999</v>
      </c>
      <c r="T56">
        <v>2.15462446</v>
      </c>
      <c r="U56">
        <v>2.2128872099999999</v>
      </c>
      <c r="V56">
        <v>2.3954382449999998</v>
      </c>
      <c r="W56">
        <v>2.8979330399999998</v>
      </c>
      <c r="X56">
        <v>3.1030248149999999</v>
      </c>
      <c r="Y56">
        <v>3.0065647499999999</v>
      </c>
      <c r="Z56">
        <v>2.7203651199999999</v>
      </c>
      <c r="AA56">
        <v>2.4687252000000002</v>
      </c>
      <c r="AB56">
        <v>2.27716831</v>
      </c>
      <c r="AC56">
        <f t="shared" si="0"/>
        <v>2.2353959374999994</v>
      </c>
      <c r="AD56">
        <f t="shared" si="1"/>
        <v>2.1861488924999999</v>
      </c>
    </row>
    <row r="57" spans="1:30" x14ac:dyDescent="0.25">
      <c r="A57" t="s">
        <v>408</v>
      </c>
      <c r="B57" t="s">
        <v>427</v>
      </c>
      <c r="C57">
        <v>115</v>
      </c>
      <c r="D57" t="s">
        <v>3</v>
      </c>
      <c r="E57">
        <v>0.45218385259999999</v>
      </c>
      <c r="F57">
        <v>0.10365628559999999</v>
      </c>
      <c r="G57">
        <v>6.7037819799999995E-2</v>
      </c>
      <c r="H57">
        <v>0.49463955479999999</v>
      </c>
      <c r="I57">
        <v>0.66306270720000005</v>
      </c>
      <c r="J57">
        <v>0.2854496393</v>
      </c>
      <c r="K57">
        <v>0.3444584684</v>
      </c>
      <c r="L57">
        <v>0.17255486289999999</v>
      </c>
      <c r="M57">
        <v>0.1583155292</v>
      </c>
      <c r="N57">
        <v>0.19174525919999999</v>
      </c>
      <c r="O57">
        <v>0.1034892622</v>
      </c>
      <c r="P57">
        <v>0.17150257390000001</v>
      </c>
      <c r="Q57">
        <v>0.33713831700000002</v>
      </c>
      <c r="R57">
        <v>0.33961868210000001</v>
      </c>
      <c r="S57">
        <v>0.63138061109999999</v>
      </c>
      <c r="T57">
        <v>0.2474447739</v>
      </c>
      <c r="U57">
        <v>0.29857458939999998</v>
      </c>
      <c r="V57">
        <v>0.23505808310000001</v>
      </c>
      <c r="W57">
        <v>0.22308839429999999</v>
      </c>
      <c r="X57">
        <v>0.17574455450000001</v>
      </c>
      <c r="Y57">
        <v>0.46520692899999999</v>
      </c>
      <c r="Z57">
        <v>0</v>
      </c>
      <c r="AA57">
        <v>0.49257440650000001</v>
      </c>
      <c r="AB57">
        <v>0.38481749189999997</v>
      </c>
      <c r="AC57">
        <f t="shared" si="0"/>
        <v>0.29328094366250002</v>
      </c>
      <c r="AD57">
        <f t="shared" si="1"/>
        <v>0.26644720659999999</v>
      </c>
    </row>
    <row r="58" spans="1:30" x14ac:dyDescent="0.25">
      <c r="A58" t="s">
        <v>408</v>
      </c>
      <c r="B58" t="s">
        <v>427</v>
      </c>
      <c r="C58">
        <v>115</v>
      </c>
      <c r="D58" t="s">
        <v>4</v>
      </c>
      <c r="E58">
        <v>3.3125969999999998E-2</v>
      </c>
      <c r="F58">
        <v>3.1415205000000002E-2</v>
      </c>
      <c r="G58">
        <v>2.9961089999999999E-2</v>
      </c>
      <c r="H58">
        <v>2.9370255000000001E-2</v>
      </c>
      <c r="I58">
        <v>2.690097E-2</v>
      </c>
      <c r="J58">
        <v>2.9518215E-2</v>
      </c>
      <c r="K58">
        <v>2.6639835000000001E-2</v>
      </c>
      <c r="L58">
        <v>2.7094650000000001E-2</v>
      </c>
      <c r="M58">
        <v>2.8535834999999999E-2</v>
      </c>
      <c r="N58">
        <v>3.1203225000000001E-2</v>
      </c>
      <c r="O58">
        <v>3.312288E-2</v>
      </c>
      <c r="P58">
        <v>3.4889774999999998E-2</v>
      </c>
      <c r="Q58">
        <v>3.3560474999999999E-2</v>
      </c>
      <c r="R58">
        <v>3.4343024999999999E-2</v>
      </c>
      <c r="S58">
        <v>3.3457244999999997E-2</v>
      </c>
      <c r="T58">
        <v>3.281154E-2</v>
      </c>
      <c r="U58">
        <v>3.3698789999999999E-2</v>
      </c>
      <c r="V58">
        <v>3.6478755000000002E-2</v>
      </c>
      <c r="W58">
        <v>4.4130959999999997E-2</v>
      </c>
      <c r="X58">
        <v>4.7254184999999997E-2</v>
      </c>
      <c r="Y58">
        <v>4.578525E-2</v>
      </c>
      <c r="Z58">
        <v>4.1426879999999999E-2</v>
      </c>
      <c r="AA58">
        <v>3.7594799999999998E-2</v>
      </c>
      <c r="AB58">
        <v>3.4677689999999997E-2</v>
      </c>
      <c r="AC58">
        <f t="shared" si="0"/>
        <v>3.4041562500000004E-2</v>
      </c>
      <c r="AD58">
        <f t="shared" si="1"/>
        <v>3.3291607500000001E-2</v>
      </c>
    </row>
    <row r="59" spans="1:30" x14ac:dyDescent="0.25">
      <c r="A59" t="s">
        <v>408</v>
      </c>
      <c r="B59" t="s">
        <v>428</v>
      </c>
      <c r="C59">
        <v>115</v>
      </c>
      <c r="D59" t="s">
        <v>2</v>
      </c>
      <c r="E59">
        <v>10.266470805000001</v>
      </c>
      <c r="F59">
        <v>9.6999894250000001</v>
      </c>
      <c r="G59">
        <v>9.1996498100000004</v>
      </c>
      <c r="H59">
        <v>8.9609547599999999</v>
      </c>
      <c r="I59">
        <v>8.7736038199999999</v>
      </c>
      <c r="J59">
        <v>8.7643014800000003</v>
      </c>
      <c r="K59">
        <v>8.2388719449999996</v>
      </c>
      <c r="L59">
        <v>8.1604137399999992</v>
      </c>
      <c r="M59">
        <v>8.4554566999999992</v>
      </c>
      <c r="N59">
        <v>9.2496651550000006</v>
      </c>
      <c r="O59">
        <v>9.7651550549999993</v>
      </c>
      <c r="P59">
        <v>10.225968590000001</v>
      </c>
      <c r="Q59">
        <v>10.347063504999999</v>
      </c>
      <c r="R59">
        <v>10.407038184999999</v>
      </c>
      <c r="S59">
        <v>10.395613170000001</v>
      </c>
      <c r="T59">
        <v>10.213863925</v>
      </c>
      <c r="U59">
        <v>10.56754098</v>
      </c>
      <c r="V59">
        <v>11.08012119</v>
      </c>
      <c r="W59">
        <v>13.06433277</v>
      </c>
      <c r="X59">
        <v>13.821560385</v>
      </c>
      <c r="Y59">
        <v>13.69376353</v>
      </c>
      <c r="Z59">
        <v>12.309489839999999</v>
      </c>
      <c r="AA59">
        <v>11.331121845</v>
      </c>
      <c r="AB59">
        <v>10.585908275</v>
      </c>
      <c r="AC59">
        <f t="shared" si="0"/>
        <v>10.315746620208333</v>
      </c>
      <c r="AD59">
        <f t="shared" si="1"/>
        <v>10.246219697500001</v>
      </c>
    </row>
    <row r="60" spans="1:30" x14ac:dyDescent="0.25">
      <c r="A60" t="s">
        <v>408</v>
      </c>
      <c r="B60" t="s">
        <v>428</v>
      </c>
      <c r="C60">
        <v>115</v>
      </c>
      <c r="D60" t="s">
        <v>3</v>
      </c>
      <c r="E60">
        <v>1.9291220589</v>
      </c>
      <c r="F60">
        <v>2.0401247095000001</v>
      </c>
      <c r="G60">
        <v>1.9104866503</v>
      </c>
      <c r="H60">
        <v>1.9540497564999999</v>
      </c>
      <c r="I60">
        <v>1.7815562403</v>
      </c>
      <c r="J60">
        <v>1.471307138</v>
      </c>
      <c r="K60">
        <v>1.0524174610999999</v>
      </c>
      <c r="L60">
        <v>1.0637864087</v>
      </c>
      <c r="M60">
        <v>1.1857362915</v>
      </c>
      <c r="N60">
        <v>1.406855271</v>
      </c>
      <c r="O60">
        <v>1.5394882553</v>
      </c>
      <c r="P60">
        <v>1.6520572063000001</v>
      </c>
      <c r="Q60">
        <v>1.6223522819</v>
      </c>
      <c r="R60">
        <v>1.7503104977999999</v>
      </c>
      <c r="S60">
        <v>1.7256955919999999</v>
      </c>
      <c r="T60">
        <v>1.7298147105999999</v>
      </c>
      <c r="U60">
        <v>1.7174104086999999</v>
      </c>
      <c r="V60">
        <v>1.6935381304999999</v>
      </c>
      <c r="W60">
        <v>2.3403884814999998</v>
      </c>
      <c r="X60">
        <v>2.4816976849999999</v>
      </c>
      <c r="Y60">
        <v>2.3668062750000001</v>
      </c>
      <c r="Z60">
        <v>2.1253164949999999</v>
      </c>
      <c r="AA60">
        <v>2.0549571770999999</v>
      </c>
      <c r="AB60">
        <v>2.0575298648000002</v>
      </c>
      <c r="AC60">
        <f t="shared" si="0"/>
        <v>1.7772002103041666</v>
      </c>
      <c r="AD60">
        <f t="shared" si="1"/>
        <v>1.7400626041999998</v>
      </c>
    </row>
    <row r="61" spans="1:30" x14ac:dyDescent="0.25">
      <c r="A61" t="s">
        <v>408</v>
      </c>
      <c r="B61" t="s">
        <v>428</v>
      </c>
      <c r="C61">
        <v>115</v>
      </c>
      <c r="D61" t="s">
        <v>4</v>
      </c>
      <c r="E61">
        <v>0.15634219499999999</v>
      </c>
      <c r="F61">
        <v>0.14771557499999999</v>
      </c>
      <c r="G61">
        <v>0.14009619000000001</v>
      </c>
      <c r="H61">
        <v>0.13646124000000001</v>
      </c>
      <c r="I61">
        <v>0.13360817999999999</v>
      </c>
      <c r="J61">
        <v>0.13346652000000001</v>
      </c>
      <c r="K61">
        <v>0.12546505499999999</v>
      </c>
      <c r="L61">
        <v>0.12427025999999999</v>
      </c>
      <c r="M61">
        <v>0.1287633</v>
      </c>
      <c r="N61">
        <v>0.14085784500000001</v>
      </c>
      <c r="O61">
        <v>0.14870794500000001</v>
      </c>
      <c r="P61">
        <v>0.15572541000000001</v>
      </c>
      <c r="Q61">
        <v>0.157569495</v>
      </c>
      <c r="R61">
        <v>0.158482815</v>
      </c>
      <c r="S61">
        <v>0.15830883000000001</v>
      </c>
      <c r="T61">
        <v>0.155541075</v>
      </c>
      <c r="U61">
        <v>0.16092702</v>
      </c>
      <c r="V61">
        <v>0.16873281000000001</v>
      </c>
      <c r="W61">
        <v>0.19894923</v>
      </c>
      <c r="X61">
        <v>0.21048061500000001</v>
      </c>
      <c r="Y61">
        <v>0.20853447</v>
      </c>
      <c r="Z61">
        <v>0.18745416000000001</v>
      </c>
      <c r="AA61">
        <v>0.17255515499999999</v>
      </c>
      <c r="AB61">
        <v>0.161206725</v>
      </c>
      <c r="AC61">
        <f t="shared" si="0"/>
        <v>0.15709258812499999</v>
      </c>
      <c r="AD61">
        <f t="shared" si="1"/>
        <v>0.15603380249999999</v>
      </c>
    </row>
    <row r="62" spans="1:30" x14ac:dyDescent="0.25">
      <c r="A62" t="s">
        <v>408</v>
      </c>
      <c r="B62" t="s">
        <v>429</v>
      </c>
      <c r="C62">
        <v>34</v>
      </c>
      <c r="D62" t="s">
        <v>2</v>
      </c>
      <c r="E62">
        <v>0.54340175999999996</v>
      </c>
      <c r="F62">
        <v>0.40353939999999999</v>
      </c>
      <c r="G62">
        <v>0.45809801999999999</v>
      </c>
      <c r="H62">
        <v>0.48672272</v>
      </c>
      <c r="I62">
        <v>0.44017047999999998</v>
      </c>
      <c r="J62">
        <v>0.44213182000000001</v>
      </c>
      <c r="K62">
        <v>0.48426376999999998</v>
      </c>
      <c r="L62">
        <v>0.43199337999999998</v>
      </c>
      <c r="M62">
        <v>0.45262528000000002</v>
      </c>
      <c r="N62">
        <v>0.82732852000000001</v>
      </c>
      <c r="O62">
        <v>1.0877075599999999</v>
      </c>
      <c r="P62">
        <v>1.3060768700000001</v>
      </c>
      <c r="Q62">
        <v>1.31224122</v>
      </c>
      <c r="R62">
        <v>1.1456088</v>
      </c>
      <c r="S62">
        <v>1.1724050500000001</v>
      </c>
      <c r="T62">
        <v>0.97104857</v>
      </c>
      <c r="U62">
        <v>0.89659816000000003</v>
      </c>
      <c r="V62">
        <v>0.94102319000000001</v>
      </c>
      <c r="W62">
        <v>1.02049335</v>
      </c>
      <c r="X62">
        <v>1.1372842599999999</v>
      </c>
      <c r="Y62">
        <v>1.08407879</v>
      </c>
      <c r="Z62">
        <v>0.95767226999999999</v>
      </c>
      <c r="AA62">
        <v>0.76541051000000004</v>
      </c>
      <c r="AB62">
        <v>0.77402992999999998</v>
      </c>
      <c r="AC62">
        <f t="shared" si="0"/>
        <v>0.8142480700000001</v>
      </c>
      <c r="AD62">
        <f t="shared" si="1"/>
        <v>0.86196333999999997</v>
      </c>
    </row>
    <row r="63" spans="1:30" x14ac:dyDescent="0.25">
      <c r="A63" t="s">
        <v>408</v>
      </c>
      <c r="B63" t="s">
        <v>429</v>
      </c>
      <c r="C63">
        <v>34</v>
      </c>
      <c r="D63" t="s">
        <v>3</v>
      </c>
      <c r="E63">
        <v>3.8650787800000003E-2</v>
      </c>
      <c r="F63">
        <v>3.2512949100000001E-2</v>
      </c>
      <c r="G63">
        <v>3.41678079E-2</v>
      </c>
      <c r="H63">
        <v>3.88472838E-2</v>
      </c>
      <c r="I63">
        <v>3.20478638E-2</v>
      </c>
      <c r="J63">
        <v>3.49511822E-2</v>
      </c>
      <c r="K63">
        <v>0.1104794652</v>
      </c>
      <c r="L63">
        <v>9.9591987300000004E-2</v>
      </c>
      <c r="M63">
        <v>9.9499060400000006E-2</v>
      </c>
      <c r="N63">
        <v>0.18515574609999999</v>
      </c>
      <c r="O63">
        <v>0.22403561080000001</v>
      </c>
      <c r="P63">
        <v>0.1049020359</v>
      </c>
      <c r="Q63">
        <v>0.1092859427</v>
      </c>
      <c r="R63">
        <v>0.58561174270000005</v>
      </c>
      <c r="S63">
        <v>0.58832182229999996</v>
      </c>
      <c r="T63">
        <v>0.46550415940000001</v>
      </c>
      <c r="U63">
        <v>0.41518738770000002</v>
      </c>
      <c r="V63">
        <v>7.1573357200000007E-2</v>
      </c>
      <c r="W63">
        <v>0.1144473916</v>
      </c>
      <c r="X63">
        <v>0.18167462440000001</v>
      </c>
      <c r="Y63">
        <v>0.21264490010000001</v>
      </c>
      <c r="Z63">
        <v>0.19036666499999999</v>
      </c>
      <c r="AA63">
        <v>0.16368160130000001</v>
      </c>
      <c r="AB63">
        <v>0.14824065210000001</v>
      </c>
      <c r="AC63">
        <f t="shared" si="0"/>
        <v>0.17839091778333335</v>
      </c>
      <c r="AD63">
        <f t="shared" si="1"/>
        <v>0.11246342840000001</v>
      </c>
    </row>
    <row r="64" spans="1:30" x14ac:dyDescent="0.25">
      <c r="A64" t="s">
        <v>408</v>
      </c>
      <c r="B64" t="s">
        <v>429</v>
      </c>
      <c r="C64">
        <v>34</v>
      </c>
      <c r="D64" t="s">
        <v>4</v>
      </c>
      <c r="E64">
        <v>1.680624E-2</v>
      </c>
      <c r="F64">
        <v>1.24806E-2</v>
      </c>
      <c r="G64">
        <v>1.416798E-2</v>
      </c>
      <c r="H64">
        <v>1.505328E-2</v>
      </c>
      <c r="I64">
        <v>1.361352E-2</v>
      </c>
      <c r="J64">
        <v>1.3674179999999999E-2</v>
      </c>
      <c r="K64">
        <v>1.4977229999999999E-2</v>
      </c>
      <c r="L64">
        <v>1.336062E-2</v>
      </c>
      <c r="M64">
        <v>1.3998719999999999E-2</v>
      </c>
      <c r="N64">
        <v>2.5587479999999999E-2</v>
      </c>
      <c r="O64">
        <v>3.3640440000000001E-2</v>
      </c>
      <c r="P64">
        <v>4.039413E-2</v>
      </c>
      <c r="Q64">
        <v>4.0584780000000001E-2</v>
      </c>
      <c r="R64">
        <v>3.5431200000000003E-2</v>
      </c>
      <c r="S64">
        <v>3.6259949999999999E-2</v>
      </c>
      <c r="T64">
        <v>3.0032429999999999E-2</v>
      </c>
      <c r="U64">
        <v>2.7729839999999999E-2</v>
      </c>
      <c r="V64">
        <v>2.9103810000000001E-2</v>
      </c>
      <c r="W64">
        <v>3.1561649999999997E-2</v>
      </c>
      <c r="X64">
        <v>3.5173740000000002E-2</v>
      </c>
      <c r="Y64">
        <v>3.3528210000000003E-2</v>
      </c>
      <c r="Z64">
        <v>2.9618729999999999E-2</v>
      </c>
      <c r="AA64">
        <v>2.3672490000000001E-2</v>
      </c>
      <c r="AB64">
        <v>2.393907E-2</v>
      </c>
      <c r="AC64">
        <f t="shared" si="0"/>
        <v>2.5182930000000003E-2</v>
      </c>
      <c r="AD64">
        <f t="shared" si="1"/>
        <v>2.6658660000000001E-2</v>
      </c>
    </row>
    <row r="65" spans="1:30" x14ac:dyDescent="0.25">
      <c r="A65" t="s">
        <v>408</v>
      </c>
      <c r="B65" t="s">
        <v>430</v>
      </c>
      <c r="C65">
        <v>34</v>
      </c>
      <c r="D65" t="s">
        <v>2</v>
      </c>
      <c r="E65">
        <v>4.8763131900000003</v>
      </c>
      <c r="F65">
        <v>4.6572862199999996</v>
      </c>
      <c r="G65">
        <v>4.6483428199999999</v>
      </c>
      <c r="H65">
        <v>4.6397369800000003</v>
      </c>
      <c r="I65">
        <v>4.5255864099999998</v>
      </c>
      <c r="J65">
        <v>4.5748721100000003</v>
      </c>
      <c r="K65">
        <v>4.5436138599999998</v>
      </c>
      <c r="L65">
        <v>4.4514066300000001</v>
      </c>
      <c r="M65">
        <v>3.9852430600000002</v>
      </c>
      <c r="N65">
        <v>3.9946598199999999</v>
      </c>
      <c r="O65">
        <v>3.81813146</v>
      </c>
      <c r="P65">
        <v>3.6940102600000002</v>
      </c>
      <c r="Q65">
        <v>3.4516421799999999</v>
      </c>
      <c r="R65">
        <v>3.2848293399999999</v>
      </c>
      <c r="S65">
        <v>3.2708400000000002</v>
      </c>
      <c r="T65">
        <v>3.26967988</v>
      </c>
      <c r="U65">
        <v>3.5955096700000002</v>
      </c>
      <c r="V65">
        <v>4.0073503300000004</v>
      </c>
      <c r="W65">
        <v>4.6083351700000001</v>
      </c>
      <c r="X65">
        <v>4.3638301799999999</v>
      </c>
      <c r="Y65">
        <v>4.6313270800000002</v>
      </c>
      <c r="Z65">
        <v>3.8020556499999998</v>
      </c>
      <c r="AA65">
        <v>3.7977255699999999</v>
      </c>
      <c r="AB65">
        <v>3.6889934200000001</v>
      </c>
      <c r="AC65">
        <f t="shared" si="0"/>
        <v>4.090888387083333</v>
      </c>
      <c r="AD65">
        <f t="shared" si="1"/>
        <v>4.0010050750000001</v>
      </c>
    </row>
    <row r="66" spans="1:30" x14ac:dyDescent="0.25">
      <c r="A66" t="s">
        <v>408</v>
      </c>
      <c r="B66" t="s">
        <v>430</v>
      </c>
      <c r="C66">
        <v>34</v>
      </c>
      <c r="D66" t="s">
        <v>3</v>
      </c>
      <c r="E66">
        <v>0.1772527126</v>
      </c>
      <c r="F66">
        <v>0.11218710329999999</v>
      </c>
      <c r="G66">
        <v>2.0788228400000001E-2</v>
      </c>
      <c r="H66">
        <v>3.59403259E-2</v>
      </c>
      <c r="I66">
        <v>9.9168233600000003E-2</v>
      </c>
      <c r="J66">
        <v>9.5978989599999995E-2</v>
      </c>
      <c r="K66">
        <v>0.10754395999999999</v>
      </c>
      <c r="L66">
        <v>8.6785811700000007E-2</v>
      </c>
      <c r="M66">
        <v>0.20418891280000001</v>
      </c>
      <c r="N66">
        <v>0.1384413813</v>
      </c>
      <c r="O66">
        <v>1.7075373299999998E-2</v>
      </c>
      <c r="P66">
        <v>0.145987056</v>
      </c>
      <c r="Q66">
        <v>0.36184277939999998</v>
      </c>
      <c r="R66">
        <v>0.40322105749999998</v>
      </c>
      <c r="S66">
        <v>0.38197376849999998</v>
      </c>
      <c r="T66">
        <v>0.37695076420000001</v>
      </c>
      <c r="U66">
        <v>0.31392969630000001</v>
      </c>
      <c r="V66">
        <v>0.48247754599999998</v>
      </c>
      <c r="W66">
        <v>0.39698731329999998</v>
      </c>
      <c r="X66">
        <v>0.48221217059999999</v>
      </c>
      <c r="Y66">
        <v>0.49573652060000001</v>
      </c>
      <c r="Z66">
        <v>0.40078345199999998</v>
      </c>
      <c r="AA66">
        <v>9.90575073E-2</v>
      </c>
      <c r="AB66">
        <v>0.18163951410000001</v>
      </c>
      <c r="AC66">
        <f t="shared" si="0"/>
        <v>0.23408959076250002</v>
      </c>
      <c r="AD66">
        <f t="shared" si="1"/>
        <v>0.17944611334999999</v>
      </c>
    </row>
    <row r="67" spans="1:30" x14ac:dyDescent="0.25">
      <c r="A67" t="s">
        <v>408</v>
      </c>
      <c r="B67" t="s">
        <v>430</v>
      </c>
      <c r="C67">
        <v>34</v>
      </c>
      <c r="D67" t="s">
        <v>4</v>
      </c>
      <c r="E67">
        <v>0.15081380999999999</v>
      </c>
      <c r="F67">
        <v>0.14403978000000001</v>
      </c>
      <c r="G67">
        <v>0.14376317999999999</v>
      </c>
      <c r="H67">
        <v>0.14349702</v>
      </c>
      <c r="I67">
        <v>0.13996659</v>
      </c>
      <c r="J67">
        <v>0.14149089000000001</v>
      </c>
      <c r="K67">
        <v>0.14052413999999999</v>
      </c>
      <c r="L67">
        <v>0.13767236999999999</v>
      </c>
      <c r="M67">
        <v>0.12325493999999999</v>
      </c>
      <c r="N67">
        <v>0.12354618000000001</v>
      </c>
      <c r="O67">
        <v>0.11808654</v>
      </c>
      <c r="P67">
        <v>0.11424774</v>
      </c>
      <c r="Q67">
        <v>0.10675182</v>
      </c>
      <c r="R67">
        <v>0.10159266</v>
      </c>
      <c r="S67">
        <v>0.10116</v>
      </c>
      <c r="T67">
        <v>0.10112412</v>
      </c>
      <c r="U67">
        <v>0.11120133</v>
      </c>
      <c r="V67">
        <v>0.12393867</v>
      </c>
      <c r="W67">
        <v>0.14252582999999999</v>
      </c>
      <c r="X67">
        <v>0.13496382000000001</v>
      </c>
      <c r="Y67">
        <v>0.14323691999999999</v>
      </c>
      <c r="Z67">
        <v>0.11758935</v>
      </c>
      <c r="AA67">
        <v>0.11745543</v>
      </c>
      <c r="AB67">
        <v>0.11409258</v>
      </c>
      <c r="AC67">
        <f t="shared" ref="AC67:AC91" si="2">AVERAGE(E67:AB67)</f>
        <v>0.12652232124999996</v>
      </c>
      <c r="AD67">
        <f t="shared" ref="AD67:AD91" si="3">MEDIAN(E67:AB67)</f>
        <v>0.123742425</v>
      </c>
    </row>
    <row r="68" spans="1:30" x14ac:dyDescent="0.25">
      <c r="A68" t="s">
        <v>408</v>
      </c>
      <c r="B68" t="s">
        <v>431</v>
      </c>
      <c r="C68">
        <v>34</v>
      </c>
      <c r="D68" t="s">
        <v>2</v>
      </c>
      <c r="E68">
        <v>13.973999450000001</v>
      </c>
      <c r="F68">
        <v>13.81707673</v>
      </c>
      <c r="G68">
        <v>13.605498389999999</v>
      </c>
      <c r="H68">
        <v>13.53300641</v>
      </c>
      <c r="I68">
        <v>13.40279943</v>
      </c>
      <c r="J68">
        <v>13.49163688</v>
      </c>
      <c r="K68">
        <v>14.6496481</v>
      </c>
      <c r="L68">
        <v>16.90675856</v>
      </c>
      <c r="M68">
        <v>19.44412724</v>
      </c>
      <c r="N68">
        <v>18.599879009999999</v>
      </c>
      <c r="O68">
        <v>16.817626229999998</v>
      </c>
      <c r="P68">
        <v>17.14435812</v>
      </c>
      <c r="Q68">
        <v>16.7058347</v>
      </c>
      <c r="R68">
        <v>17.502201790000001</v>
      </c>
      <c r="S68">
        <v>18.01369055</v>
      </c>
      <c r="T68">
        <v>19.394881309999999</v>
      </c>
      <c r="U68">
        <v>18.418247480000002</v>
      </c>
      <c r="V68">
        <v>15.90457299</v>
      </c>
      <c r="W68">
        <v>14.863403119999999</v>
      </c>
      <c r="X68">
        <v>14.653892819999999</v>
      </c>
      <c r="Y68">
        <v>14.85010151</v>
      </c>
      <c r="Z68">
        <v>13.93875062</v>
      </c>
      <c r="AA68">
        <v>13.56623667</v>
      </c>
      <c r="AB68">
        <v>13.501607509999999</v>
      </c>
      <c r="AC68">
        <f t="shared" si="2"/>
        <v>15.695826484166668</v>
      </c>
      <c r="AD68">
        <f t="shared" si="3"/>
        <v>14.856752315</v>
      </c>
    </row>
    <row r="69" spans="1:30" x14ac:dyDescent="0.25">
      <c r="A69" t="s">
        <v>408</v>
      </c>
      <c r="B69" t="s">
        <v>431</v>
      </c>
      <c r="C69">
        <v>34</v>
      </c>
      <c r="D69" t="s">
        <v>3</v>
      </c>
      <c r="E69">
        <v>5.7560640798999998</v>
      </c>
      <c r="F69">
        <v>5.6922743942</v>
      </c>
      <c r="G69">
        <v>5.5275107396000003</v>
      </c>
      <c r="H69">
        <v>5.5231598486999998</v>
      </c>
      <c r="I69">
        <v>5.5183096988000004</v>
      </c>
      <c r="J69">
        <v>5.1543154647999998</v>
      </c>
      <c r="K69">
        <v>2.6406330438999999</v>
      </c>
      <c r="L69">
        <v>2.7842009927000002</v>
      </c>
      <c r="M69">
        <v>2.4333603317999999</v>
      </c>
      <c r="N69">
        <v>2.4099930917000001</v>
      </c>
      <c r="O69">
        <v>2.4386058508000001</v>
      </c>
      <c r="P69">
        <v>2.4491315335000001</v>
      </c>
      <c r="Q69">
        <v>2.0728378743999998</v>
      </c>
      <c r="R69">
        <v>2.0316628296000001</v>
      </c>
      <c r="S69">
        <v>1.8796588326999999</v>
      </c>
      <c r="T69">
        <v>1.6866438243999999</v>
      </c>
      <c r="U69">
        <v>1.8300457722000001</v>
      </c>
      <c r="V69">
        <v>2.0123968759999999</v>
      </c>
      <c r="W69">
        <v>5.1940230603000002</v>
      </c>
      <c r="X69">
        <v>5.9855970391</v>
      </c>
      <c r="Y69">
        <v>6.1592725203000001</v>
      </c>
      <c r="Z69">
        <v>5.7359782240000001</v>
      </c>
      <c r="AA69">
        <v>5.5128196014000004</v>
      </c>
      <c r="AB69">
        <v>5.4396401922999997</v>
      </c>
      <c r="AC69">
        <f t="shared" si="2"/>
        <v>3.9111723215458341</v>
      </c>
      <c r="AD69">
        <f t="shared" si="3"/>
        <v>3.9692582287500002</v>
      </c>
    </row>
    <row r="70" spans="1:30" x14ac:dyDescent="0.25">
      <c r="A70" t="s">
        <v>408</v>
      </c>
      <c r="B70" t="s">
        <v>431</v>
      </c>
      <c r="C70">
        <v>34</v>
      </c>
      <c r="D70" t="s">
        <v>4</v>
      </c>
      <c r="E70">
        <v>0.43218554999999997</v>
      </c>
      <c r="F70">
        <v>0.42733227000000001</v>
      </c>
      <c r="G70">
        <v>0.42078861000000001</v>
      </c>
      <c r="H70">
        <v>0.41854659</v>
      </c>
      <c r="I70">
        <v>0.41451957</v>
      </c>
      <c r="J70">
        <v>0.41726711999999999</v>
      </c>
      <c r="K70">
        <v>0.45308189999999998</v>
      </c>
      <c r="L70">
        <v>0.52288944000000004</v>
      </c>
      <c r="M70">
        <v>0.60136476000000005</v>
      </c>
      <c r="N70">
        <v>0.57525398999999999</v>
      </c>
      <c r="O70">
        <v>0.52013277000000002</v>
      </c>
      <c r="P70">
        <v>0.53023788000000005</v>
      </c>
      <c r="Q70">
        <v>0.51667529999999995</v>
      </c>
      <c r="R70">
        <v>0.54130520999999998</v>
      </c>
      <c r="S70">
        <v>0.55712444999999999</v>
      </c>
      <c r="T70">
        <v>0.59984168999999998</v>
      </c>
      <c r="U70">
        <v>0.56963651999999998</v>
      </c>
      <c r="V70">
        <v>0.49189400999999999</v>
      </c>
      <c r="W70">
        <v>0.45969288000000003</v>
      </c>
      <c r="X70">
        <v>0.45321317999999999</v>
      </c>
      <c r="Y70">
        <v>0.45928149000000001</v>
      </c>
      <c r="Z70">
        <v>0.43109537999999997</v>
      </c>
      <c r="AA70">
        <v>0.41957433</v>
      </c>
      <c r="AB70">
        <v>0.41757548999999999</v>
      </c>
      <c r="AC70">
        <f t="shared" si="2"/>
        <v>0.48543793250000006</v>
      </c>
      <c r="AD70">
        <f t="shared" si="3"/>
        <v>0.45948718500000002</v>
      </c>
    </row>
    <row r="71" spans="1:30" x14ac:dyDescent="0.25">
      <c r="A71" t="s">
        <v>408</v>
      </c>
      <c r="B71" t="s">
        <v>434</v>
      </c>
      <c r="C71">
        <v>115</v>
      </c>
      <c r="D71" t="s">
        <v>2</v>
      </c>
      <c r="E71">
        <v>0.874174695</v>
      </c>
      <c r="F71">
        <v>0.83920620999999995</v>
      </c>
      <c r="G71">
        <v>0.81269986000000005</v>
      </c>
      <c r="H71">
        <v>0.80315521000000001</v>
      </c>
      <c r="I71">
        <v>0.77351163499999998</v>
      </c>
      <c r="J71">
        <v>0.76082779</v>
      </c>
      <c r="K71">
        <v>0.93513634499999998</v>
      </c>
      <c r="L71">
        <v>1.11711805</v>
      </c>
      <c r="M71">
        <v>1.158579655</v>
      </c>
      <c r="N71">
        <v>1.1617533250000001</v>
      </c>
      <c r="O71">
        <v>1.21497977</v>
      </c>
      <c r="P71">
        <v>1.16120074</v>
      </c>
      <c r="Q71">
        <v>0.97092730500000002</v>
      </c>
      <c r="R71">
        <v>0.91465326999999996</v>
      </c>
      <c r="S71">
        <v>0.84257687999999997</v>
      </c>
      <c r="T71">
        <v>0.77413415500000005</v>
      </c>
      <c r="U71">
        <v>0.76540607000000005</v>
      </c>
      <c r="V71">
        <v>0.72155682499999996</v>
      </c>
      <c r="W71">
        <v>0.79993130499999998</v>
      </c>
      <c r="X71">
        <v>0.78221312499999995</v>
      </c>
      <c r="Y71">
        <v>0.83736228999999995</v>
      </c>
      <c r="Z71">
        <v>0.72047627999999997</v>
      </c>
      <c r="AA71">
        <v>0.63728219500000005</v>
      </c>
      <c r="AB71">
        <v>0.68565948499999996</v>
      </c>
      <c r="AC71">
        <f t="shared" si="2"/>
        <v>0.87768843625000004</v>
      </c>
      <c r="AD71">
        <f t="shared" si="3"/>
        <v>0.82503107500000006</v>
      </c>
    </row>
    <row r="72" spans="1:30" x14ac:dyDescent="0.25">
      <c r="A72" t="s">
        <v>408</v>
      </c>
      <c r="B72" t="s">
        <v>434</v>
      </c>
      <c r="C72">
        <v>115</v>
      </c>
      <c r="D72" t="s">
        <v>3</v>
      </c>
      <c r="E72">
        <v>0.19593394019999999</v>
      </c>
      <c r="F72">
        <v>0.1695719712</v>
      </c>
      <c r="G72">
        <v>0.184445418</v>
      </c>
      <c r="H72">
        <v>0.16928789620000001</v>
      </c>
      <c r="I72">
        <v>0.16264755080000001</v>
      </c>
      <c r="J72">
        <v>0.15369466479999999</v>
      </c>
      <c r="K72">
        <v>0.232315734</v>
      </c>
      <c r="L72">
        <v>0.31419364280000001</v>
      </c>
      <c r="M72">
        <v>0.35258459720000002</v>
      </c>
      <c r="N72">
        <v>0.35455214340000002</v>
      </c>
      <c r="O72">
        <v>0.38231238919999999</v>
      </c>
      <c r="P72">
        <v>0.33895347110000001</v>
      </c>
      <c r="Q72">
        <v>0.24282752260000001</v>
      </c>
      <c r="R72">
        <v>0.23134504759999999</v>
      </c>
      <c r="S72">
        <v>0.1965669048</v>
      </c>
      <c r="T72">
        <v>0.1900226314</v>
      </c>
      <c r="U72">
        <v>0.17254490820000001</v>
      </c>
      <c r="V72">
        <v>0.15274518479999999</v>
      </c>
      <c r="W72">
        <v>8.9420371700000001E-2</v>
      </c>
      <c r="X72">
        <v>0.13121683679999999</v>
      </c>
      <c r="Y72">
        <v>0.1003896079</v>
      </c>
      <c r="Z72">
        <v>8.5574670800000002E-2</v>
      </c>
      <c r="AA72">
        <v>7.9335458499999997E-2</v>
      </c>
      <c r="AB72">
        <v>9.2460624000000005E-2</v>
      </c>
      <c r="AC72">
        <f t="shared" si="2"/>
        <v>0.19895596616666669</v>
      </c>
      <c r="AD72">
        <f t="shared" si="3"/>
        <v>0.17849516310000002</v>
      </c>
    </row>
    <row r="73" spans="1:30" x14ac:dyDescent="0.25">
      <c r="A73" t="s">
        <v>408</v>
      </c>
      <c r="B73" t="s">
        <v>434</v>
      </c>
      <c r="C73">
        <v>115</v>
      </c>
      <c r="D73" t="s">
        <v>4</v>
      </c>
      <c r="E73">
        <v>1.3312305E-2</v>
      </c>
      <c r="F73">
        <v>1.2779789999999999E-2</v>
      </c>
      <c r="G73">
        <v>1.2376140000000001E-2</v>
      </c>
      <c r="H73">
        <v>1.223079E-2</v>
      </c>
      <c r="I73">
        <v>1.1779365E-2</v>
      </c>
      <c r="J73">
        <v>1.158621E-2</v>
      </c>
      <c r="K73">
        <v>1.4240655E-2</v>
      </c>
      <c r="L73">
        <v>1.7011950000000001E-2</v>
      </c>
      <c r="M73">
        <v>1.7643345000000001E-2</v>
      </c>
      <c r="N73">
        <v>1.7691675E-2</v>
      </c>
      <c r="O73">
        <v>1.8502230000000001E-2</v>
      </c>
      <c r="P73">
        <v>1.7683259999999999E-2</v>
      </c>
      <c r="Q73">
        <v>1.4785695E-2</v>
      </c>
      <c r="R73">
        <v>1.392873E-2</v>
      </c>
      <c r="S73">
        <v>1.283112E-2</v>
      </c>
      <c r="T73">
        <v>1.1788844999999999E-2</v>
      </c>
      <c r="U73">
        <v>1.165593E-2</v>
      </c>
      <c r="V73">
        <v>1.0988174999999999E-2</v>
      </c>
      <c r="W73">
        <v>1.2181694999999999E-2</v>
      </c>
      <c r="X73">
        <v>1.1911875000000001E-2</v>
      </c>
      <c r="Y73">
        <v>1.2751709999999999E-2</v>
      </c>
      <c r="Z73">
        <v>1.0971720000000001E-2</v>
      </c>
      <c r="AA73">
        <v>9.7048050000000004E-3</v>
      </c>
      <c r="AB73">
        <v>1.0441515E-2</v>
      </c>
      <c r="AC73">
        <f t="shared" si="2"/>
        <v>1.3365813750000004E-2</v>
      </c>
      <c r="AD73">
        <f t="shared" si="3"/>
        <v>1.2563925E-2</v>
      </c>
    </row>
    <row r="74" spans="1:30" x14ac:dyDescent="0.25">
      <c r="A74" t="s">
        <v>408</v>
      </c>
      <c r="B74" t="s">
        <v>435</v>
      </c>
      <c r="C74">
        <v>34</v>
      </c>
      <c r="D74" t="s">
        <v>2</v>
      </c>
      <c r="E74">
        <v>2.9286482500000002</v>
      </c>
      <c r="F74">
        <v>2.86623457</v>
      </c>
      <c r="G74">
        <v>2.6758284200000002</v>
      </c>
      <c r="H74">
        <v>2.6267153799999998</v>
      </c>
      <c r="I74">
        <v>2.5988511600000002</v>
      </c>
      <c r="J74">
        <v>2.4807032200000001</v>
      </c>
      <c r="K74">
        <v>2.5800952399999999</v>
      </c>
      <c r="L74">
        <v>2.7153850199999998</v>
      </c>
      <c r="M74">
        <v>2.8844802700000001</v>
      </c>
      <c r="N74">
        <v>2.9761995899999998</v>
      </c>
      <c r="O74">
        <v>3.0288463399999999</v>
      </c>
      <c r="P74">
        <v>2.8531890400000002</v>
      </c>
      <c r="Q74">
        <v>2.5908341099999999</v>
      </c>
      <c r="R74">
        <v>2.4966956100000002</v>
      </c>
      <c r="S74">
        <v>2.38728834</v>
      </c>
      <c r="T74">
        <v>2.2609487499999998</v>
      </c>
      <c r="U74">
        <v>2.4436094499999998</v>
      </c>
      <c r="V74">
        <v>2.4421796699999998</v>
      </c>
      <c r="W74">
        <v>2.5601859899999999</v>
      </c>
      <c r="X74">
        <v>2.6742541100000001</v>
      </c>
      <c r="Y74">
        <v>2.6053433699999999</v>
      </c>
      <c r="Z74">
        <v>2.3671375600000002</v>
      </c>
      <c r="AA74">
        <v>2.2258483299999998</v>
      </c>
      <c r="AB74">
        <v>2.11348644</v>
      </c>
      <c r="AC74">
        <f t="shared" si="2"/>
        <v>2.5992911762499999</v>
      </c>
      <c r="AD74">
        <f t="shared" si="3"/>
        <v>2.594842635</v>
      </c>
    </row>
    <row r="75" spans="1:30" x14ac:dyDescent="0.25">
      <c r="A75" t="s">
        <v>408</v>
      </c>
      <c r="B75" t="s">
        <v>435</v>
      </c>
      <c r="C75">
        <v>34</v>
      </c>
      <c r="D75" t="s">
        <v>3</v>
      </c>
      <c r="E75">
        <v>0.57855719090000002</v>
      </c>
      <c r="F75">
        <v>0.51714570339999999</v>
      </c>
      <c r="G75">
        <v>0.82541167459999998</v>
      </c>
      <c r="H75">
        <v>0.58798400900000003</v>
      </c>
      <c r="I75">
        <v>0.58349350519999998</v>
      </c>
      <c r="J75">
        <v>0.59455103620000005</v>
      </c>
      <c r="K75">
        <v>0.69299776999999996</v>
      </c>
      <c r="L75">
        <v>0.66822025870000001</v>
      </c>
      <c r="M75">
        <v>0.69823169309999999</v>
      </c>
      <c r="N75">
        <v>0.7878826001</v>
      </c>
      <c r="O75">
        <v>0.61360567509999997</v>
      </c>
      <c r="P75">
        <v>0.59412851899999997</v>
      </c>
      <c r="Q75">
        <v>0.30526684430000001</v>
      </c>
      <c r="R75">
        <v>0.45681880009999998</v>
      </c>
      <c r="S75">
        <v>0.38460205559999999</v>
      </c>
      <c r="T75">
        <v>0.33279608929999999</v>
      </c>
      <c r="U75">
        <v>0.3683287073</v>
      </c>
      <c r="V75">
        <v>0.24612424050000001</v>
      </c>
      <c r="W75">
        <v>0.2701219352</v>
      </c>
      <c r="X75">
        <v>0.16111905309999999</v>
      </c>
      <c r="Y75">
        <v>0.59904769160000004</v>
      </c>
      <c r="Z75">
        <v>0.67430909400000005</v>
      </c>
      <c r="AA75">
        <v>0.8114141212</v>
      </c>
      <c r="AB75">
        <v>0.91031483639999999</v>
      </c>
      <c r="AC75">
        <f t="shared" si="2"/>
        <v>0.55260304599583343</v>
      </c>
      <c r="AD75">
        <f t="shared" si="3"/>
        <v>0.591056264</v>
      </c>
    </row>
    <row r="76" spans="1:30" x14ac:dyDescent="0.25">
      <c r="A76" t="s">
        <v>408</v>
      </c>
      <c r="B76" t="s">
        <v>435</v>
      </c>
      <c r="C76">
        <v>34</v>
      </c>
      <c r="D76" t="s">
        <v>4</v>
      </c>
      <c r="E76">
        <v>9.0576749999999998E-2</v>
      </c>
      <c r="F76">
        <v>8.8646429999999998E-2</v>
      </c>
      <c r="G76">
        <v>8.2757579999999997E-2</v>
      </c>
      <c r="H76">
        <v>8.1238619999999998E-2</v>
      </c>
      <c r="I76">
        <v>8.0376840000000005E-2</v>
      </c>
      <c r="J76">
        <v>7.6722780000000004E-2</v>
      </c>
      <c r="K76">
        <v>7.9796759999999994E-2</v>
      </c>
      <c r="L76">
        <v>8.3980979999999997E-2</v>
      </c>
      <c r="M76">
        <v>8.9210730000000002E-2</v>
      </c>
      <c r="N76">
        <v>9.2047409999999996E-2</v>
      </c>
      <c r="O76">
        <v>9.3675659999999994E-2</v>
      </c>
      <c r="P76">
        <v>8.8242959999999995E-2</v>
      </c>
      <c r="Q76">
        <v>8.0128889999999994E-2</v>
      </c>
      <c r="R76">
        <v>7.7217389999999997E-2</v>
      </c>
      <c r="S76">
        <v>7.3833659999999995E-2</v>
      </c>
      <c r="T76">
        <v>6.9926249999999995E-2</v>
      </c>
      <c r="U76">
        <v>7.5575550000000005E-2</v>
      </c>
      <c r="V76">
        <v>7.5531329999999994E-2</v>
      </c>
      <c r="W76">
        <v>7.9181009999999996E-2</v>
      </c>
      <c r="X76">
        <v>8.2708889999999993E-2</v>
      </c>
      <c r="Y76">
        <v>8.0577629999999997E-2</v>
      </c>
      <c r="Z76">
        <v>7.3210440000000002E-2</v>
      </c>
      <c r="AA76">
        <v>6.8840670000000007E-2</v>
      </c>
      <c r="AB76">
        <v>6.5365560000000003E-2</v>
      </c>
      <c r="AC76">
        <f t="shared" si="2"/>
        <v>8.0390448749999996E-2</v>
      </c>
      <c r="AD76">
        <f t="shared" si="3"/>
        <v>8.0252865000000007E-2</v>
      </c>
    </row>
    <row r="77" spans="1:30" x14ac:dyDescent="0.25">
      <c r="A77" t="s">
        <v>408</v>
      </c>
      <c r="B77" t="s">
        <v>436</v>
      </c>
      <c r="C77">
        <v>34</v>
      </c>
      <c r="D77" t="s">
        <v>2</v>
      </c>
      <c r="E77">
        <v>1.80466463</v>
      </c>
      <c r="F77">
        <v>1.76064797</v>
      </c>
      <c r="G77">
        <v>1.76502267</v>
      </c>
      <c r="H77">
        <v>1.7564342900000001</v>
      </c>
      <c r="I77">
        <v>1.82921242</v>
      </c>
      <c r="J77">
        <v>1.90619647</v>
      </c>
      <c r="K77">
        <v>1.93705605</v>
      </c>
      <c r="L77">
        <v>1.45428705</v>
      </c>
      <c r="M77">
        <v>1.2909186800000001</v>
      </c>
      <c r="N77">
        <v>1.22870579</v>
      </c>
      <c r="O77">
        <v>1.0570284000000001</v>
      </c>
      <c r="P77">
        <v>0.97815576000000004</v>
      </c>
      <c r="Q77">
        <v>0.97857285999999999</v>
      </c>
      <c r="R77">
        <v>0.99924162000000005</v>
      </c>
      <c r="S77">
        <v>1.0336417</v>
      </c>
      <c r="T77">
        <v>1.1710557800000001</v>
      </c>
      <c r="U77">
        <v>1.27347323</v>
      </c>
      <c r="V77">
        <v>1.4947544800000001</v>
      </c>
      <c r="W77">
        <v>1.62920909</v>
      </c>
      <c r="X77">
        <v>1.59510486</v>
      </c>
      <c r="Y77">
        <v>1.6776567099999999</v>
      </c>
      <c r="Z77">
        <v>1.6958122</v>
      </c>
      <c r="AA77">
        <v>1.6862489700000001</v>
      </c>
      <c r="AB77">
        <v>1.6743199099999999</v>
      </c>
      <c r="AC77">
        <f t="shared" si="2"/>
        <v>1.4865592329166668</v>
      </c>
      <c r="AD77">
        <f t="shared" si="3"/>
        <v>1.612156975</v>
      </c>
    </row>
    <row r="78" spans="1:30" x14ac:dyDescent="0.25">
      <c r="A78" t="s">
        <v>408</v>
      </c>
      <c r="B78" t="s">
        <v>436</v>
      </c>
      <c r="C78">
        <v>34</v>
      </c>
      <c r="D78" t="s">
        <v>3</v>
      </c>
      <c r="E78">
        <v>0.2077344035</v>
      </c>
      <c r="F78">
        <v>0.16322844440000001</v>
      </c>
      <c r="G78">
        <v>6.7939434800000004E-2</v>
      </c>
      <c r="H78">
        <v>0.2035786614</v>
      </c>
      <c r="I78">
        <v>0.84795122280000002</v>
      </c>
      <c r="J78">
        <v>0.97039086860000001</v>
      </c>
      <c r="K78">
        <v>0.96439444379999995</v>
      </c>
      <c r="L78">
        <v>0.6143827462</v>
      </c>
      <c r="M78">
        <v>9.8186085899999997E-2</v>
      </c>
      <c r="N78">
        <v>0.13779822550000001</v>
      </c>
      <c r="O78">
        <v>0.168854212</v>
      </c>
      <c r="P78">
        <v>0.1918678197</v>
      </c>
      <c r="Q78">
        <v>0.1945212969</v>
      </c>
      <c r="R78">
        <v>0.28270928880000001</v>
      </c>
      <c r="S78">
        <v>0.28052291750000002</v>
      </c>
      <c r="T78">
        <v>0.31915796460000001</v>
      </c>
      <c r="U78">
        <v>0.35710200250000002</v>
      </c>
      <c r="V78">
        <v>0.61630456079999996</v>
      </c>
      <c r="W78">
        <v>0.1308555065</v>
      </c>
      <c r="X78">
        <v>0.13284336429999999</v>
      </c>
      <c r="Y78">
        <v>0.85758373160000001</v>
      </c>
      <c r="Z78">
        <v>0.85097153400000003</v>
      </c>
      <c r="AA78">
        <v>0.80835906010000003</v>
      </c>
      <c r="AB78">
        <v>0.77532671909999995</v>
      </c>
      <c r="AC78">
        <f t="shared" si="2"/>
        <v>0.42677352147083331</v>
      </c>
      <c r="AD78">
        <f t="shared" si="3"/>
        <v>0.28161610315000002</v>
      </c>
    </row>
    <row r="79" spans="1:30" x14ac:dyDescent="0.25">
      <c r="A79" t="s">
        <v>408</v>
      </c>
      <c r="B79" t="s">
        <v>436</v>
      </c>
      <c r="C79">
        <v>34</v>
      </c>
      <c r="D79" t="s">
        <v>4</v>
      </c>
      <c r="E79">
        <v>5.5814370000000002E-2</v>
      </c>
      <c r="F79">
        <v>5.4453029999999999E-2</v>
      </c>
      <c r="G79">
        <v>5.4588329999999997E-2</v>
      </c>
      <c r="H79">
        <v>5.4322710000000003E-2</v>
      </c>
      <c r="I79">
        <v>5.6573579999999998E-2</v>
      </c>
      <c r="J79">
        <v>5.8954529999999998E-2</v>
      </c>
      <c r="K79">
        <v>5.9908950000000002E-2</v>
      </c>
      <c r="L79">
        <v>4.4977950000000003E-2</v>
      </c>
      <c r="M79">
        <v>3.992532E-2</v>
      </c>
      <c r="N79">
        <v>3.8001210000000001E-2</v>
      </c>
      <c r="O79">
        <v>3.2691600000000001E-2</v>
      </c>
      <c r="P79">
        <v>3.025224E-2</v>
      </c>
      <c r="Q79">
        <v>3.0265139999999999E-2</v>
      </c>
      <c r="R79">
        <v>3.0904379999999999E-2</v>
      </c>
      <c r="S79">
        <v>3.1968299999999998E-2</v>
      </c>
      <c r="T79">
        <v>3.6218220000000002E-2</v>
      </c>
      <c r="U79">
        <v>3.9385770000000001E-2</v>
      </c>
      <c r="V79">
        <v>4.6229520000000003E-2</v>
      </c>
      <c r="W79">
        <v>5.0387910000000001E-2</v>
      </c>
      <c r="X79">
        <v>4.9333139999999998E-2</v>
      </c>
      <c r="Y79">
        <v>5.1886290000000002E-2</v>
      </c>
      <c r="Z79">
        <v>5.2447800000000003E-2</v>
      </c>
      <c r="AA79">
        <v>5.2152030000000002E-2</v>
      </c>
      <c r="AB79">
        <v>5.1783089999999997E-2</v>
      </c>
      <c r="AC79">
        <f t="shared" si="2"/>
        <v>4.597605875E-2</v>
      </c>
      <c r="AD79">
        <f t="shared" si="3"/>
        <v>4.9860525000000003E-2</v>
      </c>
    </row>
    <row r="80" spans="1:30" x14ac:dyDescent="0.25">
      <c r="A80" t="s">
        <v>408</v>
      </c>
      <c r="B80" t="s">
        <v>444</v>
      </c>
      <c r="C80">
        <v>115</v>
      </c>
      <c r="D80" t="s">
        <v>2</v>
      </c>
      <c r="E80">
        <v>17.059476024999999</v>
      </c>
      <c r="F80">
        <v>16.90481428</v>
      </c>
      <c r="G80">
        <v>16.210210010000001</v>
      </c>
      <c r="H80">
        <v>16.393496840000001</v>
      </c>
      <c r="I80">
        <v>16.784401970000001</v>
      </c>
      <c r="J80">
        <v>17.068880804999999</v>
      </c>
      <c r="K80">
        <v>16.5126779</v>
      </c>
      <c r="L80">
        <v>15.77589199</v>
      </c>
      <c r="M80">
        <v>14.117810954999999</v>
      </c>
      <c r="N80">
        <v>14.24603727</v>
      </c>
      <c r="O80">
        <v>14.92811234</v>
      </c>
      <c r="P80">
        <v>14.617470920000001</v>
      </c>
      <c r="Q80">
        <v>14.78314595</v>
      </c>
      <c r="R80">
        <v>14.8373899</v>
      </c>
      <c r="S80">
        <v>14.12250448</v>
      </c>
      <c r="T80">
        <v>14.36710953</v>
      </c>
      <c r="U80">
        <v>15.885260479999999</v>
      </c>
      <c r="V80">
        <v>16.683561610000002</v>
      </c>
      <c r="W80">
        <v>17.496679109999999</v>
      </c>
      <c r="X80">
        <v>18.374631279999999</v>
      </c>
      <c r="Y80">
        <v>18.476113860000002</v>
      </c>
      <c r="Z80">
        <v>17.795451280000002</v>
      </c>
      <c r="AA80">
        <v>15.833791274999999</v>
      </c>
      <c r="AB80">
        <v>14.75839487</v>
      </c>
      <c r="AC80">
        <f t="shared" si="2"/>
        <v>16.001388122083338</v>
      </c>
      <c r="AD80">
        <f t="shared" si="3"/>
        <v>16.047735244999998</v>
      </c>
    </row>
    <row r="81" spans="1:30" x14ac:dyDescent="0.25">
      <c r="A81" t="s">
        <v>408</v>
      </c>
      <c r="B81" t="s">
        <v>444</v>
      </c>
      <c r="C81">
        <v>115</v>
      </c>
      <c r="D81" t="s">
        <v>3</v>
      </c>
      <c r="E81">
        <v>4.9987780300000004</v>
      </c>
      <c r="F81">
        <v>4.3028374121999997</v>
      </c>
      <c r="G81">
        <v>4.6521283081</v>
      </c>
      <c r="H81">
        <v>4.7515062732000004</v>
      </c>
      <c r="I81">
        <v>4.8993521209999997</v>
      </c>
      <c r="J81">
        <v>4.9876774401999997</v>
      </c>
      <c r="K81">
        <v>5.2393721022999999</v>
      </c>
      <c r="L81">
        <v>3.8752307502000001</v>
      </c>
      <c r="M81">
        <v>4.0715399037999997</v>
      </c>
      <c r="N81">
        <v>4.0457812345999997</v>
      </c>
      <c r="O81">
        <v>4.1854819458000003</v>
      </c>
      <c r="P81">
        <v>4.1304093566000004</v>
      </c>
      <c r="Q81">
        <v>4.4799863350000004</v>
      </c>
      <c r="R81">
        <v>5.4289427022999996</v>
      </c>
      <c r="S81">
        <v>5.3471285614999999</v>
      </c>
      <c r="T81">
        <v>5.4841646081000004</v>
      </c>
      <c r="U81">
        <v>6.2522406628000002</v>
      </c>
      <c r="V81">
        <v>6.7816509148000002</v>
      </c>
      <c r="W81">
        <v>7.1645788907999997</v>
      </c>
      <c r="X81">
        <v>7.1185005226999998</v>
      </c>
      <c r="Y81">
        <v>7.2147354765999996</v>
      </c>
      <c r="Z81">
        <v>7.2896622460999998</v>
      </c>
      <c r="AA81">
        <v>6.8454839022999998</v>
      </c>
      <c r="AB81">
        <v>6.2232528289999998</v>
      </c>
      <c r="AC81">
        <f t="shared" si="2"/>
        <v>5.4071009387499993</v>
      </c>
      <c r="AD81">
        <f t="shared" si="3"/>
        <v>5.1190750661499997</v>
      </c>
    </row>
    <row r="82" spans="1:30" x14ac:dyDescent="0.25">
      <c r="A82" t="s">
        <v>408</v>
      </c>
      <c r="B82" t="s">
        <v>444</v>
      </c>
      <c r="C82">
        <v>115</v>
      </c>
      <c r="D82" t="s">
        <v>4</v>
      </c>
      <c r="E82">
        <v>0.25978897499999998</v>
      </c>
      <c r="F82">
        <v>0.25743371999999998</v>
      </c>
      <c r="G82">
        <v>0.24685599</v>
      </c>
      <c r="H82">
        <v>0.24964716000000001</v>
      </c>
      <c r="I82">
        <v>0.25560002999999998</v>
      </c>
      <c r="J82">
        <v>0.25993219499999998</v>
      </c>
      <c r="K82">
        <v>0.25146210000000002</v>
      </c>
      <c r="L82">
        <v>0.24024201000000001</v>
      </c>
      <c r="M82">
        <v>0.21499204499999999</v>
      </c>
      <c r="N82">
        <v>0.21694473</v>
      </c>
      <c r="O82">
        <v>0.22733165999999999</v>
      </c>
      <c r="P82">
        <v>0.22260108000000001</v>
      </c>
      <c r="Q82">
        <v>0.22512404999999999</v>
      </c>
      <c r="R82">
        <v>0.22595009999999999</v>
      </c>
      <c r="S82">
        <v>0.21506352000000001</v>
      </c>
      <c r="T82">
        <v>0.21878847000000001</v>
      </c>
      <c r="U82">
        <v>0.24190751999999999</v>
      </c>
      <c r="V82">
        <v>0.25406438999999997</v>
      </c>
      <c r="W82">
        <v>0.26644688999999999</v>
      </c>
      <c r="X82">
        <v>0.27981672000000002</v>
      </c>
      <c r="Y82">
        <v>0.28136213999999998</v>
      </c>
      <c r="Z82">
        <v>0.27099672000000002</v>
      </c>
      <c r="AA82">
        <v>0.24112372500000001</v>
      </c>
      <c r="AB82">
        <v>0.22474712999999999</v>
      </c>
      <c r="AC82">
        <f t="shared" si="2"/>
        <v>0.24367596124999993</v>
      </c>
      <c r="AD82">
        <f t="shared" si="3"/>
        <v>0.24438175499999998</v>
      </c>
    </row>
    <row r="83" spans="1:30" x14ac:dyDescent="0.25">
      <c r="A83" t="s">
        <v>408</v>
      </c>
      <c r="B83" t="s">
        <v>446</v>
      </c>
      <c r="C83">
        <v>220</v>
      </c>
      <c r="D83" t="s">
        <v>2</v>
      </c>
      <c r="E83">
        <v>1.214766</v>
      </c>
      <c r="F83">
        <v>1.1625760000000001</v>
      </c>
      <c r="G83">
        <v>1.1056569999999999</v>
      </c>
      <c r="H83">
        <v>1.118088</v>
      </c>
      <c r="I83">
        <v>1.0515840000000001</v>
      </c>
      <c r="J83">
        <v>1.3974409999999999</v>
      </c>
      <c r="K83">
        <v>1.685962</v>
      </c>
      <c r="L83">
        <v>1.836738</v>
      </c>
      <c r="M83">
        <v>2.054249</v>
      </c>
      <c r="N83">
        <v>1.6973879999999999</v>
      </c>
      <c r="O83">
        <v>1.9005399999999999</v>
      </c>
      <c r="P83">
        <v>1.9214659999999999</v>
      </c>
      <c r="Q83">
        <v>2.1737709999999999</v>
      </c>
      <c r="R83">
        <v>1.828146</v>
      </c>
      <c r="S83">
        <v>1.985247</v>
      </c>
      <c r="T83">
        <v>1.948372</v>
      </c>
      <c r="U83">
        <v>2.0617209999999999</v>
      </c>
      <c r="V83">
        <v>2.1514380000000002</v>
      </c>
      <c r="W83">
        <v>2.6467499999999999</v>
      </c>
      <c r="X83">
        <v>2.6520779999999999</v>
      </c>
      <c r="Y83">
        <v>2.3158280000000002</v>
      </c>
      <c r="Z83">
        <v>1.781061</v>
      </c>
      <c r="AA83">
        <v>1.40886</v>
      </c>
      <c r="AB83">
        <v>1.2705249999999999</v>
      </c>
      <c r="AC83">
        <f t="shared" si="2"/>
        <v>1.7654271666666668</v>
      </c>
      <c r="AD83">
        <f t="shared" si="3"/>
        <v>1.8324419999999999</v>
      </c>
    </row>
    <row r="84" spans="1:30" x14ac:dyDescent="0.25">
      <c r="A84" t="s">
        <v>408</v>
      </c>
      <c r="B84" t="s">
        <v>446</v>
      </c>
      <c r="C84">
        <v>220</v>
      </c>
      <c r="D84" t="s">
        <v>3</v>
      </c>
      <c r="E84">
        <v>0.46848147309999999</v>
      </c>
      <c r="F84">
        <v>0.46261812320000001</v>
      </c>
      <c r="G84">
        <v>0.44280372690000003</v>
      </c>
      <c r="H84">
        <v>0.44133369950000001</v>
      </c>
      <c r="I84">
        <v>0.305037685</v>
      </c>
      <c r="J84">
        <v>0.358820788</v>
      </c>
      <c r="K84">
        <v>0.4032329824</v>
      </c>
      <c r="L84">
        <v>0.53713737029999997</v>
      </c>
      <c r="M84">
        <v>0.59356343990000004</v>
      </c>
      <c r="N84">
        <v>0.6139275635</v>
      </c>
      <c r="O84">
        <v>0.52951617289999997</v>
      </c>
      <c r="P84">
        <v>0.471395703</v>
      </c>
      <c r="Q84">
        <v>0.55573231430000003</v>
      </c>
      <c r="R84">
        <v>0.51562857600000001</v>
      </c>
      <c r="S84">
        <v>0.62170354039999998</v>
      </c>
      <c r="T84">
        <v>0.63178449520000002</v>
      </c>
      <c r="U84">
        <v>0.64018096479999997</v>
      </c>
      <c r="V84">
        <v>0.59317462750000005</v>
      </c>
      <c r="W84">
        <v>0.54665484180000001</v>
      </c>
      <c r="X84">
        <v>0.42947931919999999</v>
      </c>
      <c r="Y84">
        <v>0.39703092779999999</v>
      </c>
      <c r="Z84">
        <v>0.33526901999999997</v>
      </c>
      <c r="AA84">
        <v>0.37143011980000001</v>
      </c>
      <c r="AB84">
        <v>0.45957788669999999</v>
      </c>
      <c r="AC84">
        <f t="shared" si="2"/>
        <v>0.48856314005000007</v>
      </c>
      <c r="AD84">
        <f t="shared" si="3"/>
        <v>0.46993858804999999</v>
      </c>
    </row>
    <row r="85" spans="1:30" x14ac:dyDescent="0.25">
      <c r="A85" t="s">
        <v>408</v>
      </c>
      <c r="B85" t="s">
        <v>446</v>
      </c>
      <c r="C85">
        <v>220</v>
      </c>
      <c r="D85" t="s">
        <v>4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f t="shared" si="2"/>
        <v>0</v>
      </c>
      <c r="AD85">
        <f t="shared" si="3"/>
        <v>0</v>
      </c>
    </row>
    <row r="86" spans="1:30" x14ac:dyDescent="0.25">
      <c r="A86" t="s">
        <v>408</v>
      </c>
      <c r="B86" t="s">
        <v>448</v>
      </c>
      <c r="C86">
        <v>115</v>
      </c>
      <c r="D86" t="s">
        <v>2</v>
      </c>
      <c r="E86">
        <v>1.5915206449999999</v>
      </c>
      <c r="F86">
        <v>1.521236955</v>
      </c>
      <c r="G86">
        <v>1.46942694</v>
      </c>
      <c r="H86">
        <v>1.4290251949999999</v>
      </c>
      <c r="I86">
        <v>1.29810786</v>
      </c>
      <c r="J86">
        <v>1.3845445649999999</v>
      </c>
      <c r="K86">
        <v>1.3623968399999999</v>
      </c>
      <c r="L86">
        <v>1.4386309150000001</v>
      </c>
      <c r="M86">
        <v>1.574688965</v>
      </c>
      <c r="N86">
        <v>1.8216521050000001</v>
      </c>
      <c r="O86">
        <v>1.9201786999999999</v>
      </c>
      <c r="P86">
        <v>1.9211046000000001</v>
      </c>
      <c r="Q86">
        <v>1.8934497400000001</v>
      </c>
      <c r="R86">
        <v>1.8636062099999999</v>
      </c>
      <c r="S86">
        <v>1.8289381499999999</v>
      </c>
      <c r="T86">
        <v>1.83378632</v>
      </c>
      <c r="U86">
        <v>1.851789165</v>
      </c>
      <c r="V86">
        <v>1.9794057650000001</v>
      </c>
      <c r="W86">
        <v>1.9416517</v>
      </c>
      <c r="X86">
        <v>1.9702915599999999</v>
      </c>
      <c r="Y86">
        <v>2.3604953700000002</v>
      </c>
      <c r="Z86">
        <v>1.7737298850000001</v>
      </c>
      <c r="AA86">
        <v>1.63787573</v>
      </c>
      <c r="AB86">
        <v>1.59150981</v>
      </c>
      <c r="AC86">
        <f t="shared" si="2"/>
        <v>1.719126820416667</v>
      </c>
      <c r="AD86">
        <f t="shared" si="3"/>
        <v>1.797690995</v>
      </c>
    </row>
    <row r="87" spans="1:30" x14ac:dyDescent="0.25">
      <c r="A87" t="s">
        <v>408</v>
      </c>
      <c r="B87" t="s">
        <v>448</v>
      </c>
      <c r="C87">
        <v>115</v>
      </c>
      <c r="D87" t="s">
        <v>3</v>
      </c>
      <c r="E87">
        <v>0.73090143969999999</v>
      </c>
      <c r="F87">
        <v>0.53268284020000001</v>
      </c>
      <c r="G87">
        <v>6.2384622600000002E-2</v>
      </c>
      <c r="H87">
        <v>0.40617284250000002</v>
      </c>
      <c r="I87">
        <v>0.59777095430000005</v>
      </c>
      <c r="J87">
        <v>0.28894519410000002</v>
      </c>
      <c r="K87">
        <v>2.9225290500000001E-2</v>
      </c>
      <c r="L87">
        <v>0.39331529189999997</v>
      </c>
      <c r="M87">
        <v>0.13839769160000001</v>
      </c>
      <c r="N87">
        <v>0.18650093549999999</v>
      </c>
      <c r="O87">
        <v>0.46558504480000001</v>
      </c>
      <c r="P87">
        <v>0.16459018559999999</v>
      </c>
      <c r="Q87">
        <v>6.5070879400000003E-2</v>
      </c>
      <c r="R87">
        <v>0</v>
      </c>
      <c r="S87">
        <v>0.20742746810000001</v>
      </c>
      <c r="T87">
        <v>4.71224477E-2</v>
      </c>
      <c r="U87">
        <v>0.14662299579999999</v>
      </c>
      <c r="V87">
        <v>0.78318263060000004</v>
      </c>
      <c r="W87">
        <v>0.26064416210000002</v>
      </c>
      <c r="X87">
        <v>0.32121396260000001</v>
      </c>
      <c r="Y87">
        <v>0.33907364719999999</v>
      </c>
      <c r="Z87">
        <v>0.69223012110000004</v>
      </c>
      <c r="AA87">
        <v>0.38528569200000001</v>
      </c>
      <c r="AB87">
        <v>0.2396720413</v>
      </c>
      <c r="AC87">
        <f t="shared" si="2"/>
        <v>0.3118340992166666</v>
      </c>
      <c r="AD87">
        <f t="shared" si="3"/>
        <v>0.27479467810000002</v>
      </c>
    </row>
    <row r="88" spans="1:30" x14ac:dyDescent="0.25">
      <c r="A88" t="s">
        <v>408</v>
      </c>
      <c r="B88" t="s">
        <v>448</v>
      </c>
      <c r="C88">
        <v>115</v>
      </c>
      <c r="D88" t="s">
        <v>4</v>
      </c>
      <c r="E88">
        <v>2.4236355000000001E-2</v>
      </c>
      <c r="F88">
        <v>2.3166045E-2</v>
      </c>
      <c r="G88">
        <v>2.2377060000000001E-2</v>
      </c>
      <c r="H88">
        <v>2.1761804999999999E-2</v>
      </c>
      <c r="I88">
        <v>1.976814E-2</v>
      </c>
      <c r="J88">
        <v>2.1084434999999999E-2</v>
      </c>
      <c r="K88">
        <v>2.0747160000000001E-2</v>
      </c>
      <c r="L88">
        <v>2.1908085000000001E-2</v>
      </c>
      <c r="M88">
        <v>2.3980035E-2</v>
      </c>
      <c r="N88">
        <v>2.7740895000000002E-2</v>
      </c>
      <c r="O88">
        <v>2.9241300000000001E-2</v>
      </c>
      <c r="P88">
        <v>2.9255400000000001E-2</v>
      </c>
      <c r="Q88">
        <v>2.883426E-2</v>
      </c>
      <c r="R88">
        <v>2.8379789999999998E-2</v>
      </c>
      <c r="S88">
        <v>2.7851850000000001E-2</v>
      </c>
      <c r="T88">
        <v>2.7925680000000001E-2</v>
      </c>
      <c r="U88">
        <v>2.8199834999999999E-2</v>
      </c>
      <c r="V88">
        <v>3.0143235000000001E-2</v>
      </c>
      <c r="W88">
        <v>2.9568299999999999E-2</v>
      </c>
      <c r="X88">
        <v>3.000444E-2</v>
      </c>
      <c r="Y88">
        <v>3.594663E-2</v>
      </c>
      <c r="Z88">
        <v>2.7011114999999999E-2</v>
      </c>
      <c r="AA88">
        <v>2.4942269999999999E-2</v>
      </c>
      <c r="AB88">
        <v>2.4236190000000001E-2</v>
      </c>
      <c r="AC88">
        <f t="shared" si="2"/>
        <v>2.6179596250000003E-2</v>
      </c>
      <c r="AD88">
        <f t="shared" si="3"/>
        <v>2.7376005000000002E-2</v>
      </c>
    </row>
    <row r="89" spans="1:30" x14ac:dyDescent="0.25">
      <c r="A89" t="s">
        <v>408</v>
      </c>
      <c r="B89" t="s">
        <v>452</v>
      </c>
      <c r="C89">
        <v>115</v>
      </c>
      <c r="D89" t="s">
        <v>2</v>
      </c>
      <c r="E89">
        <v>11.28295239</v>
      </c>
      <c r="F89">
        <v>11.605745754999999</v>
      </c>
      <c r="G89">
        <v>10.35165853</v>
      </c>
      <c r="H89">
        <v>10.34700145</v>
      </c>
      <c r="I89">
        <v>10.38754011</v>
      </c>
      <c r="J89">
        <v>9.6649273650000005</v>
      </c>
      <c r="K89">
        <v>10.794373674999999</v>
      </c>
      <c r="L89">
        <v>9.8769614200000007</v>
      </c>
      <c r="M89">
        <v>7.8027356149999996</v>
      </c>
      <c r="N89">
        <v>7.4002872699999998</v>
      </c>
      <c r="O89">
        <v>7.2785521050000002</v>
      </c>
      <c r="P89">
        <v>7.0326655699999998</v>
      </c>
      <c r="Q89">
        <v>7.1210801549999996</v>
      </c>
      <c r="R89">
        <v>7.754543505</v>
      </c>
      <c r="S89">
        <v>8.0030402899999995</v>
      </c>
      <c r="T89">
        <v>8.6655956150000009</v>
      </c>
      <c r="U89">
        <v>10.04595393</v>
      </c>
      <c r="V89">
        <v>11.619663805</v>
      </c>
      <c r="W89">
        <v>13.751546585</v>
      </c>
      <c r="X89">
        <v>14.24587376</v>
      </c>
      <c r="Y89">
        <v>14.354269070000001</v>
      </c>
      <c r="Z89">
        <v>12.438723810000001</v>
      </c>
      <c r="AA89">
        <v>11.262628885</v>
      </c>
      <c r="AB89">
        <v>10.343419004999999</v>
      </c>
      <c r="AC89">
        <f t="shared" si="2"/>
        <v>10.142989152916666</v>
      </c>
      <c r="AD89">
        <f t="shared" si="3"/>
        <v>10.345210227500001</v>
      </c>
    </row>
    <row r="90" spans="1:30" x14ac:dyDescent="0.25">
      <c r="A90" t="s">
        <v>408</v>
      </c>
      <c r="B90" t="s">
        <v>452</v>
      </c>
      <c r="C90">
        <v>115</v>
      </c>
      <c r="D90" t="s">
        <v>3</v>
      </c>
      <c r="E90">
        <v>1.1210794806</v>
      </c>
      <c r="F90">
        <v>1.5454565659999999</v>
      </c>
      <c r="G90">
        <v>1.483990548</v>
      </c>
      <c r="H90">
        <v>1.1937873554</v>
      </c>
      <c r="I90">
        <v>1.534068073</v>
      </c>
      <c r="J90">
        <v>0.5982090632</v>
      </c>
      <c r="K90">
        <v>0.58991757300000003</v>
      </c>
      <c r="L90">
        <v>0.88161472380000006</v>
      </c>
      <c r="M90">
        <v>1.0533808582999999</v>
      </c>
      <c r="N90">
        <v>0.81706459180000002</v>
      </c>
      <c r="O90">
        <v>0.83783194689999996</v>
      </c>
      <c r="P90">
        <v>0.65199351679999995</v>
      </c>
      <c r="Q90">
        <v>0.27410535289999999</v>
      </c>
      <c r="R90">
        <v>0.8987865907</v>
      </c>
      <c r="S90">
        <v>0.83975089680000004</v>
      </c>
      <c r="T90">
        <v>1.3274222996</v>
      </c>
      <c r="U90">
        <v>0.71454320329999998</v>
      </c>
      <c r="V90">
        <v>0.93618997069999998</v>
      </c>
      <c r="W90">
        <v>1.0256761276999999</v>
      </c>
      <c r="X90">
        <v>1.1370200713</v>
      </c>
      <c r="Y90">
        <v>1.0451033917000001</v>
      </c>
      <c r="Z90">
        <v>0.98329973900000001</v>
      </c>
      <c r="AA90">
        <v>0.73453807230000001</v>
      </c>
      <c r="AB90">
        <v>1.2178241939000001</v>
      </c>
      <c r="AC90">
        <f t="shared" si="2"/>
        <v>0.97677725861249998</v>
      </c>
      <c r="AD90">
        <f t="shared" si="3"/>
        <v>0.95974485485000005</v>
      </c>
    </row>
    <row r="91" spans="1:30" x14ac:dyDescent="0.25">
      <c r="A91" t="s">
        <v>408</v>
      </c>
      <c r="B91" t="s">
        <v>452</v>
      </c>
      <c r="C91">
        <v>115</v>
      </c>
      <c r="D91" t="s">
        <v>4</v>
      </c>
      <c r="E91">
        <v>0.17182161000000001</v>
      </c>
      <c r="F91">
        <v>0.17673724499999999</v>
      </c>
      <c r="G91">
        <v>0.15763947</v>
      </c>
      <c r="H91">
        <v>0.15756855</v>
      </c>
      <c r="I91">
        <v>0.15818589</v>
      </c>
      <c r="J91">
        <v>0.14718163500000001</v>
      </c>
      <c r="K91">
        <v>0.16438132499999999</v>
      </c>
      <c r="L91">
        <v>0.15041057999999999</v>
      </c>
      <c r="M91">
        <v>0.118823385</v>
      </c>
      <c r="N91">
        <v>0.11269473000000001</v>
      </c>
      <c r="O91">
        <v>0.11084089499999999</v>
      </c>
      <c r="P91">
        <v>0.10709643000000001</v>
      </c>
      <c r="Q91">
        <v>0.108442845</v>
      </c>
      <c r="R91">
        <v>0.118089495</v>
      </c>
      <c r="S91">
        <v>0.12187371</v>
      </c>
      <c r="T91">
        <v>0.13196338499999999</v>
      </c>
      <c r="U91">
        <v>0.15298407</v>
      </c>
      <c r="V91">
        <v>0.176949195</v>
      </c>
      <c r="W91">
        <v>0.20941441499999999</v>
      </c>
      <c r="X91">
        <v>0.21694224000000001</v>
      </c>
      <c r="Y91">
        <v>0.21859292999999999</v>
      </c>
      <c r="Z91">
        <v>0.18942218999999999</v>
      </c>
      <c r="AA91">
        <v>0.17151211499999999</v>
      </c>
      <c r="AB91">
        <v>0.15751399499999999</v>
      </c>
      <c r="AC91">
        <f t="shared" si="2"/>
        <v>0.15446176375000001</v>
      </c>
      <c r="AD91">
        <f t="shared" si="3"/>
        <v>0.1575412725</v>
      </c>
    </row>
    <row r="92" spans="1:30" x14ac:dyDescent="0.25">
      <c r="A92" t="s">
        <v>408</v>
      </c>
      <c r="B92" t="s">
        <v>453</v>
      </c>
      <c r="C92">
        <v>115</v>
      </c>
      <c r="D92" t="s">
        <v>2</v>
      </c>
      <c r="E92">
        <v>8.2886863500000008</v>
      </c>
      <c r="F92">
        <v>7.7465196949999999</v>
      </c>
      <c r="G92">
        <v>7.5578321099999997</v>
      </c>
      <c r="H92">
        <v>7.5265573750000003</v>
      </c>
      <c r="I92">
        <v>7.4246423799999999</v>
      </c>
      <c r="J92">
        <v>7.5249321250000003</v>
      </c>
      <c r="K92">
        <v>7.52408404</v>
      </c>
      <c r="L92">
        <v>7.48469389</v>
      </c>
      <c r="M92">
        <v>7.2397637899999996</v>
      </c>
      <c r="N92">
        <v>6.6655265200000002</v>
      </c>
      <c r="O92">
        <v>6.6526535549999997</v>
      </c>
      <c r="P92">
        <v>6.4634498300000001</v>
      </c>
      <c r="Q92">
        <v>6.1843205299999999</v>
      </c>
      <c r="R92">
        <v>6.3368320200000001</v>
      </c>
      <c r="S92">
        <v>7.0166790199999998</v>
      </c>
      <c r="T92">
        <v>7.4293349199999996</v>
      </c>
      <c r="U92">
        <v>8.31761777</v>
      </c>
      <c r="V92">
        <v>9.0682123949999998</v>
      </c>
      <c r="W92">
        <v>9.973689405</v>
      </c>
      <c r="X92">
        <v>10.18353085</v>
      </c>
      <c r="Y92">
        <v>10.156628530000001</v>
      </c>
      <c r="Z92">
        <v>8.8977256400000009</v>
      </c>
      <c r="AA92">
        <v>8.1744893899999997</v>
      </c>
      <c r="AB92">
        <v>7.1492501700000002</v>
      </c>
    </row>
    <row r="93" spans="1:30" x14ac:dyDescent="0.25">
      <c r="A93" t="s">
        <v>408</v>
      </c>
      <c r="B93" t="s">
        <v>453</v>
      </c>
      <c r="C93">
        <v>115</v>
      </c>
      <c r="D93" t="s">
        <v>3</v>
      </c>
      <c r="E93">
        <v>0.95337345750000002</v>
      </c>
      <c r="F93">
        <v>0.91206776970000003</v>
      </c>
      <c r="G93">
        <v>0.90994896619999999</v>
      </c>
      <c r="H93">
        <v>0.85090812640000002</v>
      </c>
      <c r="I93">
        <v>0.78479422669999999</v>
      </c>
      <c r="J93">
        <v>0.7242672537</v>
      </c>
      <c r="K93">
        <v>0.4860471905</v>
      </c>
      <c r="L93">
        <v>0.57912128350000003</v>
      </c>
      <c r="M93">
        <v>0.85051760830000001</v>
      </c>
      <c r="N93">
        <v>1.1431592844</v>
      </c>
      <c r="O93">
        <v>0.8688044291</v>
      </c>
      <c r="P93">
        <v>0.95454476430000001</v>
      </c>
      <c r="Q93">
        <v>0.80958316860000001</v>
      </c>
      <c r="R93">
        <v>0.76990397730000004</v>
      </c>
      <c r="S93">
        <v>0.73421103750000005</v>
      </c>
      <c r="T93">
        <v>0.76208885820000005</v>
      </c>
      <c r="U93">
        <v>0.76656339389999995</v>
      </c>
      <c r="V93">
        <v>0.95852168640000002</v>
      </c>
      <c r="W93">
        <v>1.0250580127</v>
      </c>
      <c r="X93">
        <v>1.0024367028000001</v>
      </c>
      <c r="Y93">
        <v>0.88207274930000001</v>
      </c>
      <c r="Z93">
        <v>0.84222340640000004</v>
      </c>
      <c r="AA93">
        <v>0.48976308330000001</v>
      </c>
      <c r="AB93">
        <v>0.34316222790000001</v>
      </c>
    </row>
    <row r="94" spans="1:30" x14ac:dyDescent="0.25">
      <c r="A94" t="s">
        <v>408</v>
      </c>
      <c r="B94" t="s">
        <v>453</v>
      </c>
      <c r="C94">
        <v>115</v>
      </c>
      <c r="D94" t="s">
        <v>4</v>
      </c>
      <c r="E94">
        <v>0.12622364999999999</v>
      </c>
      <c r="F94">
        <v>0.11796730499999999</v>
      </c>
      <c r="G94">
        <v>0.11509389</v>
      </c>
      <c r="H94">
        <v>0.114617625</v>
      </c>
      <c r="I94">
        <v>0.11306562000000001</v>
      </c>
      <c r="J94">
        <v>0.114592875</v>
      </c>
      <c r="K94">
        <v>0.11457995999999999</v>
      </c>
      <c r="L94">
        <v>0.11398011</v>
      </c>
      <c r="M94">
        <v>0.11025021</v>
      </c>
      <c r="N94">
        <v>0.10150548</v>
      </c>
      <c r="O94">
        <v>0.101309445</v>
      </c>
      <c r="P94">
        <v>9.8428169999999995E-2</v>
      </c>
      <c r="Q94">
        <v>9.4177469999999999E-2</v>
      </c>
      <c r="R94">
        <v>9.6499979999999999E-2</v>
      </c>
      <c r="S94">
        <v>0.10685298</v>
      </c>
      <c r="T94">
        <v>0.11313708</v>
      </c>
      <c r="U94">
        <v>0.12666422999999999</v>
      </c>
      <c r="V94">
        <v>0.13809460500000001</v>
      </c>
      <c r="W94">
        <v>0.15188359500000001</v>
      </c>
      <c r="X94">
        <v>0.15507915</v>
      </c>
      <c r="Y94">
        <v>0.15466947</v>
      </c>
      <c r="Z94">
        <v>0.13549836000000001</v>
      </c>
      <c r="AA94">
        <v>0.12448461</v>
      </c>
      <c r="AB94">
        <v>0.10887183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00886-4287-47BE-9F17-76E22C80A05B}">
  <dimension ref="A1:AD94"/>
  <sheetViews>
    <sheetView topLeftCell="A88" workbookViewId="0">
      <selection activeCell="A2" sqref="A2:AB94"/>
    </sheetView>
  </sheetViews>
  <sheetFormatPr baseColWidth="10" defaultRowHeight="15" x14ac:dyDescent="0.25"/>
  <sheetData>
    <row r="1" spans="1:30" x14ac:dyDescent="0.25">
      <c r="A1" t="s">
        <v>569</v>
      </c>
      <c r="B1" t="s">
        <v>570</v>
      </c>
      <c r="C1" t="s">
        <v>571</v>
      </c>
      <c r="D1" t="s">
        <v>572</v>
      </c>
      <c r="E1" t="s">
        <v>573</v>
      </c>
      <c r="F1" t="s">
        <v>574</v>
      </c>
      <c r="G1" t="s">
        <v>575</v>
      </c>
      <c r="H1" t="s">
        <v>576</v>
      </c>
      <c r="I1" t="s">
        <v>577</v>
      </c>
      <c r="J1" t="s">
        <v>578</v>
      </c>
      <c r="K1" t="s">
        <v>579</v>
      </c>
      <c r="L1" t="s">
        <v>580</v>
      </c>
      <c r="M1" t="s">
        <v>581</v>
      </c>
      <c r="N1" t="s">
        <v>582</v>
      </c>
      <c r="O1" t="s">
        <v>583</v>
      </c>
      <c r="P1" t="s">
        <v>584</v>
      </c>
      <c r="Q1" t="s">
        <v>585</v>
      </c>
      <c r="R1" t="s">
        <v>586</v>
      </c>
      <c r="S1" t="s">
        <v>587</v>
      </c>
      <c r="T1" t="s">
        <v>588</v>
      </c>
      <c r="U1" t="s">
        <v>589</v>
      </c>
      <c r="V1" t="s">
        <v>590</v>
      </c>
      <c r="W1" t="s">
        <v>591</v>
      </c>
      <c r="X1" t="s">
        <v>592</v>
      </c>
      <c r="Y1" t="s">
        <v>593</v>
      </c>
      <c r="Z1" t="s">
        <v>594</v>
      </c>
      <c r="AA1" t="s">
        <v>595</v>
      </c>
      <c r="AB1" t="s">
        <v>596</v>
      </c>
      <c r="AC1" t="s">
        <v>597</v>
      </c>
      <c r="AD1" t="s">
        <v>599</v>
      </c>
    </row>
    <row r="2" spans="1:30" x14ac:dyDescent="0.25">
      <c r="A2" t="s">
        <v>112</v>
      </c>
      <c r="B2" t="s">
        <v>113</v>
      </c>
      <c r="C2">
        <v>115</v>
      </c>
      <c r="D2" t="s">
        <v>2</v>
      </c>
      <c r="E2">
        <v>24.69006516</v>
      </c>
      <c r="F2">
        <v>22.447067485000002</v>
      </c>
      <c r="G2">
        <v>21.26949703</v>
      </c>
      <c r="H2">
        <v>20.602801750000001</v>
      </c>
      <c r="I2">
        <v>20.175526479999998</v>
      </c>
      <c r="J2">
        <v>20.185742900000001</v>
      </c>
      <c r="K2">
        <v>19.359994745000002</v>
      </c>
      <c r="L2">
        <v>20.4909353</v>
      </c>
      <c r="M2">
        <v>22.118832980000001</v>
      </c>
      <c r="N2">
        <v>23.821167110000001</v>
      </c>
      <c r="O2">
        <v>25.228330230000001</v>
      </c>
      <c r="P2">
        <v>27.328902814999999</v>
      </c>
      <c r="Q2">
        <v>29.077742735000001</v>
      </c>
      <c r="R2">
        <v>29.358723834999999</v>
      </c>
      <c r="S2">
        <v>29.077471859999999</v>
      </c>
      <c r="T2">
        <v>29.053238889999999</v>
      </c>
      <c r="U2">
        <v>28.77076847</v>
      </c>
      <c r="V2">
        <v>29.312926260000001</v>
      </c>
      <c r="W2">
        <v>32.313653899999998</v>
      </c>
      <c r="X2">
        <v>33.2162291</v>
      </c>
      <c r="Y2">
        <v>33.021652199999998</v>
      </c>
      <c r="Z2">
        <v>31.995349180000002</v>
      </c>
      <c r="AA2">
        <v>29.78080323</v>
      </c>
      <c r="AB2">
        <v>26.811059749999998</v>
      </c>
      <c r="AC2">
        <f>AVERAGE(E2:AB2)</f>
        <v>26.229520141458334</v>
      </c>
      <c r="AD2">
        <f>MEDIAN(E2:AB2)</f>
        <v>27.069981282499999</v>
      </c>
    </row>
    <row r="3" spans="1:30" x14ac:dyDescent="0.25">
      <c r="A3" t="s">
        <v>112</v>
      </c>
      <c r="B3" t="s">
        <v>113</v>
      </c>
      <c r="C3">
        <v>115</v>
      </c>
      <c r="D3" t="s">
        <v>3</v>
      </c>
      <c r="E3">
        <v>11.349587075500001</v>
      </c>
      <c r="F3">
        <v>10.3120096234</v>
      </c>
      <c r="G3">
        <v>9.7648715308000007</v>
      </c>
      <c r="H3">
        <v>9.4528106264999998</v>
      </c>
      <c r="I3">
        <v>9.2509142122999997</v>
      </c>
      <c r="J3">
        <v>9.2497364792999992</v>
      </c>
      <c r="K3">
        <v>8.8657288582000007</v>
      </c>
      <c r="L3">
        <v>9.4133775891999996</v>
      </c>
      <c r="M3">
        <v>10.1548034801</v>
      </c>
      <c r="N3">
        <v>10.9294349538</v>
      </c>
      <c r="O3">
        <v>11.567733754500001</v>
      </c>
      <c r="P3">
        <v>12.5229549668</v>
      </c>
      <c r="Q3">
        <v>13.315880830099999</v>
      </c>
      <c r="R3">
        <v>13.436022188400001</v>
      </c>
      <c r="S3">
        <v>13.298855039699999</v>
      </c>
      <c r="T3">
        <v>13.2793241632</v>
      </c>
      <c r="U3">
        <v>13.0915846915</v>
      </c>
      <c r="V3">
        <v>13.020321109699999</v>
      </c>
      <c r="W3">
        <v>12.638621413399999</v>
      </c>
      <c r="X3">
        <v>12.220430651299999</v>
      </c>
      <c r="Y3">
        <v>12.018091630400001</v>
      </c>
      <c r="Z3">
        <v>11.907528407199999</v>
      </c>
      <c r="AA3">
        <v>11.8355939977</v>
      </c>
      <c r="AB3">
        <v>12.129433576</v>
      </c>
      <c r="AC3">
        <f t="shared" ref="AC3:AC66" si="0">AVERAGE(E3:AB3)</f>
        <v>11.459402118708333</v>
      </c>
      <c r="AD3">
        <f t="shared" ref="AD3:AD66" si="1">MEDIAN(E3:AB3)</f>
        <v>11.87156120245</v>
      </c>
    </row>
    <row r="4" spans="1:30" x14ac:dyDescent="0.25">
      <c r="A4" t="s">
        <v>112</v>
      </c>
      <c r="B4" t="s">
        <v>113</v>
      </c>
      <c r="C4">
        <v>115</v>
      </c>
      <c r="D4" t="s">
        <v>4</v>
      </c>
      <c r="E4">
        <v>0.37599083999999999</v>
      </c>
      <c r="F4">
        <v>0.34183351499999998</v>
      </c>
      <c r="G4">
        <v>0.32390097000000001</v>
      </c>
      <c r="H4">
        <v>0.31374825000000001</v>
      </c>
      <c r="I4">
        <v>0.30724151999999999</v>
      </c>
      <c r="J4">
        <v>0.30739709999999998</v>
      </c>
      <c r="K4">
        <v>0.29482225499999998</v>
      </c>
      <c r="L4">
        <v>0.31204470000000001</v>
      </c>
      <c r="M4">
        <v>0.33683501999999998</v>
      </c>
      <c r="N4">
        <v>0.36275889</v>
      </c>
      <c r="O4">
        <v>0.38418776999999998</v>
      </c>
      <c r="P4">
        <v>0.41617618499999998</v>
      </c>
      <c r="Q4">
        <v>0.44280826499999998</v>
      </c>
      <c r="R4">
        <v>0.44708716500000001</v>
      </c>
      <c r="S4">
        <v>0.44280414000000001</v>
      </c>
      <c r="T4">
        <v>0.44243511000000002</v>
      </c>
      <c r="U4">
        <v>0.43813352999999999</v>
      </c>
      <c r="V4">
        <v>0.44638973999999998</v>
      </c>
      <c r="W4">
        <v>0.49208610000000003</v>
      </c>
      <c r="X4">
        <v>0.50583089999999997</v>
      </c>
      <c r="Y4">
        <v>0.50286779999999998</v>
      </c>
      <c r="Z4">
        <v>0.48723882000000002</v>
      </c>
      <c r="AA4">
        <v>0.45351477000000001</v>
      </c>
      <c r="AB4">
        <v>0.40829025000000002</v>
      </c>
      <c r="AC4">
        <f t="shared" si="0"/>
        <v>0.39943431687500003</v>
      </c>
      <c r="AD4">
        <f t="shared" si="1"/>
        <v>0.41223321749999997</v>
      </c>
    </row>
    <row r="5" spans="1:30" x14ac:dyDescent="0.25">
      <c r="A5" t="s">
        <v>112</v>
      </c>
      <c r="B5" t="s">
        <v>114</v>
      </c>
      <c r="C5">
        <v>115</v>
      </c>
      <c r="D5" t="s">
        <v>2</v>
      </c>
      <c r="E5">
        <v>14.534231524999999</v>
      </c>
      <c r="F5">
        <v>13.610935865</v>
      </c>
      <c r="G5">
        <v>12.985947455</v>
      </c>
      <c r="H5">
        <v>12.548022365</v>
      </c>
      <c r="I5">
        <v>12.153289525</v>
      </c>
      <c r="J5">
        <v>11.992982745000001</v>
      </c>
      <c r="K5">
        <v>11.46473808</v>
      </c>
      <c r="L5">
        <v>12.433246225</v>
      </c>
      <c r="M5">
        <v>13.380921620000001</v>
      </c>
      <c r="N5">
        <v>14.34924951</v>
      </c>
      <c r="O5">
        <v>15.105565015</v>
      </c>
      <c r="P5">
        <v>16.587328095</v>
      </c>
      <c r="Q5">
        <v>17.376211640000001</v>
      </c>
      <c r="R5">
        <v>17.330665239999998</v>
      </c>
      <c r="S5">
        <v>17.505906589999999</v>
      </c>
      <c r="T5">
        <v>17.9975457</v>
      </c>
      <c r="U5">
        <v>18.412645385000001</v>
      </c>
      <c r="V5">
        <v>18.400964269999999</v>
      </c>
      <c r="W5">
        <v>20.199365449999998</v>
      </c>
      <c r="X5">
        <v>20.181901400000001</v>
      </c>
      <c r="Y5">
        <v>19.9406946</v>
      </c>
      <c r="Z5">
        <v>18.837841319999999</v>
      </c>
      <c r="AA5">
        <v>17.540936145</v>
      </c>
      <c r="AB5">
        <v>16.040680675000001</v>
      </c>
      <c r="AC5">
        <f t="shared" si="0"/>
        <v>15.871325684999997</v>
      </c>
      <c r="AD5">
        <f t="shared" si="1"/>
        <v>16.314004385</v>
      </c>
    </row>
    <row r="6" spans="1:30" x14ac:dyDescent="0.25">
      <c r="A6" t="s">
        <v>112</v>
      </c>
      <c r="B6" t="s">
        <v>114</v>
      </c>
      <c r="C6">
        <v>115</v>
      </c>
      <c r="D6" t="s">
        <v>3</v>
      </c>
      <c r="E6">
        <v>3.2429581730999999</v>
      </c>
      <c r="F6">
        <v>3.1658423090999999</v>
      </c>
      <c r="G6">
        <v>3.1568581984000001</v>
      </c>
      <c r="H6">
        <v>3.0728347438000001</v>
      </c>
      <c r="I6">
        <v>2.9653220008000001</v>
      </c>
      <c r="J6">
        <v>2.6932368029</v>
      </c>
      <c r="K6">
        <v>2.9032791947000001</v>
      </c>
      <c r="L6">
        <v>3.0778225209999999</v>
      </c>
      <c r="M6">
        <v>3.3477209623999999</v>
      </c>
      <c r="N6">
        <v>3.7866290650000001</v>
      </c>
      <c r="O6">
        <v>4.1666011803999998</v>
      </c>
      <c r="P6">
        <v>4.5820280200000001</v>
      </c>
      <c r="Q6">
        <v>4.7363993100000004</v>
      </c>
      <c r="R6">
        <v>4.6023829695999998</v>
      </c>
      <c r="S6">
        <v>4.8286926697999997</v>
      </c>
      <c r="T6">
        <v>5.0511085061000003</v>
      </c>
      <c r="U6">
        <v>4.9811893082000003</v>
      </c>
      <c r="V6">
        <v>4.7232363880000001</v>
      </c>
      <c r="W6">
        <v>4.4777005411999999</v>
      </c>
      <c r="X6">
        <v>4.2539120564999999</v>
      </c>
      <c r="Y6">
        <v>4.0803262047000004</v>
      </c>
      <c r="Z6">
        <v>3.961063566</v>
      </c>
      <c r="AA6">
        <v>3.7851710209</v>
      </c>
      <c r="AB6">
        <v>3.5868108688000002</v>
      </c>
      <c r="AC6">
        <f t="shared" si="0"/>
        <v>3.8845469408916666</v>
      </c>
      <c r="AD6">
        <f t="shared" si="1"/>
        <v>3.8738463154999998</v>
      </c>
    </row>
    <row r="7" spans="1:30" x14ac:dyDescent="0.25">
      <c r="A7" t="s">
        <v>112</v>
      </c>
      <c r="B7" t="s">
        <v>114</v>
      </c>
      <c r="C7">
        <v>115</v>
      </c>
      <c r="D7" t="s">
        <v>4</v>
      </c>
      <c r="E7">
        <v>0.221333475</v>
      </c>
      <c r="F7">
        <v>0.207273135</v>
      </c>
      <c r="G7">
        <v>0.197755545</v>
      </c>
      <c r="H7">
        <v>0.191086635</v>
      </c>
      <c r="I7">
        <v>0.18507547499999999</v>
      </c>
      <c r="J7">
        <v>0.182634255</v>
      </c>
      <c r="K7">
        <v>0.17458992000000001</v>
      </c>
      <c r="L7">
        <v>0.18933877499999999</v>
      </c>
      <c r="M7">
        <v>0.20377038</v>
      </c>
      <c r="N7">
        <v>0.21851649000000001</v>
      </c>
      <c r="O7">
        <v>0.230033985</v>
      </c>
      <c r="P7">
        <v>0.25259890499999998</v>
      </c>
      <c r="Q7">
        <v>0.26461235999999999</v>
      </c>
      <c r="R7">
        <v>0.26391875999999997</v>
      </c>
      <c r="S7">
        <v>0.26658741000000002</v>
      </c>
      <c r="T7">
        <v>0.27407429999999999</v>
      </c>
      <c r="U7">
        <v>0.28039561499999999</v>
      </c>
      <c r="V7">
        <v>0.28021773</v>
      </c>
      <c r="W7">
        <v>0.30760454999999998</v>
      </c>
      <c r="X7">
        <v>0.30733860000000002</v>
      </c>
      <c r="Y7">
        <v>0.30366539999999997</v>
      </c>
      <c r="Z7">
        <v>0.28687067999999999</v>
      </c>
      <c r="AA7">
        <v>0.26712085499999999</v>
      </c>
      <c r="AB7">
        <v>0.24427432499999999</v>
      </c>
      <c r="AC7">
        <f t="shared" si="0"/>
        <v>0.24169531500000005</v>
      </c>
      <c r="AD7">
        <f t="shared" si="1"/>
        <v>0.24843661499999997</v>
      </c>
    </row>
    <row r="8" spans="1:30" x14ac:dyDescent="0.25">
      <c r="A8" t="s">
        <v>112</v>
      </c>
      <c r="B8" t="s">
        <v>116</v>
      </c>
      <c r="C8">
        <v>115</v>
      </c>
      <c r="D8" t="s">
        <v>2</v>
      </c>
      <c r="E8">
        <v>2.6475627849999999</v>
      </c>
      <c r="F8">
        <v>2.4923248149999999</v>
      </c>
      <c r="G8">
        <v>2.38225796</v>
      </c>
      <c r="H8">
        <v>2.3112404450000001</v>
      </c>
      <c r="I8">
        <v>2.2506087699999999</v>
      </c>
      <c r="J8">
        <v>2.2402534649999999</v>
      </c>
      <c r="K8">
        <v>2.1428349949999999</v>
      </c>
      <c r="L8">
        <v>2.2771072399999999</v>
      </c>
      <c r="M8">
        <v>2.4633136100000002</v>
      </c>
      <c r="N8">
        <v>2.568256495</v>
      </c>
      <c r="O8">
        <v>2.7217874599999998</v>
      </c>
      <c r="P8">
        <v>2.9305690449999999</v>
      </c>
      <c r="Q8">
        <v>3.0694510899999998</v>
      </c>
      <c r="R8">
        <v>3.0821654700000001</v>
      </c>
      <c r="S8">
        <v>3.107699625</v>
      </c>
      <c r="T8">
        <v>3.169813725</v>
      </c>
      <c r="U8">
        <v>3.1320892100000002</v>
      </c>
      <c r="V8">
        <v>3.1136332649999998</v>
      </c>
      <c r="W8">
        <v>3.4561483000000002</v>
      </c>
      <c r="X8">
        <v>3.5013006999999998</v>
      </c>
      <c r="Y8">
        <v>3.5290973999999999</v>
      </c>
      <c r="Z8">
        <v>3.4156529799999999</v>
      </c>
      <c r="AA8">
        <v>3.1931789099999999</v>
      </c>
      <c r="AB8">
        <v>2.8995770049999998</v>
      </c>
      <c r="AC8">
        <f t="shared" si="0"/>
        <v>2.8374135318749993</v>
      </c>
      <c r="AD8">
        <f t="shared" si="1"/>
        <v>2.9150730249999999</v>
      </c>
    </row>
    <row r="9" spans="1:30" x14ac:dyDescent="0.25">
      <c r="A9" t="s">
        <v>112</v>
      </c>
      <c r="B9" t="s">
        <v>116</v>
      </c>
      <c r="C9">
        <v>115</v>
      </c>
      <c r="D9" t="s">
        <v>3</v>
      </c>
      <c r="E9">
        <v>0.70309464190000004</v>
      </c>
      <c r="F9">
        <v>0.68947834829999999</v>
      </c>
      <c r="G9">
        <v>0.61759100990000004</v>
      </c>
      <c r="H9">
        <v>0.67590130690000005</v>
      </c>
      <c r="I9">
        <v>0.64412866540000002</v>
      </c>
      <c r="J9">
        <v>0.64204536030000003</v>
      </c>
      <c r="K9">
        <v>0.68589434019999995</v>
      </c>
      <c r="L9">
        <v>0.6824952165</v>
      </c>
      <c r="M9">
        <v>0.72417672209999995</v>
      </c>
      <c r="N9">
        <v>0.74208295079999997</v>
      </c>
      <c r="O9">
        <v>0.76497037059999995</v>
      </c>
      <c r="P9">
        <v>0.84333411800000002</v>
      </c>
      <c r="Q9">
        <v>0.88209794559999999</v>
      </c>
      <c r="R9">
        <v>0.87969542720000005</v>
      </c>
      <c r="S9">
        <v>0.92315506359999999</v>
      </c>
      <c r="T9">
        <v>0.93431654379999995</v>
      </c>
      <c r="U9">
        <v>0.91716177850000002</v>
      </c>
      <c r="V9">
        <v>0.83977173260000004</v>
      </c>
      <c r="W9">
        <v>0.81348473430000001</v>
      </c>
      <c r="X9">
        <v>0.75901563750000001</v>
      </c>
      <c r="Y9">
        <v>0.74385805780000003</v>
      </c>
      <c r="Z9">
        <v>0.74213515949999997</v>
      </c>
      <c r="AA9">
        <v>0.75011663819999996</v>
      </c>
      <c r="AB9">
        <v>0.74303160410000002</v>
      </c>
      <c r="AC9">
        <f t="shared" si="0"/>
        <v>0.76429305723333318</v>
      </c>
      <c r="AD9">
        <f t="shared" si="1"/>
        <v>0.74344483095000002</v>
      </c>
    </row>
    <row r="10" spans="1:30" x14ac:dyDescent="0.25">
      <c r="A10" t="s">
        <v>112</v>
      </c>
      <c r="B10" t="s">
        <v>116</v>
      </c>
      <c r="C10">
        <v>115</v>
      </c>
      <c r="D10" t="s">
        <v>4</v>
      </c>
      <c r="E10">
        <v>4.0318214999999998E-2</v>
      </c>
      <c r="F10">
        <v>3.7954185000000001E-2</v>
      </c>
      <c r="G10">
        <v>3.6278039999999998E-2</v>
      </c>
      <c r="H10">
        <v>3.5196554999999997E-2</v>
      </c>
      <c r="I10">
        <v>3.4273230000000002E-2</v>
      </c>
      <c r="J10">
        <v>3.4115535000000002E-2</v>
      </c>
      <c r="K10">
        <v>3.2632004999999999E-2</v>
      </c>
      <c r="L10">
        <v>3.4676760000000001E-2</v>
      </c>
      <c r="M10">
        <v>3.751239E-2</v>
      </c>
      <c r="N10">
        <v>3.9110504999999997E-2</v>
      </c>
      <c r="O10">
        <v>4.1448539999999999E-2</v>
      </c>
      <c r="P10">
        <v>4.4627954999999997E-2</v>
      </c>
      <c r="Q10">
        <v>4.6742909999999999E-2</v>
      </c>
      <c r="R10">
        <v>4.6936529999999997E-2</v>
      </c>
      <c r="S10">
        <v>4.7325375000000003E-2</v>
      </c>
      <c r="T10">
        <v>4.8271275000000002E-2</v>
      </c>
      <c r="U10">
        <v>4.7696790000000003E-2</v>
      </c>
      <c r="V10">
        <v>4.7415735000000001E-2</v>
      </c>
      <c r="W10">
        <v>5.2631699999999997E-2</v>
      </c>
      <c r="X10">
        <v>5.33193E-2</v>
      </c>
      <c r="Y10">
        <v>5.3742600000000001E-2</v>
      </c>
      <c r="Z10">
        <v>5.2015020000000002E-2</v>
      </c>
      <c r="AA10">
        <v>4.8627089999999998E-2</v>
      </c>
      <c r="AB10">
        <v>4.4155995000000003E-2</v>
      </c>
      <c r="AC10">
        <f t="shared" si="0"/>
        <v>4.3209343124999987E-2</v>
      </c>
      <c r="AD10">
        <f t="shared" si="1"/>
        <v>4.4391975E-2</v>
      </c>
    </row>
    <row r="11" spans="1:30" x14ac:dyDescent="0.25">
      <c r="A11" t="s">
        <v>112</v>
      </c>
      <c r="B11" t="s">
        <v>117</v>
      </c>
      <c r="C11">
        <v>115</v>
      </c>
      <c r="D11" t="s">
        <v>2</v>
      </c>
      <c r="E11">
        <v>13.511465640000001</v>
      </c>
      <c r="F11">
        <v>12.874860139999999</v>
      </c>
      <c r="G11">
        <v>12.81511989</v>
      </c>
      <c r="H11">
        <v>12.51195659</v>
      </c>
      <c r="I11">
        <v>12.262858955</v>
      </c>
      <c r="J11">
        <v>12.274479984999999</v>
      </c>
      <c r="K11">
        <v>12.29838101</v>
      </c>
      <c r="L11">
        <v>12.481695419999999</v>
      </c>
      <c r="M11">
        <v>12.657542545</v>
      </c>
      <c r="N11">
        <v>13.157686145</v>
      </c>
      <c r="O11">
        <v>13.801821970000001</v>
      </c>
      <c r="P11">
        <v>15.056663705</v>
      </c>
      <c r="Q11">
        <v>15.851491725000001</v>
      </c>
      <c r="R11">
        <v>15.4428891</v>
      </c>
      <c r="S11">
        <v>15.5023634</v>
      </c>
      <c r="T11">
        <v>15.92231421</v>
      </c>
      <c r="U11">
        <v>15.55132972</v>
      </c>
      <c r="V11">
        <v>15.46234482</v>
      </c>
      <c r="W11">
        <v>16.565523150000001</v>
      </c>
      <c r="X11">
        <v>16.1446425</v>
      </c>
      <c r="Y11">
        <v>15.7299378</v>
      </c>
      <c r="Z11">
        <v>15.0578526</v>
      </c>
      <c r="AA11">
        <v>14.821836749999999</v>
      </c>
      <c r="AB11">
        <v>14.961089155</v>
      </c>
      <c r="AC11">
        <f t="shared" si="0"/>
        <v>14.279922788541667</v>
      </c>
      <c r="AD11">
        <f t="shared" si="1"/>
        <v>14.8914629525</v>
      </c>
    </row>
    <row r="12" spans="1:30" x14ac:dyDescent="0.25">
      <c r="A12" t="s">
        <v>112</v>
      </c>
      <c r="B12" t="s">
        <v>117</v>
      </c>
      <c r="C12">
        <v>115</v>
      </c>
      <c r="D12" t="s">
        <v>3</v>
      </c>
      <c r="E12">
        <v>5.2931978480000001</v>
      </c>
      <c r="F12">
        <v>5.4457803158999996</v>
      </c>
      <c r="G12">
        <v>5.4823712353999996</v>
      </c>
      <c r="H12">
        <v>5.9065835374000004</v>
      </c>
      <c r="I12">
        <v>5.7854775401999996</v>
      </c>
      <c r="J12">
        <v>5.9343685606000003</v>
      </c>
      <c r="K12">
        <v>5.6497813537999999</v>
      </c>
      <c r="L12">
        <v>5.7195018296000004</v>
      </c>
      <c r="M12">
        <v>5.7448063779999998</v>
      </c>
      <c r="N12">
        <v>6.3202924068000002</v>
      </c>
      <c r="O12">
        <v>5.7539982406999997</v>
      </c>
      <c r="P12">
        <v>5.6182853192</v>
      </c>
      <c r="Q12">
        <v>4.7449934585999998</v>
      </c>
      <c r="R12">
        <v>4.2031029801999997</v>
      </c>
      <c r="S12">
        <v>3.8920310086000001</v>
      </c>
      <c r="T12">
        <v>6.3328943706</v>
      </c>
      <c r="U12">
        <v>6.0083757818999999</v>
      </c>
      <c r="V12">
        <v>5.8449340572999997</v>
      </c>
      <c r="W12">
        <v>4.8572372203</v>
      </c>
      <c r="X12">
        <v>4.5951818872999999</v>
      </c>
      <c r="Y12">
        <v>3.1443752460000001</v>
      </c>
      <c r="Z12">
        <v>5.9701727967</v>
      </c>
      <c r="AA12">
        <v>6.8090374524000001</v>
      </c>
      <c r="AB12">
        <v>6.8556373086000004</v>
      </c>
      <c r="AC12">
        <f t="shared" si="0"/>
        <v>5.4963507555874997</v>
      </c>
      <c r="AD12">
        <f t="shared" si="1"/>
        <v>5.7321541038000001</v>
      </c>
    </row>
    <row r="13" spans="1:30" x14ac:dyDescent="0.25">
      <c r="A13" t="s">
        <v>112</v>
      </c>
      <c r="B13" t="s">
        <v>117</v>
      </c>
      <c r="C13">
        <v>115</v>
      </c>
      <c r="D13" t="s">
        <v>4</v>
      </c>
      <c r="E13">
        <v>0.20575836</v>
      </c>
      <c r="F13">
        <v>0.19606386000000001</v>
      </c>
      <c r="G13">
        <v>0.19515410999999999</v>
      </c>
      <c r="H13">
        <v>0.19053740999999999</v>
      </c>
      <c r="I13">
        <v>0.186744045</v>
      </c>
      <c r="J13">
        <v>0.186921015</v>
      </c>
      <c r="K13">
        <v>0.18728499000000001</v>
      </c>
      <c r="L13">
        <v>0.19007657999999999</v>
      </c>
      <c r="M13">
        <v>0.19275445499999999</v>
      </c>
      <c r="N13">
        <v>0.20037085499999999</v>
      </c>
      <c r="O13">
        <v>0.21018002999999999</v>
      </c>
      <c r="P13">
        <v>0.229289295</v>
      </c>
      <c r="Q13">
        <v>0.24139327499999999</v>
      </c>
      <c r="R13">
        <v>0.23517089999999999</v>
      </c>
      <c r="S13">
        <v>0.2360766</v>
      </c>
      <c r="T13">
        <v>0.24247178999999999</v>
      </c>
      <c r="U13">
        <v>0.23682228</v>
      </c>
      <c r="V13">
        <v>0.23546718</v>
      </c>
      <c r="W13">
        <v>0.25226684999999999</v>
      </c>
      <c r="X13">
        <v>0.24585750000000001</v>
      </c>
      <c r="Y13">
        <v>0.23954220000000001</v>
      </c>
      <c r="Z13">
        <v>0.22930739999999999</v>
      </c>
      <c r="AA13">
        <v>0.22571325</v>
      </c>
      <c r="AB13">
        <v>0.22783384500000001</v>
      </c>
      <c r="AC13">
        <f t="shared" si="0"/>
        <v>0.21746075312499999</v>
      </c>
      <c r="AD13">
        <f t="shared" si="1"/>
        <v>0.22677354750000001</v>
      </c>
    </row>
    <row r="14" spans="1:30" x14ac:dyDescent="0.25">
      <c r="A14" t="s">
        <v>112</v>
      </c>
      <c r="B14" t="s">
        <v>118</v>
      </c>
      <c r="C14">
        <v>115</v>
      </c>
      <c r="D14" t="s">
        <v>2</v>
      </c>
      <c r="E14">
        <v>18.813433020000002</v>
      </c>
      <c r="F14">
        <v>17.865967430000001</v>
      </c>
      <c r="G14">
        <v>17.21624173</v>
      </c>
      <c r="H14">
        <v>16.359014944999998</v>
      </c>
      <c r="I14">
        <v>15.979325025</v>
      </c>
      <c r="J14">
        <v>16.042446779999999</v>
      </c>
      <c r="K14">
        <v>15.959534404999999</v>
      </c>
      <c r="L14">
        <v>17.344772410000001</v>
      </c>
      <c r="M14">
        <v>18.649383820000001</v>
      </c>
      <c r="N14">
        <v>20.003933164999999</v>
      </c>
      <c r="O14">
        <v>21.862638015000002</v>
      </c>
      <c r="P14">
        <v>24.257215370000001</v>
      </c>
      <c r="Q14">
        <v>25.692142104999999</v>
      </c>
      <c r="R14">
        <v>25.639284050000001</v>
      </c>
      <c r="S14">
        <v>25.564244779999999</v>
      </c>
      <c r="T14">
        <v>25.981082005000001</v>
      </c>
      <c r="U14">
        <v>25.58614133</v>
      </c>
      <c r="V14">
        <v>25.33643004</v>
      </c>
      <c r="W14">
        <v>26.769601099999999</v>
      </c>
      <c r="X14">
        <v>25.163676800000001</v>
      </c>
      <c r="Y14">
        <v>23.508620700000002</v>
      </c>
      <c r="Z14">
        <v>21.822914355000002</v>
      </c>
      <c r="AA14">
        <v>20.385412250000002</v>
      </c>
      <c r="AB14">
        <v>19.020497750000001</v>
      </c>
      <c r="AC14">
        <f t="shared" si="0"/>
        <v>21.284331390833334</v>
      </c>
      <c r="AD14">
        <f t="shared" si="1"/>
        <v>21.104163302500002</v>
      </c>
    </row>
    <row r="15" spans="1:30" x14ac:dyDescent="0.25">
      <c r="A15" t="s">
        <v>112</v>
      </c>
      <c r="B15" t="s">
        <v>118</v>
      </c>
      <c r="C15">
        <v>115</v>
      </c>
      <c r="D15" t="s">
        <v>3</v>
      </c>
      <c r="E15">
        <v>5.8778115038000003</v>
      </c>
      <c r="F15">
        <v>5.6015003708000002</v>
      </c>
      <c r="G15">
        <v>5.7980151756999998</v>
      </c>
      <c r="H15">
        <v>5.5321169335000002</v>
      </c>
      <c r="I15">
        <v>5.1723340820999999</v>
      </c>
      <c r="J15">
        <v>5.1870085236000003</v>
      </c>
      <c r="K15">
        <v>5.2739080900999999</v>
      </c>
      <c r="L15">
        <v>5.4698605778999996</v>
      </c>
      <c r="M15">
        <v>5.5041536954000003</v>
      </c>
      <c r="N15">
        <v>5.9422513189000004</v>
      </c>
      <c r="O15">
        <v>6.4272829384000003</v>
      </c>
      <c r="P15">
        <v>7.0656160942000001</v>
      </c>
      <c r="Q15">
        <v>7.5827437664000001</v>
      </c>
      <c r="R15">
        <v>7.5177876160999997</v>
      </c>
      <c r="S15">
        <v>7.4859132798000001</v>
      </c>
      <c r="T15">
        <v>8.306815705</v>
      </c>
      <c r="U15">
        <v>8.2819562543000007</v>
      </c>
      <c r="V15">
        <v>8.0086240799000006</v>
      </c>
      <c r="W15">
        <v>7.8285270627000001</v>
      </c>
      <c r="X15">
        <v>7.1024171147999997</v>
      </c>
      <c r="Y15">
        <v>6.3598080359000004</v>
      </c>
      <c r="Z15">
        <v>6.4742431845999997</v>
      </c>
      <c r="AA15">
        <v>6.4362079826</v>
      </c>
      <c r="AB15">
        <v>6.2584822190000002</v>
      </c>
      <c r="AC15">
        <f t="shared" si="0"/>
        <v>6.5206410668958332</v>
      </c>
      <c r="AD15">
        <f t="shared" si="1"/>
        <v>6.3935454871499999</v>
      </c>
    </row>
    <row r="16" spans="1:30" x14ac:dyDescent="0.25">
      <c r="A16" t="s">
        <v>112</v>
      </c>
      <c r="B16" t="s">
        <v>118</v>
      </c>
      <c r="C16">
        <v>115</v>
      </c>
      <c r="D16" t="s">
        <v>4</v>
      </c>
      <c r="E16">
        <v>0.28649898000000001</v>
      </c>
      <c r="F16">
        <v>0.27207057000000001</v>
      </c>
      <c r="G16">
        <v>0.26217626999999999</v>
      </c>
      <c r="H16">
        <v>0.24912205500000001</v>
      </c>
      <c r="I16">
        <v>0.24333997499999999</v>
      </c>
      <c r="J16">
        <v>0.24430122000000001</v>
      </c>
      <c r="K16">
        <v>0.243038595</v>
      </c>
      <c r="L16">
        <v>0.26413358999999997</v>
      </c>
      <c r="M16">
        <v>0.28400076880000003</v>
      </c>
      <c r="N16">
        <v>0.30462842379999999</v>
      </c>
      <c r="O16">
        <v>0.33293357379999999</v>
      </c>
      <c r="P16">
        <v>0.36939921879999998</v>
      </c>
      <c r="Q16">
        <v>0.39125089499999999</v>
      </c>
      <c r="R16">
        <v>0.39044594999999999</v>
      </c>
      <c r="S16">
        <v>0.38930322000000001</v>
      </c>
      <c r="T16">
        <v>0.39565099500000001</v>
      </c>
      <c r="U16">
        <v>0.38963667000000002</v>
      </c>
      <c r="V16">
        <v>0.38583395999999998</v>
      </c>
      <c r="W16">
        <v>0.40765889999999999</v>
      </c>
      <c r="X16">
        <v>0.38320320000000002</v>
      </c>
      <c r="Y16">
        <v>0.35799930000000002</v>
      </c>
      <c r="Z16">
        <v>0.33232864499999998</v>
      </c>
      <c r="AA16">
        <v>0.31043775000000001</v>
      </c>
      <c r="AB16">
        <v>0.28965225</v>
      </c>
      <c r="AC16">
        <f t="shared" si="0"/>
        <v>0.32412687396666667</v>
      </c>
      <c r="AD16">
        <f t="shared" si="1"/>
        <v>0.3213831975</v>
      </c>
    </row>
    <row r="17" spans="1:30" x14ac:dyDescent="0.25">
      <c r="A17" t="s">
        <v>112</v>
      </c>
      <c r="B17" t="s">
        <v>121</v>
      </c>
      <c r="C17">
        <v>115</v>
      </c>
      <c r="D17" t="s">
        <v>2</v>
      </c>
      <c r="E17">
        <v>18.194299449999999</v>
      </c>
      <c r="F17">
        <v>17.517300084999999</v>
      </c>
      <c r="G17">
        <v>16.992613240000001</v>
      </c>
      <c r="H17">
        <v>16.506285250000001</v>
      </c>
      <c r="I17">
        <v>16.059280430000001</v>
      </c>
      <c r="J17">
        <v>15.722829055</v>
      </c>
      <c r="K17">
        <v>14.81649805</v>
      </c>
      <c r="L17">
        <v>14.907178135000001</v>
      </c>
      <c r="M17">
        <v>14.80537346</v>
      </c>
      <c r="N17">
        <v>14.59160088</v>
      </c>
      <c r="O17">
        <v>14.980548815000001</v>
      </c>
      <c r="P17">
        <v>15.93352745</v>
      </c>
      <c r="Q17">
        <v>16.915995015</v>
      </c>
      <c r="R17">
        <v>16.925855850000001</v>
      </c>
      <c r="S17">
        <v>16.73500422</v>
      </c>
      <c r="T17">
        <v>17.346492219999998</v>
      </c>
      <c r="U17">
        <v>17.972131715</v>
      </c>
      <c r="V17">
        <v>18.653310435000002</v>
      </c>
      <c r="W17">
        <v>20.55475345</v>
      </c>
      <c r="X17">
        <v>20.4015564</v>
      </c>
      <c r="Y17">
        <v>21.196155900000001</v>
      </c>
      <c r="Z17">
        <v>21.007297909999998</v>
      </c>
      <c r="AA17">
        <v>21.149424544999999</v>
      </c>
      <c r="AB17">
        <v>21.008258285</v>
      </c>
      <c r="AC17">
        <f t="shared" si="0"/>
        <v>17.537232093541665</v>
      </c>
      <c r="AD17">
        <f t="shared" si="1"/>
        <v>16.959234545000001</v>
      </c>
    </row>
    <row r="18" spans="1:30" x14ac:dyDescent="0.25">
      <c r="A18" t="s">
        <v>112</v>
      </c>
      <c r="B18" t="s">
        <v>121</v>
      </c>
      <c r="C18">
        <v>115</v>
      </c>
      <c r="D18" t="s">
        <v>3</v>
      </c>
      <c r="E18">
        <v>6.1717207823000004</v>
      </c>
      <c r="F18">
        <v>6.0808197100000001</v>
      </c>
      <c r="G18">
        <v>5.9160848787999996</v>
      </c>
      <c r="H18">
        <v>5.6846231777999998</v>
      </c>
      <c r="I18">
        <v>5.5306785488000001</v>
      </c>
      <c r="J18">
        <v>5.2400202715999997</v>
      </c>
      <c r="K18">
        <v>5.0259307419999999</v>
      </c>
      <c r="L18">
        <v>5.4303395981999998</v>
      </c>
      <c r="M18">
        <v>5.4809874349000003</v>
      </c>
      <c r="N18">
        <v>5.3587274193000001</v>
      </c>
      <c r="O18">
        <v>5.6579665727000004</v>
      </c>
      <c r="P18">
        <v>6.0538975394000003</v>
      </c>
      <c r="Q18">
        <v>6.5625628473999997</v>
      </c>
      <c r="R18">
        <v>6.4418310000999996</v>
      </c>
      <c r="S18">
        <v>6.2554468331999997</v>
      </c>
      <c r="T18">
        <v>6.5403282818999999</v>
      </c>
      <c r="U18">
        <v>6.5051117860999996</v>
      </c>
      <c r="V18">
        <v>6.7144086531999996</v>
      </c>
      <c r="W18">
        <v>6.7048255018000003</v>
      </c>
      <c r="X18">
        <v>6.7634086435</v>
      </c>
      <c r="Y18">
        <v>6.9367071459999998</v>
      </c>
      <c r="Z18">
        <v>6.9864245854</v>
      </c>
      <c r="AA18">
        <v>7.1888064479000002</v>
      </c>
      <c r="AB18">
        <v>7.3641886913999999</v>
      </c>
      <c r="AC18">
        <f t="shared" si="0"/>
        <v>6.1914936289041655</v>
      </c>
      <c r="AD18">
        <f t="shared" si="1"/>
        <v>6.2135838077500001</v>
      </c>
    </row>
    <row r="19" spans="1:30" x14ac:dyDescent="0.25">
      <c r="A19" t="s">
        <v>112</v>
      </c>
      <c r="B19" t="s">
        <v>121</v>
      </c>
      <c r="C19">
        <v>115</v>
      </c>
      <c r="D19" t="s">
        <v>4</v>
      </c>
      <c r="E19">
        <v>0.27707055000000003</v>
      </c>
      <c r="F19">
        <v>0.26676091499999999</v>
      </c>
      <c r="G19">
        <v>0.25877075999999999</v>
      </c>
      <c r="H19">
        <v>0.25136475000000003</v>
      </c>
      <c r="I19">
        <v>0.24455757</v>
      </c>
      <c r="J19">
        <v>0.23943394500000001</v>
      </c>
      <c r="K19">
        <v>0.22563195</v>
      </c>
      <c r="L19">
        <v>0.22701286500000001</v>
      </c>
      <c r="M19">
        <v>0.22546253999999999</v>
      </c>
      <c r="N19">
        <v>0.22220712000000001</v>
      </c>
      <c r="O19">
        <v>0.22813018500000001</v>
      </c>
      <c r="P19">
        <v>0.24264255000000001</v>
      </c>
      <c r="Q19">
        <v>0.25760398499999998</v>
      </c>
      <c r="R19">
        <v>0.25775415000000002</v>
      </c>
      <c r="S19">
        <v>0.25484778000000002</v>
      </c>
      <c r="T19">
        <v>0.26415978000000001</v>
      </c>
      <c r="U19">
        <v>0.273687285</v>
      </c>
      <c r="V19">
        <v>0.28406056499999999</v>
      </c>
      <c r="W19">
        <v>0.31301655</v>
      </c>
      <c r="X19">
        <v>0.3106836</v>
      </c>
      <c r="Y19">
        <v>0.32278410000000002</v>
      </c>
      <c r="Z19">
        <v>0.31990808999999998</v>
      </c>
      <c r="AA19">
        <v>0.32207245499999998</v>
      </c>
      <c r="AB19">
        <v>0.31992271500000002</v>
      </c>
      <c r="AC19">
        <f t="shared" si="0"/>
        <v>0.26706444812499996</v>
      </c>
      <c r="AD19">
        <f t="shared" si="1"/>
        <v>0.258262455</v>
      </c>
    </row>
    <row r="20" spans="1:30" x14ac:dyDescent="0.25">
      <c r="A20" t="s">
        <v>112</v>
      </c>
      <c r="B20" t="s">
        <v>122</v>
      </c>
      <c r="C20">
        <v>115</v>
      </c>
      <c r="D20" t="s">
        <v>2</v>
      </c>
      <c r="E20">
        <v>29.632867064999999</v>
      </c>
      <c r="F20">
        <v>27.570538089999999</v>
      </c>
      <c r="G20">
        <v>26.416044214999999</v>
      </c>
      <c r="H20">
        <v>25.700154094999998</v>
      </c>
      <c r="I20">
        <v>25.71617118</v>
      </c>
      <c r="J20">
        <v>25.65442547</v>
      </c>
      <c r="K20">
        <v>24.270180345</v>
      </c>
      <c r="L20">
        <v>25.732521195</v>
      </c>
      <c r="M20">
        <v>27.000845609999999</v>
      </c>
      <c r="N20">
        <v>28.361897925000001</v>
      </c>
      <c r="O20">
        <v>30.128977089999999</v>
      </c>
      <c r="P20">
        <v>32.447783319999999</v>
      </c>
      <c r="Q20">
        <v>34.236179855000003</v>
      </c>
      <c r="R20">
        <v>34.412832710000004</v>
      </c>
      <c r="S20">
        <v>34.710678979999997</v>
      </c>
      <c r="T20">
        <v>35.401005394999999</v>
      </c>
      <c r="U20">
        <v>34.392364409999999</v>
      </c>
      <c r="V20">
        <v>34.591858430000002</v>
      </c>
      <c r="W20">
        <v>38.741734350000002</v>
      </c>
      <c r="X20">
        <v>39.0941969</v>
      </c>
      <c r="Y20">
        <v>39.6743028</v>
      </c>
      <c r="Z20">
        <v>38.425055864999997</v>
      </c>
      <c r="AA20">
        <v>35.673492840000002</v>
      </c>
      <c r="AB20">
        <v>32.442440679999997</v>
      </c>
      <c r="AC20">
        <f t="shared" si="0"/>
        <v>31.684522867291665</v>
      </c>
      <c r="AD20">
        <f t="shared" si="1"/>
        <v>32.445111999999995</v>
      </c>
    </row>
    <row r="21" spans="1:30" x14ac:dyDescent="0.25">
      <c r="A21" t="s">
        <v>112</v>
      </c>
      <c r="B21" t="s">
        <v>122</v>
      </c>
      <c r="C21">
        <v>115</v>
      </c>
      <c r="D21" t="s">
        <v>3</v>
      </c>
      <c r="E21">
        <v>6.9611215825999997</v>
      </c>
      <c r="F21">
        <v>6.8250255415999996</v>
      </c>
      <c r="G21">
        <v>6.8031997320000004</v>
      </c>
      <c r="H21">
        <v>6.6844937791000003</v>
      </c>
      <c r="I21">
        <v>6.6886597505000003</v>
      </c>
      <c r="J21">
        <v>6.6289598483000001</v>
      </c>
      <c r="K21">
        <v>6.3125640778000003</v>
      </c>
      <c r="L21">
        <v>6.3015336499999997</v>
      </c>
      <c r="M21">
        <v>6.4418453641999998</v>
      </c>
      <c r="N21">
        <v>6.7147292420999998</v>
      </c>
      <c r="O21">
        <v>7.0498140476</v>
      </c>
      <c r="P21">
        <v>7.3641515806999998</v>
      </c>
      <c r="Q21">
        <v>7.8187017035000004</v>
      </c>
      <c r="R21">
        <v>7.8264620691999998</v>
      </c>
      <c r="S21">
        <v>8.0573832609</v>
      </c>
      <c r="T21">
        <v>8.5102375389000002</v>
      </c>
      <c r="U21">
        <v>8.0633033761000004</v>
      </c>
      <c r="V21">
        <v>7.8671776366000001</v>
      </c>
      <c r="W21">
        <v>7.9676326371000004</v>
      </c>
      <c r="X21">
        <v>7.6684293363</v>
      </c>
      <c r="Y21">
        <v>7.6961763757000003</v>
      </c>
      <c r="Z21">
        <v>7.4747533403000004</v>
      </c>
      <c r="AA21">
        <v>7.3550550424000001</v>
      </c>
      <c r="AB21">
        <v>7.2230831767000003</v>
      </c>
      <c r="AC21">
        <f t="shared" si="0"/>
        <v>7.2626872370916651</v>
      </c>
      <c r="AD21">
        <f t="shared" si="1"/>
        <v>7.2890691095500006</v>
      </c>
    </row>
    <row r="22" spans="1:30" x14ac:dyDescent="0.25">
      <c r="A22" t="s">
        <v>112</v>
      </c>
      <c r="B22" t="s">
        <v>122</v>
      </c>
      <c r="C22">
        <v>115</v>
      </c>
      <c r="D22" t="s">
        <v>4</v>
      </c>
      <c r="E22">
        <v>0.451261935</v>
      </c>
      <c r="F22">
        <v>0.41985591</v>
      </c>
      <c r="G22">
        <v>0.40227478500000002</v>
      </c>
      <c r="H22">
        <v>0.39137290499999999</v>
      </c>
      <c r="I22">
        <v>0.39161681999999998</v>
      </c>
      <c r="J22">
        <v>0.39067653000000002</v>
      </c>
      <c r="K22">
        <v>0.369596655</v>
      </c>
      <c r="L22">
        <v>0.39186580500000001</v>
      </c>
      <c r="M22">
        <v>0.41118039000000001</v>
      </c>
      <c r="N22">
        <v>0.43190707499999997</v>
      </c>
      <c r="O22">
        <v>0.45881691000000002</v>
      </c>
      <c r="P22">
        <v>0.49412867999999999</v>
      </c>
      <c r="Q22">
        <v>0.52136314500000003</v>
      </c>
      <c r="R22">
        <v>0.52405329</v>
      </c>
      <c r="S22">
        <v>0.52858901999999997</v>
      </c>
      <c r="T22">
        <v>0.53910160500000004</v>
      </c>
      <c r="U22">
        <v>0.52374158999999998</v>
      </c>
      <c r="V22">
        <v>0.52677956999999997</v>
      </c>
      <c r="W22">
        <v>0.58997564999999996</v>
      </c>
      <c r="X22">
        <v>0.59534310000000001</v>
      </c>
      <c r="Y22">
        <v>0.60417719999999997</v>
      </c>
      <c r="Z22">
        <v>0.58515313499999999</v>
      </c>
      <c r="AA22">
        <v>0.54325115999999996</v>
      </c>
      <c r="AB22">
        <v>0.49404732000000001</v>
      </c>
      <c r="AC22">
        <f t="shared" si="0"/>
        <v>0.48250542437500005</v>
      </c>
      <c r="AD22">
        <f t="shared" si="1"/>
        <v>0.49408799999999997</v>
      </c>
    </row>
    <row r="23" spans="1:30" x14ac:dyDescent="0.25">
      <c r="A23" t="s">
        <v>112</v>
      </c>
      <c r="B23" t="s">
        <v>123</v>
      </c>
      <c r="C23">
        <v>115</v>
      </c>
      <c r="D23" t="s">
        <v>2</v>
      </c>
      <c r="E23">
        <v>8.0555693549999994</v>
      </c>
      <c r="F23">
        <v>7.4253210449999996</v>
      </c>
      <c r="G23">
        <v>7.0660196400000004</v>
      </c>
      <c r="H23">
        <v>6.8555783300000002</v>
      </c>
      <c r="I23">
        <v>6.7695957099999999</v>
      </c>
      <c r="J23">
        <v>6.8145944500000004</v>
      </c>
      <c r="K23">
        <v>6.9241057650000002</v>
      </c>
      <c r="L23">
        <v>7.797274775</v>
      </c>
      <c r="M23">
        <v>8.7570311949999997</v>
      </c>
      <c r="N23">
        <v>9.9263276499999993</v>
      </c>
      <c r="O23">
        <v>10.801425289999999</v>
      </c>
      <c r="P23">
        <v>12.14147839</v>
      </c>
      <c r="Q23">
        <v>12.830063324999999</v>
      </c>
      <c r="R23">
        <v>12.689381685000001</v>
      </c>
      <c r="S23">
        <v>12.639585994999999</v>
      </c>
      <c r="T23">
        <v>12.74436143</v>
      </c>
      <c r="U23">
        <v>12.564730920000001</v>
      </c>
      <c r="V23">
        <v>12.540006435</v>
      </c>
      <c r="W23">
        <v>13.9223249</v>
      </c>
      <c r="X23">
        <v>13.7284375</v>
      </c>
      <c r="Y23">
        <v>12.8954427</v>
      </c>
      <c r="Z23">
        <v>11.530414925000001</v>
      </c>
      <c r="AA23">
        <v>9.9556668599999991</v>
      </c>
      <c r="AB23">
        <v>8.7826195249999994</v>
      </c>
      <c r="AC23">
        <f t="shared" si="0"/>
        <v>10.256556574791668</v>
      </c>
      <c r="AD23">
        <f t="shared" si="1"/>
        <v>10.378546074999999</v>
      </c>
    </row>
    <row r="24" spans="1:30" x14ac:dyDescent="0.25">
      <c r="A24" t="s">
        <v>112</v>
      </c>
      <c r="B24" t="s">
        <v>123</v>
      </c>
      <c r="C24">
        <v>115</v>
      </c>
      <c r="D24" t="s">
        <v>3</v>
      </c>
      <c r="E24">
        <v>3.7309879691000001</v>
      </c>
      <c r="F24">
        <v>3.4111352016000001</v>
      </c>
      <c r="G24">
        <v>3.2440247139</v>
      </c>
      <c r="H24">
        <v>3.1454209225</v>
      </c>
      <c r="I24">
        <v>3.1040056984</v>
      </c>
      <c r="J24">
        <v>3.1226595517</v>
      </c>
      <c r="K24">
        <v>3.1708295948999998</v>
      </c>
      <c r="L24">
        <v>3.4565187879999999</v>
      </c>
      <c r="M24">
        <v>3.5539262304000001</v>
      </c>
      <c r="N24">
        <v>3.7426265000000001</v>
      </c>
      <c r="O24">
        <v>4.0970061718000004</v>
      </c>
      <c r="P24">
        <v>4.5502605047999998</v>
      </c>
      <c r="Q24">
        <v>4.8374521464000004</v>
      </c>
      <c r="R24">
        <v>4.8376304854000001</v>
      </c>
      <c r="S24">
        <v>4.9316246907999997</v>
      </c>
      <c r="T24">
        <v>4.9684643244000002</v>
      </c>
      <c r="U24">
        <v>4.7901093094</v>
      </c>
      <c r="V24">
        <v>4.6135363090999997</v>
      </c>
      <c r="W24">
        <v>4.5512974523</v>
      </c>
      <c r="X24">
        <v>4.4535883659</v>
      </c>
      <c r="Y24">
        <v>4.2110076505</v>
      </c>
      <c r="Z24">
        <v>4.0104530714999997</v>
      </c>
      <c r="AA24">
        <v>3.8875871534000002</v>
      </c>
      <c r="AB24">
        <v>3.8151261376000001</v>
      </c>
      <c r="AC24">
        <f t="shared" si="0"/>
        <v>4.0098866226583336</v>
      </c>
      <c r="AD24">
        <f t="shared" si="1"/>
        <v>3.94902011245</v>
      </c>
    </row>
    <row r="25" spans="1:30" x14ac:dyDescent="0.25">
      <c r="A25" t="s">
        <v>112</v>
      </c>
      <c r="B25" t="s">
        <v>123</v>
      </c>
      <c r="C25">
        <v>115</v>
      </c>
      <c r="D25" t="s">
        <v>4</v>
      </c>
      <c r="E25">
        <v>0.122673645</v>
      </c>
      <c r="F25">
        <v>0.11307595500000001</v>
      </c>
      <c r="G25">
        <v>0.10760436</v>
      </c>
      <c r="H25">
        <v>0.10439967</v>
      </c>
      <c r="I25">
        <v>0.10309029</v>
      </c>
      <c r="J25">
        <v>0.10377554999999999</v>
      </c>
      <c r="K25">
        <v>0.105443235</v>
      </c>
      <c r="L25">
        <v>0.118740225</v>
      </c>
      <c r="M25">
        <v>0.13335580499999999</v>
      </c>
      <c r="N25">
        <v>0.15116235</v>
      </c>
      <c r="O25">
        <v>0.16448871000000001</v>
      </c>
      <c r="P25">
        <v>0.18489560999999999</v>
      </c>
      <c r="Q25">
        <v>0.195381675</v>
      </c>
      <c r="R25">
        <v>0.19323931499999999</v>
      </c>
      <c r="S25">
        <v>0.19248100500000001</v>
      </c>
      <c r="T25">
        <v>0.19407657</v>
      </c>
      <c r="U25">
        <v>0.19134108</v>
      </c>
      <c r="V25">
        <v>0.190964565</v>
      </c>
      <c r="W25">
        <v>0.21201510000000001</v>
      </c>
      <c r="X25">
        <v>0.20906250000000001</v>
      </c>
      <c r="Y25">
        <v>0.1963773</v>
      </c>
      <c r="Z25">
        <v>0.17559007500000001</v>
      </c>
      <c r="AA25">
        <v>0.15160914</v>
      </c>
      <c r="AB25">
        <v>0.133745475</v>
      </c>
      <c r="AC25">
        <f t="shared" si="0"/>
        <v>0.15619121687500001</v>
      </c>
      <c r="AD25">
        <f t="shared" si="1"/>
        <v>0.15804892500000001</v>
      </c>
    </row>
    <row r="26" spans="1:30" x14ac:dyDescent="0.25">
      <c r="A26" t="s">
        <v>112</v>
      </c>
      <c r="B26" t="s">
        <v>124</v>
      </c>
      <c r="C26">
        <v>115</v>
      </c>
      <c r="D26" t="s">
        <v>2</v>
      </c>
      <c r="E26">
        <v>33.672623925000003</v>
      </c>
      <c r="F26">
        <v>31.444618935000001</v>
      </c>
      <c r="G26">
        <v>30.046891129999999</v>
      </c>
      <c r="H26">
        <v>29.051302379999999</v>
      </c>
      <c r="I26">
        <v>28.256990500000001</v>
      </c>
      <c r="J26">
        <v>28.221604299999999</v>
      </c>
      <c r="K26">
        <v>27.553074949999999</v>
      </c>
      <c r="L26">
        <v>30.11172474</v>
      </c>
      <c r="M26">
        <v>32.642211410000002</v>
      </c>
      <c r="N26">
        <v>35.114089669999998</v>
      </c>
      <c r="O26">
        <v>38.622955169999997</v>
      </c>
      <c r="P26">
        <v>41.997131770000003</v>
      </c>
      <c r="Q26">
        <v>43.852725005000003</v>
      </c>
      <c r="R26">
        <v>44.37275477</v>
      </c>
      <c r="S26">
        <v>45.113845130000001</v>
      </c>
      <c r="T26">
        <v>45.699849209999996</v>
      </c>
      <c r="U26">
        <v>45.473899074999999</v>
      </c>
      <c r="V26">
        <v>45.296245460000002</v>
      </c>
      <c r="W26">
        <v>49.074640449999997</v>
      </c>
      <c r="X26">
        <v>47.678314299999997</v>
      </c>
      <c r="Y26">
        <v>45.796294500000002</v>
      </c>
      <c r="Z26">
        <v>43.550604819999997</v>
      </c>
      <c r="AA26">
        <v>40.379024004999998</v>
      </c>
      <c r="AB26">
        <v>37.023407759999998</v>
      </c>
      <c r="AC26">
        <f t="shared" si="0"/>
        <v>38.335284306874996</v>
      </c>
      <c r="AD26">
        <f t="shared" si="1"/>
        <v>39.500989587500001</v>
      </c>
    </row>
    <row r="27" spans="1:30" x14ac:dyDescent="0.25">
      <c r="A27" t="s">
        <v>112</v>
      </c>
      <c r="B27" t="s">
        <v>124</v>
      </c>
      <c r="C27">
        <v>115</v>
      </c>
      <c r="D27" t="s">
        <v>3</v>
      </c>
      <c r="E27">
        <v>10.838943519300001</v>
      </c>
      <c r="F27">
        <v>10.6881999967</v>
      </c>
      <c r="G27">
        <v>10.3582102602</v>
      </c>
      <c r="H27">
        <v>10.1934376686</v>
      </c>
      <c r="I27">
        <v>9.9721325133000001</v>
      </c>
      <c r="J27">
        <v>9.8831564859000007</v>
      </c>
      <c r="K27">
        <v>10.2542722953</v>
      </c>
      <c r="L27">
        <v>10.859030107900001</v>
      </c>
      <c r="M27">
        <v>11.3200071283</v>
      </c>
      <c r="N27">
        <v>11.9597995741</v>
      </c>
      <c r="O27">
        <v>12.8856190636</v>
      </c>
      <c r="P27">
        <v>14.1289653079</v>
      </c>
      <c r="Q27">
        <v>14.5378074853</v>
      </c>
      <c r="R27">
        <v>14.203156767599999</v>
      </c>
      <c r="S27">
        <v>14.6674967982</v>
      </c>
      <c r="T27">
        <v>14.6939427708</v>
      </c>
      <c r="U27">
        <v>14.340683290499999</v>
      </c>
      <c r="V27">
        <v>14.051445999</v>
      </c>
      <c r="W27">
        <v>13.114075961099999</v>
      </c>
      <c r="X27">
        <v>12.7804641634</v>
      </c>
      <c r="Y27">
        <v>11.9695663587</v>
      </c>
      <c r="Z27">
        <v>11.692024264900001</v>
      </c>
      <c r="AA27">
        <v>11.7928552667</v>
      </c>
      <c r="AB27">
        <v>11.5534538442</v>
      </c>
      <c r="AC27">
        <f t="shared" si="0"/>
        <v>12.197447787145835</v>
      </c>
      <c r="AD27">
        <f t="shared" si="1"/>
        <v>11.876327420399999</v>
      </c>
    </row>
    <row r="28" spans="1:30" x14ac:dyDescent="0.25">
      <c r="A28" t="s">
        <v>112</v>
      </c>
      <c r="B28" t="s">
        <v>124</v>
      </c>
      <c r="C28">
        <v>115</v>
      </c>
      <c r="D28" t="s">
        <v>4</v>
      </c>
      <c r="E28">
        <v>0.51278107500000003</v>
      </c>
      <c r="F28">
        <v>0.47885206499999999</v>
      </c>
      <c r="G28">
        <v>0.45756687000000001</v>
      </c>
      <c r="H28">
        <v>0.44240562</v>
      </c>
      <c r="I28">
        <v>0.43030950000000001</v>
      </c>
      <c r="J28">
        <v>0.42977062379999997</v>
      </c>
      <c r="K28">
        <v>0.41958997380000002</v>
      </c>
      <c r="L28">
        <v>0.45855418380000001</v>
      </c>
      <c r="M28">
        <v>0.49708951379999999</v>
      </c>
      <c r="N28">
        <v>0.53473232999999998</v>
      </c>
      <c r="O28">
        <v>0.58816683000000003</v>
      </c>
      <c r="P28">
        <v>0.63955023</v>
      </c>
      <c r="Q28">
        <v>0.66780799499999999</v>
      </c>
      <c r="R28">
        <v>0.67572723000000001</v>
      </c>
      <c r="S28">
        <v>0.68701287</v>
      </c>
      <c r="T28">
        <v>0.69593678999999997</v>
      </c>
      <c r="U28">
        <v>0.69249592500000001</v>
      </c>
      <c r="V28">
        <v>0.68979053999999995</v>
      </c>
      <c r="W28">
        <v>0.74732955000000001</v>
      </c>
      <c r="X28">
        <v>0.72606570000000004</v>
      </c>
      <c r="Y28">
        <v>0.69740550000000001</v>
      </c>
      <c r="Z28">
        <v>0.66320718000000001</v>
      </c>
      <c r="AA28">
        <v>0.61490899499999996</v>
      </c>
      <c r="AB28">
        <v>0.56380823999999996</v>
      </c>
      <c r="AC28">
        <f t="shared" si="0"/>
        <v>0.58378605542499995</v>
      </c>
      <c r="AD28">
        <f t="shared" si="1"/>
        <v>0.60153791249999999</v>
      </c>
    </row>
    <row r="29" spans="1:30" x14ac:dyDescent="0.25">
      <c r="A29" t="s">
        <v>112</v>
      </c>
      <c r="B29" t="s">
        <v>125</v>
      </c>
      <c r="C29">
        <v>115</v>
      </c>
      <c r="D29" t="s">
        <v>2</v>
      </c>
      <c r="E29">
        <v>17.729094785000001</v>
      </c>
      <c r="F29">
        <v>16.613347855000001</v>
      </c>
      <c r="G29">
        <v>15.893109945000001</v>
      </c>
      <c r="H29">
        <v>15.192875415</v>
      </c>
      <c r="I29">
        <v>14.839214119999999</v>
      </c>
      <c r="J29">
        <v>14.728789709999999</v>
      </c>
      <c r="K29">
        <v>14.0401506</v>
      </c>
      <c r="L29">
        <v>14.879925155</v>
      </c>
      <c r="M29">
        <v>15.707206955</v>
      </c>
      <c r="N29">
        <v>16.665055429999999</v>
      </c>
      <c r="O29">
        <v>18.473867075000001</v>
      </c>
      <c r="P29">
        <v>19.994787845000001</v>
      </c>
      <c r="Q29">
        <v>20.797828795000001</v>
      </c>
      <c r="R29">
        <v>21.062128919999999</v>
      </c>
      <c r="S29">
        <v>21.452766130000001</v>
      </c>
      <c r="T29">
        <v>22.70140335</v>
      </c>
      <c r="U29">
        <v>22.825861055000001</v>
      </c>
      <c r="V29">
        <v>23.158921074999999</v>
      </c>
      <c r="W29">
        <v>25.596820699999999</v>
      </c>
      <c r="X29">
        <v>24.869339100000001</v>
      </c>
      <c r="Y29">
        <v>23.292905699999999</v>
      </c>
      <c r="Z29">
        <v>21.640746485000001</v>
      </c>
      <c r="AA29">
        <v>19.8290547</v>
      </c>
      <c r="AB29">
        <v>18.075855170000001</v>
      </c>
      <c r="AC29">
        <f t="shared" si="0"/>
        <v>19.16921066958334</v>
      </c>
      <c r="AD29">
        <f t="shared" si="1"/>
        <v>19.151460887500001</v>
      </c>
    </row>
    <row r="30" spans="1:30" x14ac:dyDescent="0.25">
      <c r="A30" t="s">
        <v>112</v>
      </c>
      <c r="B30" t="s">
        <v>125</v>
      </c>
      <c r="C30">
        <v>115</v>
      </c>
      <c r="D30" t="s">
        <v>3</v>
      </c>
      <c r="E30">
        <v>6.0323607246000002</v>
      </c>
      <c r="F30">
        <v>5.8348776022999997</v>
      </c>
      <c r="G30">
        <v>5.7208523554999999</v>
      </c>
      <c r="H30">
        <v>5.3514208097999996</v>
      </c>
      <c r="I30">
        <v>5.2067408960000003</v>
      </c>
      <c r="J30">
        <v>5.1479842681000001</v>
      </c>
      <c r="K30">
        <v>5.3073292160000003</v>
      </c>
      <c r="L30">
        <v>5.5085866647000001</v>
      </c>
      <c r="M30">
        <v>5.3607144851999999</v>
      </c>
      <c r="N30">
        <v>5.6760897037999998</v>
      </c>
      <c r="O30">
        <v>6.3812610439000004</v>
      </c>
      <c r="P30">
        <v>6.8032674174999999</v>
      </c>
      <c r="Q30">
        <v>7.0620854034000002</v>
      </c>
      <c r="R30">
        <v>7.1955742786999997</v>
      </c>
      <c r="S30">
        <v>7.2247744620000001</v>
      </c>
      <c r="T30">
        <v>7.4615904444999996</v>
      </c>
      <c r="U30">
        <v>7.4456458781999997</v>
      </c>
      <c r="V30">
        <v>7.5128944185000002</v>
      </c>
      <c r="W30">
        <v>7.4160154894000003</v>
      </c>
      <c r="X30">
        <v>6.8092958708999998</v>
      </c>
      <c r="Y30">
        <v>6.3301157959000003</v>
      </c>
      <c r="Z30">
        <v>5.9954427584000003</v>
      </c>
      <c r="AA30">
        <v>5.6906916467000004</v>
      </c>
      <c r="AB30">
        <v>5.7268020946</v>
      </c>
      <c r="AC30">
        <f t="shared" si="0"/>
        <v>6.2584339053583333</v>
      </c>
      <c r="AD30">
        <f t="shared" si="1"/>
        <v>6.0139017414999998</v>
      </c>
    </row>
    <row r="31" spans="1:30" x14ac:dyDescent="0.25">
      <c r="A31" t="s">
        <v>112</v>
      </c>
      <c r="B31" t="s">
        <v>125</v>
      </c>
      <c r="C31">
        <v>115</v>
      </c>
      <c r="D31" t="s">
        <v>4</v>
      </c>
      <c r="E31">
        <v>0.26998621499999997</v>
      </c>
      <c r="F31">
        <v>0.25299514499999998</v>
      </c>
      <c r="G31">
        <v>0.24202705499999999</v>
      </c>
      <c r="H31">
        <v>0.23136358500000001</v>
      </c>
      <c r="I31">
        <v>0.22597787999999999</v>
      </c>
      <c r="J31">
        <v>0.22429629000000001</v>
      </c>
      <c r="K31">
        <v>0.21380940000000001</v>
      </c>
      <c r="L31">
        <v>0.22659784499999999</v>
      </c>
      <c r="M31">
        <v>0.239196045</v>
      </c>
      <c r="N31">
        <v>0.25378256999999999</v>
      </c>
      <c r="O31">
        <v>0.28132792499999998</v>
      </c>
      <c r="P31">
        <v>0.30448915500000001</v>
      </c>
      <c r="Q31">
        <v>0.31671820499999997</v>
      </c>
      <c r="R31">
        <v>0.32074308000000001</v>
      </c>
      <c r="S31">
        <v>0.32669187</v>
      </c>
      <c r="T31">
        <v>0.34570665</v>
      </c>
      <c r="U31">
        <v>0.34760194500000002</v>
      </c>
      <c r="V31">
        <v>0.352673925</v>
      </c>
      <c r="W31">
        <v>0.38979930000000002</v>
      </c>
      <c r="X31">
        <v>0.37872090000000003</v>
      </c>
      <c r="Y31">
        <v>0.35471429999999998</v>
      </c>
      <c r="Z31">
        <v>0.32955451499999999</v>
      </c>
      <c r="AA31">
        <v>0.30196529999999999</v>
      </c>
      <c r="AB31">
        <v>0.27526683000000002</v>
      </c>
      <c r="AC31">
        <f t="shared" si="0"/>
        <v>0.29191691375000001</v>
      </c>
      <c r="AD31">
        <f t="shared" si="1"/>
        <v>0.29164661250000001</v>
      </c>
    </row>
    <row r="32" spans="1:30" x14ac:dyDescent="0.25">
      <c r="A32" t="s">
        <v>112</v>
      </c>
      <c r="B32" t="s">
        <v>126</v>
      </c>
      <c r="C32">
        <v>115</v>
      </c>
      <c r="D32" t="s">
        <v>2</v>
      </c>
      <c r="E32">
        <v>27.094763390000001</v>
      </c>
      <c r="F32">
        <v>25.436566124999999</v>
      </c>
      <c r="G32">
        <v>24.446876540000002</v>
      </c>
      <c r="H32">
        <v>23.875807030000001</v>
      </c>
      <c r="I32">
        <v>23.344147370000002</v>
      </c>
      <c r="J32">
        <v>23.120945384999999</v>
      </c>
      <c r="K32">
        <v>22.167451594999999</v>
      </c>
      <c r="L32">
        <v>23.515974709999998</v>
      </c>
      <c r="M32">
        <v>25.181244275000001</v>
      </c>
      <c r="N32">
        <v>26.621677739999999</v>
      </c>
      <c r="O32">
        <v>28.243013349999998</v>
      </c>
      <c r="P32">
        <v>30.182553209999998</v>
      </c>
      <c r="Q32">
        <v>31.967108244999999</v>
      </c>
      <c r="R32">
        <v>32.012031139999998</v>
      </c>
      <c r="S32">
        <v>31.900097710000001</v>
      </c>
      <c r="T32">
        <v>32.369539844999998</v>
      </c>
      <c r="U32">
        <v>32.007934525000003</v>
      </c>
      <c r="V32">
        <v>32.186423419999997</v>
      </c>
      <c r="W32">
        <v>35.507703550000002</v>
      </c>
      <c r="X32">
        <v>35.751047800000002</v>
      </c>
      <c r="Y32">
        <v>35.808689999999999</v>
      </c>
      <c r="Z32">
        <v>34.255889705000001</v>
      </c>
      <c r="AA32">
        <v>32.049332104999998</v>
      </c>
      <c r="AB32">
        <v>29.692401449999998</v>
      </c>
      <c r="AC32">
        <f t="shared" si="0"/>
        <v>29.114134175624997</v>
      </c>
      <c r="AD32">
        <f t="shared" si="1"/>
        <v>29.93747733</v>
      </c>
    </row>
    <row r="33" spans="1:30" x14ac:dyDescent="0.25">
      <c r="A33" t="s">
        <v>112</v>
      </c>
      <c r="B33" t="s">
        <v>126</v>
      </c>
      <c r="C33">
        <v>115</v>
      </c>
      <c r="D33" t="s">
        <v>3</v>
      </c>
      <c r="E33">
        <v>6.3021197914</v>
      </c>
      <c r="F33">
        <v>6.2742637391000002</v>
      </c>
      <c r="G33">
        <v>6.5023752568999997</v>
      </c>
      <c r="H33">
        <v>6.1693748057000004</v>
      </c>
      <c r="I33">
        <v>6.2961027897999999</v>
      </c>
      <c r="J33">
        <v>6.2644258665999999</v>
      </c>
      <c r="K33">
        <v>6.4396959592999998</v>
      </c>
      <c r="L33">
        <v>6.4099729388000002</v>
      </c>
      <c r="M33">
        <v>5.7745353383999998</v>
      </c>
      <c r="N33">
        <v>6.3149222266000002</v>
      </c>
      <c r="O33">
        <v>7.0783663668000001</v>
      </c>
      <c r="P33">
        <v>8.3253199537999993</v>
      </c>
      <c r="Q33">
        <v>8.9333914234999998</v>
      </c>
      <c r="R33">
        <v>9.1493125322999997</v>
      </c>
      <c r="S33">
        <v>9.5125765479000002</v>
      </c>
      <c r="T33">
        <v>8.9547304327999999</v>
      </c>
      <c r="U33">
        <v>8.6722808967000002</v>
      </c>
      <c r="V33">
        <v>8.4395774816000007</v>
      </c>
      <c r="W33">
        <v>8.2092412206999992</v>
      </c>
      <c r="X33">
        <v>7.5355542700000004</v>
      </c>
      <c r="Y33">
        <v>8.9431487100999991</v>
      </c>
      <c r="Z33">
        <v>8.6152445522000001</v>
      </c>
      <c r="AA33">
        <v>7.8769534616000003</v>
      </c>
      <c r="AB33">
        <v>7.5191714605</v>
      </c>
      <c r="AC33">
        <f t="shared" si="0"/>
        <v>7.5213607509625007</v>
      </c>
      <c r="AD33">
        <f t="shared" si="1"/>
        <v>7.5273628652499998</v>
      </c>
    </row>
    <row r="34" spans="1:30" x14ac:dyDescent="0.25">
      <c r="A34" t="s">
        <v>112</v>
      </c>
      <c r="B34" t="s">
        <v>126</v>
      </c>
      <c r="C34">
        <v>115</v>
      </c>
      <c r="D34" t="s">
        <v>4</v>
      </c>
      <c r="E34">
        <v>0.41261060999999999</v>
      </c>
      <c r="F34">
        <v>0.38735887499999999</v>
      </c>
      <c r="G34">
        <v>0.37228746000000001</v>
      </c>
      <c r="H34">
        <v>0.36359097000000001</v>
      </c>
      <c r="I34">
        <v>0.35549462999999998</v>
      </c>
      <c r="J34">
        <v>0.35209561499999997</v>
      </c>
      <c r="K34">
        <v>0.337575405</v>
      </c>
      <c r="L34">
        <v>0.35811129000000003</v>
      </c>
      <c r="M34">
        <v>0.38347072500000001</v>
      </c>
      <c r="N34">
        <v>0.40540626000000002</v>
      </c>
      <c r="O34">
        <v>0.43009665000000002</v>
      </c>
      <c r="P34">
        <v>0.45963279000000001</v>
      </c>
      <c r="Q34">
        <v>0.48680875499999998</v>
      </c>
      <c r="R34">
        <v>0.48749285999999997</v>
      </c>
      <c r="S34">
        <v>0.48578829000000001</v>
      </c>
      <c r="T34">
        <v>0.49293715500000002</v>
      </c>
      <c r="U34">
        <v>0.48743047499999997</v>
      </c>
      <c r="V34">
        <v>0.49014858</v>
      </c>
      <c r="W34">
        <v>0.54072644999999997</v>
      </c>
      <c r="X34">
        <v>0.54443220000000003</v>
      </c>
      <c r="Y34">
        <v>0.54530999999999996</v>
      </c>
      <c r="Z34">
        <v>0.52166329499999997</v>
      </c>
      <c r="AA34">
        <v>0.48806089499999999</v>
      </c>
      <c r="AB34">
        <v>0.45216855</v>
      </c>
      <c r="AC34">
        <f t="shared" si="0"/>
        <v>0.44336244937499991</v>
      </c>
      <c r="AD34">
        <f t="shared" si="1"/>
        <v>0.45590067000000001</v>
      </c>
    </row>
    <row r="35" spans="1:30" x14ac:dyDescent="0.25">
      <c r="A35" t="s">
        <v>112</v>
      </c>
      <c r="B35" t="s">
        <v>127</v>
      </c>
      <c r="C35">
        <v>115</v>
      </c>
      <c r="D35" t="s">
        <v>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f t="shared" si="0"/>
        <v>0</v>
      </c>
      <c r="AD35">
        <f t="shared" si="1"/>
        <v>0</v>
      </c>
    </row>
    <row r="36" spans="1:30" x14ac:dyDescent="0.25">
      <c r="A36" t="s">
        <v>112</v>
      </c>
      <c r="B36" t="s">
        <v>127</v>
      </c>
      <c r="C36">
        <v>115</v>
      </c>
      <c r="D36" t="s">
        <v>3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f t="shared" si="0"/>
        <v>0</v>
      </c>
      <c r="AD36">
        <f t="shared" si="1"/>
        <v>0</v>
      </c>
    </row>
    <row r="37" spans="1:30" x14ac:dyDescent="0.25">
      <c r="A37" t="s">
        <v>112</v>
      </c>
      <c r="B37" t="s">
        <v>127</v>
      </c>
      <c r="C37">
        <v>115</v>
      </c>
      <c r="D37" t="s">
        <v>4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f t="shared" si="0"/>
        <v>0</v>
      </c>
      <c r="AD37">
        <f t="shared" si="1"/>
        <v>0</v>
      </c>
    </row>
    <row r="38" spans="1:30" x14ac:dyDescent="0.25">
      <c r="A38" t="s">
        <v>112</v>
      </c>
      <c r="B38" t="s">
        <v>129</v>
      </c>
      <c r="C38">
        <v>115</v>
      </c>
      <c r="D38" t="s">
        <v>2</v>
      </c>
      <c r="E38">
        <v>3.9679237650000001</v>
      </c>
      <c r="F38">
        <v>3.7417155599999998</v>
      </c>
      <c r="G38">
        <v>3.6059993050000001</v>
      </c>
      <c r="H38">
        <v>3.54951251</v>
      </c>
      <c r="I38">
        <v>3.5239803250000001</v>
      </c>
      <c r="J38">
        <v>3.6184201549999999</v>
      </c>
      <c r="K38">
        <v>3.8588212249999998</v>
      </c>
      <c r="L38">
        <v>4.1514814700000002</v>
      </c>
      <c r="M38">
        <v>4.2319274050000004</v>
      </c>
      <c r="N38">
        <v>4.7696192049999997</v>
      </c>
      <c r="O38">
        <v>5.0042324149999997</v>
      </c>
      <c r="P38">
        <v>5.0727302999999999</v>
      </c>
      <c r="Q38">
        <v>5.65467224</v>
      </c>
      <c r="R38">
        <v>5.5430875000000004</v>
      </c>
      <c r="S38">
        <v>5.4163918750000004</v>
      </c>
      <c r="T38">
        <v>5.383394375</v>
      </c>
      <c r="U38">
        <v>5.294242025</v>
      </c>
      <c r="V38">
        <v>5.2911422300000002</v>
      </c>
      <c r="W38">
        <v>5.7484009</v>
      </c>
      <c r="X38">
        <v>5.7198162000000004</v>
      </c>
      <c r="Y38">
        <v>5.3065889999999998</v>
      </c>
      <c r="Z38">
        <v>5.0468858699999997</v>
      </c>
      <c r="AA38">
        <v>4.6624334750000003</v>
      </c>
      <c r="AB38">
        <v>4.260007785</v>
      </c>
      <c r="AC38">
        <f t="shared" si="0"/>
        <v>4.6843094631249995</v>
      </c>
      <c r="AD38">
        <f t="shared" si="1"/>
        <v>4.8869258099999993</v>
      </c>
    </row>
    <row r="39" spans="1:30" x14ac:dyDescent="0.25">
      <c r="A39" t="s">
        <v>112</v>
      </c>
      <c r="B39" t="s">
        <v>129</v>
      </c>
      <c r="C39">
        <v>115</v>
      </c>
      <c r="D39" t="s">
        <v>3</v>
      </c>
      <c r="E39">
        <v>1.2743817449999999</v>
      </c>
      <c r="F39">
        <v>1.2640313474</v>
      </c>
      <c r="G39">
        <v>1.2517586352000001</v>
      </c>
      <c r="H39">
        <v>1.3035492245</v>
      </c>
      <c r="I39">
        <v>1.2976498847</v>
      </c>
      <c r="J39">
        <v>1.3169088183</v>
      </c>
      <c r="K39">
        <v>1.4310717798000001</v>
      </c>
      <c r="L39">
        <v>1.4762873484000001</v>
      </c>
      <c r="M39">
        <v>1.3834442562</v>
      </c>
      <c r="N39">
        <v>1.2961990341</v>
      </c>
      <c r="O39">
        <v>1.2694172252</v>
      </c>
      <c r="P39">
        <v>1.2557431322999999</v>
      </c>
      <c r="Q39">
        <v>1.4490390073999999</v>
      </c>
      <c r="R39">
        <v>1.5334433101</v>
      </c>
      <c r="S39">
        <v>1.6560535193999999</v>
      </c>
      <c r="T39">
        <v>1.7502591395</v>
      </c>
      <c r="U39">
        <v>1.7079840794000001</v>
      </c>
      <c r="V39">
        <v>1.6878801433999999</v>
      </c>
      <c r="W39">
        <v>1.5551200005000001</v>
      </c>
      <c r="X39">
        <v>1.4755278763999999</v>
      </c>
      <c r="Y39">
        <v>1.308940003</v>
      </c>
      <c r="Z39">
        <v>1.3839048892000001</v>
      </c>
      <c r="AA39">
        <v>1.3634863851000001</v>
      </c>
      <c r="AB39">
        <v>1.3574021308999999</v>
      </c>
      <c r="AC39">
        <f t="shared" si="0"/>
        <v>1.4187284548083336</v>
      </c>
      <c r="AD39">
        <f t="shared" si="1"/>
        <v>1.37346532065</v>
      </c>
    </row>
    <row r="40" spans="1:30" x14ac:dyDescent="0.25">
      <c r="A40" t="s">
        <v>112</v>
      </c>
      <c r="B40" t="s">
        <v>129</v>
      </c>
      <c r="C40">
        <v>115</v>
      </c>
      <c r="D40" t="s">
        <v>4</v>
      </c>
      <c r="E40">
        <v>6.0425235000000001E-2</v>
      </c>
      <c r="F40">
        <v>5.698044E-2</v>
      </c>
      <c r="G40">
        <v>5.4913694999999998E-2</v>
      </c>
      <c r="H40">
        <v>5.4053490000000003E-2</v>
      </c>
      <c r="I40">
        <v>5.3664675000000002E-2</v>
      </c>
      <c r="J40">
        <v>5.5102844999999998E-2</v>
      </c>
      <c r="K40">
        <v>5.8763774999999997E-2</v>
      </c>
      <c r="L40">
        <v>6.3220529999999997E-2</v>
      </c>
      <c r="M40">
        <v>6.4445594999999994E-2</v>
      </c>
      <c r="N40">
        <v>7.2633795000000001E-2</v>
      </c>
      <c r="O40">
        <v>7.6206584999999993E-2</v>
      </c>
      <c r="P40">
        <v>7.7249700000000004E-2</v>
      </c>
      <c r="Q40">
        <v>8.6111759999999996E-2</v>
      </c>
      <c r="R40">
        <v>8.4412500000000001E-2</v>
      </c>
      <c r="S40">
        <v>8.2483125000000004E-2</v>
      </c>
      <c r="T40">
        <v>8.1980625000000001E-2</v>
      </c>
      <c r="U40">
        <v>8.0622975E-2</v>
      </c>
      <c r="V40">
        <v>8.0575770000000005E-2</v>
      </c>
      <c r="W40">
        <v>8.7539099999999995E-2</v>
      </c>
      <c r="X40">
        <v>8.7103799999999995E-2</v>
      </c>
      <c r="Y40">
        <v>8.0810999999999994E-2</v>
      </c>
      <c r="Z40">
        <v>7.6856129999999995E-2</v>
      </c>
      <c r="AA40">
        <v>7.1001524999999996E-2</v>
      </c>
      <c r="AB40">
        <v>6.4873214999999998E-2</v>
      </c>
      <c r="AC40">
        <f t="shared" si="0"/>
        <v>7.1334661874999997E-2</v>
      </c>
      <c r="AD40">
        <f t="shared" si="1"/>
        <v>7.4420189999999997E-2</v>
      </c>
    </row>
    <row r="41" spans="1:30" x14ac:dyDescent="0.25">
      <c r="A41" t="s">
        <v>112</v>
      </c>
      <c r="B41" t="s">
        <v>130</v>
      </c>
      <c r="C41">
        <v>115</v>
      </c>
      <c r="D41" t="s">
        <v>2</v>
      </c>
      <c r="E41">
        <v>21.974089200000002</v>
      </c>
      <c r="F41">
        <v>20.564909785000001</v>
      </c>
      <c r="G41">
        <v>19.682359635000001</v>
      </c>
      <c r="H41">
        <v>18.940752150000002</v>
      </c>
      <c r="I41">
        <v>18.61194536</v>
      </c>
      <c r="J41">
        <v>18.822237935</v>
      </c>
      <c r="K41">
        <v>18.66958953</v>
      </c>
      <c r="L41">
        <v>20.551497040000001</v>
      </c>
      <c r="M41">
        <v>22.549035669999999</v>
      </c>
      <c r="N41">
        <v>23.58554723</v>
      </c>
      <c r="O41">
        <v>24.421080374999999</v>
      </c>
      <c r="P41">
        <v>26.590491655000001</v>
      </c>
      <c r="Q41">
        <v>27.773125995000001</v>
      </c>
      <c r="R41">
        <v>27.378763514999999</v>
      </c>
      <c r="S41">
        <v>27.186351644999998</v>
      </c>
      <c r="T41">
        <v>27.222152455</v>
      </c>
      <c r="U41">
        <v>26.721776394999999</v>
      </c>
      <c r="V41">
        <v>26.533042515000002</v>
      </c>
      <c r="W41">
        <v>29.568281599999999</v>
      </c>
      <c r="X41">
        <v>29.9521558</v>
      </c>
      <c r="Y41">
        <v>29.332925700000001</v>
      </c>
      <c r="Z41">
        <v>27.983510174999999</v>
      </c>
      <c r="AA41">
        <v>25.917644065000001</v>
      </c>
      <c r="AB41">
        <v>23.688999809999999</v>
      </c>
      <c r="AC41">
        <f t="shared" si="0"/>
        <v>24.342594384791667</v>
      </c>
      <c r="AD41">
        <f t="shared" si="1"/>
        <v>25.16936222</v>
      </c>
    </row>
    <row r="42" spans="1:30" x14ac:dyDescent="0.25">
      <c r="A42" t="s">
        <v>112</v>
      </c>
      <c r="B42" t="s">
        <v>130</v>
      </c>
      <c r="C42">
        <v>115</v>
      </c>
      <c r="D42" t="s">
        <v>3</v>
      </c>
      <c r="E42">
        <v>7.3079516311999999</v>
      </c>
      <c r="F42">
        <v>6.9687187374999997</v>
      </c>
      <c r="G42">
        <v>6.9127643866000001</v>
      </c>
      <c r="H42">
        <v>6.8368095594999998</v>
      </c>
      <c r="I42">
        <v>6.6434982264000002</v>
      </c>
      <c r="J42">
        <v>6.6742786787000004</v>
      </c>
      <c r="K42">
        <v>6.7327141357000002</v>
      </c>
      <c r="L42">
        <v>7.0918699250000001</v>
      </c>
      <c r="M42">
        <v>7.4434674562999996</v>
      </c>
      <c r="N42">
        <v>7.8853018551999998</v>
      </c>
      <c r="O42">
        <v>8.1560777511999998</v>
      </c>
      <c r="P42">
        <v>8.7398719536999998</v>
      </c>
      <c r="Q42">
        <v>9.1679468038999996</v>
      </c>
      <c r="R42">
        <v>9.0377672110000002</v>
      </c>
      <c r="S42">
        <v>9.0986794776999993</v>
      </c>
      <c r="T42">
        <v>8.9281542139999992</v>
      </c>
      <c r="U42">
        <v>8.4951778503999993</v>
      </c>
      <c r="V42">
        <v>8.3480652170000003</v>
      </c>
      <c r="W42">
        <v>8.0597078046000004</v>
      </c>
      <c r="X42">
        <v>7.6753948361999997</v>
      </c>
      <c r="Y42">
        <v>7.6542110768000002</v>
      </c>
      <c r="Z42">
        <v>7.4895595632000003</v>
      </c>
      <c r="AA42">
        <v>7.4786327899999998</v>
      </c>
      <c r="AB42">
        <v>7.3923439919999998</v>
      </c>
      <c r="AC42">
        <f t="shared" si="0"/>
        <v>7.7591235472416686</v>
      </c>
      <c r="AD42">
        <f t="shared" si="1"/>
        <v>7.5718853199999998</v>
      </c>
    </row>
    <row r="43" spans="1:30" x14ac:dyDescent="0.25">
      <c r="A43" t="s">
        <v>112</v>
      </c>
      <c r="B43" t="s">
        <v>130</v>
      </c>
      <c r="C43">
        <v>115</v>
      </c>
      <c r="D43" t="s">
        <v>4</v>
      </c>
      <c r="E43">
        <v>0.33463080000000001</v>
      </c>
      <c r="F43">
        <v>0.313171215</v>
      </c>
      <c r="G43">
        <v>0.29973136500000003</v>
      </c>
      <c r="H43">
        <v>0.28843785</v>
      </c>
      <c r="I43">
        <v>0.28343064000000001</v>
      </c>
      <c r="J43">
        <v>0.28663306500000002</v>
      </c>
      <c r="K43">
        <v>0.28430846999999998</v>
      </c>
      <c r="L43">
        <v>0.31296696000000002</v>
      </c>
      <c r="M43">
        <v>0.34338633000000002</v>
      </c>
      <c r="N43">
        <v>0.35917076999999997</v>
      </c>
      <c r="O43">
        <v>0.37189462499999998</v>
      </c>
      <c r="P43">
        <v>0.404931345</v>
      </c>
      <c r="Q43">
        <v>0.42294100499999998</v>
      </c>
      <c r="R43">
        <v>0.41693548499999999</v>
      </c>
      <c r="S43">
        <v>0.41400535500000002</v>
      </c>
      <c r="T43">
        <v>0.41455054499999999</v>
      </c>
      <c r="U43">
        <v>0.406930605</v>
      </c>
      <c r="V43">
        <v>0.40405648500000002</v>
      </c>
      <c r="W43">
        <v>0.45027840000000002</v>
      </c>
      <c r="X43">
        <v>0.45612419999999998</v>
      </c>
      <c r="Y43">
        <v>0.44669429999999999</v>
      </c>
      <c r="Z43">
        <v>0.426144825</v>
      </c>
      <c r="AA43">
        <v>0.39468493500000001</v>
      </c>
      <c r="AB43">
        <v>0.36074619000000002</v>
      </c>
      <c r="AC43">
        <f t="shared" si="0"/>
        <v>0.37069940687500008</v>
      </c>
      <c r="AD43">
        <f t="shared" si="1"/>
        <v>0.38328978000000002</v>
      </c>
    </row>
    <row r="44" spans="1:30" x14ac:dyDescent="0.25">
      <c r="A44" t="s">
        <v>112</v>
      </c>
      <c r="B44" t="s">
        <v>132</v>
      </c>
      <c r="C44">
        <v>115</v>
      </c>
      <c r="D44" t="s">
        <v>2</v>
      </c>
      <c r="E44">
        <v>2.3602304049999998</v>
      </c>
      <c r="F44">
        <v>2.2727939250000002</v>
      </c>
      <c r="G44">
        <v>2.1648418650000001</v>
      </c>
      <c r="H44">
        <v>2.1188876749999999</v>
      </c>
      <c r="I44">
        <v>2.1025425850000001</v>
      </c>
      <c r="J44">
        <v>2.0936401550000001</v>
      </c>
      <c r="K44">
        <v>2.26315373</v>
      </c>
      <c r="L44">
        <v>2.4194259499999999</v>
      </c>
      <c r="M44">
        <v>2.42188648</v>
      </c>
      <c r="N44">
        <v>2.3696627650000002</v>
      </c>
      <c r="O44">
        <v>2.2681565450000001</v>
      </c>
      <c r="P44">
        <v>2.3306104699999999</v>
      </c>
      <c r="Q44">
        <v>2.3851272649999999</v>
      </c>
      <c r="R44">
        <v>2.2124252449999999</v>
      </c>
      <c r="S44">
        <v>2.0918760199999999</v>
      </c>
      <c r="T44">
        <v>2.1362679999999998</v>
      </c>
      <c r="U44">
        <v>2.0651588799999998</v>
      </c>
      <c r="V44">
        <v>2.1775079800000001</v>
      </c>
      <c r="W44">
        <v>2.6787370500000001</v>
      </c>
      <c r="X44">
        <v>2.8599081000000002</v>
      </c>
      <c r="Y44">
        <v>2.7827234999999999</v>
      </c>
      <c r="Z44">
        <v>2.595895595</v>
      </c>
      <c r="AA44">
        <v>2.5741330050000002</v>
      </c>
      <c r="AB44">
        <v>2.4801413499999998</v>
      </c>
      <c r="AC44">
        <f t="shared" si="0"/>
        <v>2.3427389391666669</v>
      </c>
      <c r="AD44">
        <f t="shared" si="1"/>
        <v>2.3017021975</v>
      </c>
    </row>
    <row r="45" spans="1:30" x14ac:dyDescent="0.25">
      <c r="A45" t="s">
        <v>112</v>
      </c>
      <c r="B45" t="s">
        <v>132</v>
      </c>
      <c r="C45">
        <v>115</v>
      </c>
      <c r="D45" t="s">
        <v>3</v>
      </c>
      <c r="E45">
        <v>1.0849562496</v>
      </c>
      <c r="F45">
        <v>1.0441039943999999</v>
      </c>
      <c r="G45">
        <v>0.99388352550000003</v>
      </c>
      <c r="H45">
        <v>0.97217088100000004</v>
      </c>
      <c r="I45">
        <v>0.96406114099999995</v>
      </c>
      <c r="J45">
        <v>0.95937116659999999</v>
      </c>
      <c r="K45">
        <v>1.0363901228000001</v>
      </c>
      <c r="L45">
        <v>1.1114656154</v>
      </c>
      <c r="M45">
        <v>1.1118932575</v>
      </c>
      <c r="N45">
        <v>1.0872294766999999</v>
      </c>
      <c r="O45">
        <v>1.0399987152000001</v>
      </c>
      <c r="P45">
        <v>1.0679583500000001</v>
      </c>
      <c r="Q45">
        <v>1.0922467646</v>
      </c>
      <c r="R45">
        <v>1.0125165810000001</v>
      </c>
      <c r="S45">
        <v>0.95673915809999999</v>
      </c>
      <c r="T45">
        <v>0.97642109290000001</v>
      </c>
      <c r="U45">
        <v>0.93971081810000001</v>
      </c>
      <c r="V45">
        <v>0.96721333330000003</v>
      </c>
      <c r="W45">
        <v>1.0400683282000001</v>
      </c>
      <c r="X45">
        <v>1.0102520028999999</v>
      </c>
      <c r="Y45">
        <v>1.0301714156999999</v>
      </c>
      <c r="Z45">
        <v>1.0846065201999999</v>
      </c>
      <c r="AA45">
        <v>1.188503831</v>
      </c>
      <c r="AB45">
        <v>1.1400771941000001</v>
      </c>
      <c r="AC45">
        <f t="shared" si="0"/>
        <v>1.038000397325</v>
      </c>
      <c r="AD45">
        <f t="shared" si="1"/>
        <v>1.0381944190000001</v>
      </c>
    </row>
    <row r="46" spans="1:30" x14ac:dyDescent="0.25">
      <c r="A46" t="s">
        <v>112</v>
      </c>
      <c r="B46" t="s">
        <v>132</v>
      </c>
      <c r="C46">
        <v>115</v>
      </c>
      <c r="D46" t="s">
        <v>4</v>
      </c>
      <c r="E46">
        <v>3.5942595000000001E-2</v>
      </c>
      <c r="F46">
        <v>3.4611074999999998E-2</v>
      </c>
      <c r="G46">
        <v>3.2967135000000002E-2</v>
      </c>
      <c r="H46">
        <v>3.2267324999999999E-2</v>
      </c>
      <c r="I46">
        <v>3.2018415000000001E-2</v>
      </c>
      <c r="J46">
        <v>3.1882845E-2</v>
      </c>
      <c r="K46">
        <v>3.4464269999999998E-2</v>
      </c>
      <c r="L46">
        <v>3.6844050000000003E-2</v>
      </c>
      <c r="M46">
        <v>3.6881520000000001E-2</v>
      </c>
      <c r="N46">
        <v>3.6086235000000001E-2</v>
      </c>
      <c r="O46">
        <v>3.4540454999999998E-2</v>
      </c>
      <c r="P46">
        <v>3.549153E-2</v>
      </c>
      <c r="Q46">
        <v>3.6321735000000001E-2</v>
      </c>
      <c r="R46">
        <v>3.3691754999999997E-2</v>
      </c>
      <c r="S46">
        <v>3.1855979999999999E-2</v>
      </c>
      <c r="T46">
        <v>3.2531999999999998E-2</v>
      </c>
      <c r="U46">
        <v>3.1449119999999997E-2</v>
      </c>
      <c r="V46">
        <v>3.3160019999999998E-2</v>
      </c>
      <c r="W46">
        <v>4.0792950000000001E-2</v>
      </c>
      <c r="X46">
        <v>4.3551899999999998E-2</v>
      </c>
      <c r="Y46">
        <v>4.2376499999999998E-2</v>
      </c>
      <c r="Z46">
        <v>3.9531404999999999E-2</v>
      </c>
      <c r="AA46">
        <v>3.9199995000000001E-2</v>
      </c>
      <c r="AB46">
        <v>3.7768650000000001E-2</v>
      </c>
      <c r="AC46">
        <f t="shared" si="0"/>
        <v>3.5676227499999998E-2</v>
      </c>
      <c r="AD46">
        <f t="shared" si="1"/>
        <v>3.5051302499999999E-2</v>
      </c>
    </row>
    <row r="47" spans="1:30" x14ac:dyDescent="0.25">
      <c r="A47" t="s">
        <v>112</v>
      </c>
      <c r="B47" t="s">
        <v>133</v>
      </c>
      <c r="C47">
        <v>115</v>
      </c>
      <c r="D47" t="s">
        <v>2</v>
      </c>
      <c r="E47">
        <v>4.3544545100000001</v>
      </c>
      <c r="F47">
        <v>4.2324327100000003</v>
      </c>
      <c r="G47">
        <v>4.1961285650000004</v>
      </c>
      <c r="H47">
        <v>4.2137314999999997</v>
      </c>
      <c r="I47">
        <v>4.1073613499999997</v>
      </c>
      <c r="J47">
        <v>4.0729227950000002</v>
      </c>
      <c r="K47">
        <v>4.1395669100000001</v>
      </c>
      <c r="L47">
        <v>4.6268877799999997</v>
      </c>
      <c r="M47">
        <v>4.7864124700000001</v>
      </c>
      <c r="N47">
        <v>4.9715786800000004</v>
      </c>
      <c r="O47">
        <v>5.057810505</v>
      </c>
      <c r="P47">
        <v>5.3419426200000002</v>
      </c>
      <c r="Q47">
        <v>5.6106516050000002</v>
      </c>
      <c r="R47">
        <v>5.1022054399999996</v>
      </c>
      <c r="S47">
        <v>4.7820036100000003</v>
      </c>
      <c r="T47">
        <v>4.8951042649999996</v>
      </c>
      <c r="U47">
        <v>4.7607758750000002</v>
      </c>
      <c r="V47">
        <v>4.7335366849999998</v>
      </c>
      <c r="W47">
        <v>5.0864907500000003</v>
      </c>
      <c r="X47">
        <v>4.9422375000000001</v>
      </c>
      <c r="Y47">
        <v>4.8018159000000002</v>
      </c>
      <c r="Z47">
        <v>4.4175772499999999</v>
      </c>
      <c r="AA47">
        <v>4.4391063949999996</v>
      </c>
      <c r="AB47">
        <v>4.9748725199999999</v>
      </c>
      <c r="AC47">
        <f t="shared" si="0"/>
        <v>4.6936503412499997</v>
      </c>
      <c r="AD47">
        <f t="shared" si="1"/>
        <v>4.7713897425000003</v>
      </c>
    </row>
    <row r="48" spans="1:30" x14ac:dyDescent="0.25">
      <c r="A48" t="s">
        <v>112</v>
      </c>
      <c r="B48" t="s">
        <v>133</v>
      </c>
      <c r="C48">
        <v>115</v>
      </c>
      <c r="D48" t="s">
        <v>3</v>
      </c>
      <c r="E48">
        <v>2.0004028071</v>
      </c>
      <c r="F48">
        <v>1.9431189001</v>
      </c>
      <c r="G48">
        <v>1.9252337214999999</v>
      </c>
      <c r="H48">
        <v>1.9320868111</v>
      </c>
      <c r="I48">
        <v>1.8821209751000001</v>
      </c>
      <c r="J48">
        <v>1.8651569711</v>
      </c>
      <c r="K48">
        <v>1.8944731100000001</v>
      </c>
      <c r="L48">
        <v>0.45498013529999998</v>
      </c>
      <c r="M48">
        <v>6.7695170999999998E-2</v>
      </c>
      <c r="N48">
        <v>7.0314013100000003E-2</v>
      </c>
      <c r="O48">
        <v>2.3191152473000001</v>
      </c>
      <c r="P48">
        <v>2.4478445884000002</v>
      </c>
      <c r="Q48">
        <v>2.5693455241000001</v>
      </c>
      <c r="R48">
        <v>2.3350247063</v>
      </c>
      <c r="S48">
        <v>0.470233287</v>
      </c>
      <c r="T48">
        <v>6.9232420399999994E-2</v>
      </c>
      <c r="U48">
        <v>6.7332587599999993E-2</v>
      </c>
      <c r="V48">
        <v>2.1731768055999998</v>
      </c>
      <c r="W48">
        <v>0.79517025750000003</v>
      </c>
      <c r="X48">
        <v>2.2661225308000001</v>
      </c>
      <c r="Y48">
        <v>2.0106614458999998</v>
      </c>
      <c r="Z48">
        <v>6.2478662099999999E-2</v>
      </c>
      <c r="AA48">
        <v>0</v>
      </c>
      <c r="AB48">
        <v>2.2839746030999999</v>
      </c>
      <c r="AC48">
        <f t="shared" si="0"/>
        <v>1.4127206367291665</v>
      </c>
      <c r="AD48">
        <f t="shared" si="1"/>
        <v>1.90985341575</v>
      </c>
    </row>
    <row r="49" spans="1:30" x14ac:dyDescent="0.25">
      <c r="A49" t="s">
        <v>112</v>
      </c>
      <c r="B49" t="s">
        <v>133</v>
      </c>
      <c r="C49">
        <v>115</v>
      </c>
      <c r="D49" t="s">
        <v>4</v>
      </c>
      <c r="E49">
        <v>6.6311490000000001E-2</v>
      </c>
      <c r="F49">
        <v>6.4453289999999996E-2</v>
      </c>
      <c r="G49">
        <v>6.3900435000000005E-2</v>
      </c>
      <c r="H49">
        <v>6.4168500000000003E-2</v>
      </c>
      <c r="I49">
        <v>6.2548649999999997E-2</v>
      </c>
      <c r="J49">
        <v>6.2024204999999999E-2</v>
      </c>
      <c r="K49">
        <v>6.3039090000000006E-2</v>
      </c>
      <c r="L49">
        <v>7.0460220000000004E-2</v>
      </c>
      <c r="M49">
        <v>7.2889529999999994E-2</v>
      </c>
      <c r="N49">
        <v>7.5709319999999997E-2</v>
      </c>
      <c r="O49">
        <v>7.7022494999999996E-2</v>
      </c>
      <c r="P49">
        <v>8.1349379999999999E-2</v>
      </c>
      <c r="Q49">
        <v>8.5441395000000003E-2</v>
      </c>
      <c r="R49">
        <v>7.769856E-2</v>
      </c>
      <c r="S49">
        <v>7.2822390000000001E-2</v>
      </c>
      <c r="T49">
        <v>7.4544735000000001E-2</v>
      </c>
      <c r="U49">
        <v>7.2499124999999998E-2</v>
      </c>
      <c r="V49">
        <v>7.2084314999999996E-2</v>
      </c>
      <c r="W49">
        <v>7.7459249999999993E-2</v>
      </c>
      <c r="X49">
        <v>7.5262499999999996E-2</v>
      </c>
      <c r="Y49">
        <v>7.3124099999999997E-2</v>
      </c>
      <c r="Z49">
        <v>6.7272750000000006E-2</v>
      </c>
      <c r="AA49">
        <v>6.7600604999999994E-2</v>
      </c>
      <c r="AB49">
        <v>7.5759480000000004E-2</v>
      </c>
      <c r="AC49">
        <f t="shared" si="0"/>
        <v>7.1476908749999998E-2</v>
      </c>
      <c r="AD49">
        <f t="shared" si="1"/>
        <v>7.2660757500000006E-2</v>
      </c>
    </row>
    <row r="50" spans="1:30" x14ac:dyDescent="0.25">
      <c r="A50" t="s">
        <v>408</v>
      </c>
      <c r="B50" t="s">
        <v>409</v>
      </c>
      <c r="C50">
        <v>115</v>
      </c>
      <c r="D50" t="s">
        <v>2</v>
      </c>
      <c r="E50">
        <v>2.4781772599999998</v>
      </c>
      <c r="F50">
        <v>2.2895507450000001</v>
      </c>
      <c r="G50">
        <v>2.0834670750000002</v>
      </c>
      <c r="H50">
        <v>2.0257785799999999</v>
      </c>
      <c r="I50">
        <v>1.83787407</v>
      </c>
      <c r="J50">
        <v>1.895115375</v>
      </c>
      <c r="K50">
        <v>1.7543569050000001</v>
      </c>
      <c r="L50">
        <v>1.728699625</v>
      </c>
      <c r="M50">
        <v>1.7474559949999999</v>
      </c>
      <c r="N50">
        <v>1.85198321</v>
      </c>
      <c r="O50">
        <v>2.0505739850000002</v>
      </c>
      <c r="P50">
        <v>2.2342104900000002</v>
      </c>
      <c r="Q50">
        <v>2.3698902999999998</v>
      </c>
      <c r="R50">
        <v>2.3799786699999999</v>
      </c>
      <c r="S50">
        <v>2.4088746300000001</v>
      </c>
      <c r="T50">
        <v>2.48128986</v>
      </c>
      <c r="U50">
        <v>2.5118741099999999</v>
      </c>
      <c r="V50">
        <v>2.81543141</v>
      </c>
      <c r="W50">
        <v>3.2074407250000001</v>
      </c>
      <c r="X50">
        <v>3.5790772849999999</v>
      </c>
      <c r="Y50">
        <v>3.5280651199999999</v>
      </c>
      <c r="Z50">
        <v>3.1437397900000001</v>
      </c>
      <c r="AA50">
        <v>2.810641355</v>
      </c>
      <c r="AB50">
        <v>2.5313455899999999</v>
      </c>
      <c r="AC50">
        <f t="shared" si="0"/>
        <v>2.406037173333333</v>
      </c>
      <c r="AD50">
        <f t="shared" si="1"/>
        <v>2.3749344849999998</v>
      </c>
    </row>
    <row r="51" spans="1:30" x14ac:dyDescent="0.25">
      <c r="A51" t="s">
        <v>408</v>
      </c>
      <c r="B51" t="s">
        <v>409</v>
      </c>
      <c r="C51">
        <v>115</v>
      </c>
      <c r="D51" t="s">
        <v>3</v>
      </c>
      <c r="E51">
        <v>0.81268928269999996</v>
      </c>
      <c r="F51">
        <v>0.79352453970000003</v>
      </c>
      <c r="G51">
        <v>0.77191886919999997</v>
      </c>
      <c r="H51">
        <v>0.78744673399999998</v>
      </c>
      <c r="I51">
        <v>0.64043125339999996</v>
      </c>
      <c r="J51">
        <v>0.74965310200000002</v>
      </c>
      <c r="K51">
        <v>0.84270505480000002</v>
      </c>
      <c r="L51">
        <v>0.73475431670000002</v>
      </c>
      <c r="M51">
        <v>0.69135316189999996</v>
      </c>
      <c r="N51">
        <v>0.77941926039999998</v>
      </c>
      <c r="O51">
        <v>0.83859901830000005</v>
      </c>
      <c r="P51">
        <v>0.94346571069999996</v>
      </c>
      <c r="Q51">
        <v>0.97815126149999998</v>
      </c>
      <c r="R51">
        <v>1.0366890792000001</v>
      </c>
      <c r="S51">
        <v>1.0535055356</v>
      </c>
      <c r="T51">
        <v>0.97855975959999997</v>
      </c>
      <c r="U51">
        <v>0.95048961870000004</v>
      </c>
      <c r="V51">
        <v>0.9144517902</v>
      </c>
      <c r="W51">
        <v>0.93687005310000004</v>
      </c>
      <c r="X51">
        <v>1.0114698531999999</v>
      </c>
      <c r="Y51">
        <v>0.92375251759999999</v>
      </c>
      <c r="Z51">
        <v>0.77055802390000006</v>
      </c>
      <c r="AA51">
        <v>0.83587896859999999</v>
      </c>
      <c r="AB51">
        <v>0.72586851129999996</v>
      </c>
      <c r="AC51">
        <f t="shared" si="0"/>
        <v>0.85425855317916677</v>
      </c>
      <c r="AD51">
        <f t="shared" si="1"/>
        <v>0.83723899344999997</v>
      </c>
    </row>
    <row r="52" spans="1:30" x14ac:dyDescent="0.25">
      <c r="A52" t="s">
        <v>408</v>
      </c>
      <c r="B52" t="s">
        <v>409</v>
      </c>
      <c r="C52">
        <v>115</v>
      </c>
      <c r="D52" t="s">
        <v>4</v>
      </c>
      <c r="E52">
        <v>3.773874E-2</v>
      </c>
      <c r="F52">
        <v>3.4866254999999999E-2</v>
      </c>
      <c r="G52">
        <v>3.1727924999999997E-2</v>
      </c>
      <c r="H52">
        <v>3.0849419999999999E-2</v>
      </c>
      <c r="I52">
        <v>2.7987930000000001E-2</v>
      </c>
      <c r="J52">
        <v>2.8859625E-2</v>
      </c>
      <c r="K52">
        <v>2.6716094999999999E-2</v>
      </c>
      <c r="L52">
        <v>2.6325375000000002E-2</v>
      </c>
      <c r="M52">
        <v>2.6611005E-2</v>
      </c>
      <c r="N52">
        <v>2.8202789999999998E-2</v>
      </c>
      <c r="O52">
        <v>3.1227015E-2</v>
      </c>
      <c r="P52">
        <v>3.402351E-2</v>
      </c>
      <c r="Q52">
        <v>3.6089700000000002E-2</v>
      </c>
      <c r="R52">
        <v>3.6243329999999997E-2</v>
      </c>
      <c r="S52">
        <v>3.668337E-2</v>
      </c>
      <c r="T52">
        <v>3.7786140000000003E-2</v>
      </c>
      <c r="U52">
        <v>3.8251889999999997E-2</v>
      </c>
      <c r="V52">
        <v>4.2874589999999997E-2</v>
      </c>
      <c r="W52">
        <v>4.8844274999999999E-2</v>
      </c>
      <c r="X52">
        <v>5.4503715000000001E-2</v>
      </c>
      <c r="Y52">
        <v>5.3726879999999998E-2</v>
      </c>
      <c r="Z52">
        <v>4.787421E-2</v>
      </c>
      <c r="AA52">
        <v>4.2801644999999999E-2</v>
      </c>
      <c r="AB52">
        <v>3.8548409999999998E-2</v>
      </c>
      <c r="AC52">
        <f t="shared" si="0"/>
        <v>3.6640159999999998E-2</v>
      </c>
      <c r="AD52">
        <f t="shared" si="1"/>
        <v>3.6166514999999996E-2</v>
      </c>
    </row>
    <row r="53" spans="1:30" x14ac:dyDescent="0.25">
      <c r="A53" t="s">
        <v>408</v>
      </c>
      <c r="B53" t="s">
        <v>411</v>
      </c>
      <c r="C53">
        <v>115</v>
      </c>
      <c r="D53" t="s">
        <v>2</v>
      </c>
      <c r="E53">
        <v>0.51948998499999999</v>
      </c>
      <c r="F53">
        <v>0.54537578499999995</v>
      </c>
      <c r="G53">
        <v>0.52024449500000003</v>
      </c>
      <c r="H53">
        <v>0.50766506010000001</v>
      </c>
      <c r="I53">
        <v>0.49620163</v>
      </c>
      <c r="J53">
        <v>0.52032132499999995</v>
      </c>
      <c r="K53">
        <v>0.51557559500000005</v>
      </c>
      <c r="L53">
        <v>0.48274850000000002</v>
      </c>
      <c r="M53">
        <v>0.49762002999999999</v>
      </c>
      <c r="N53">
        <v>0.50952769499999995</v>
      </c>
      <c r="O53">
        <v>0.51204535500000004</v>
      </c>
      <c r="P53">
        <v>0.50799897500000002</v>
      </c>
      <c r="Q53">
        <v>0.52052522000000001</v>
      </c>
      <c r="R53">
        <v>0.490219725</v>
      </c>
      <c r="S53">
        <v>0.47102305999999999</v>
      </c>
      <c r="T53">
        <v>0.48377388500000001</v>
      </c>
      <c r="U53">
        <v>0.50290948000000002</v>
      </c>
      <c r="V53">
        <v>0.56423164000000003</v>
      </c>
      <c r="W53">
        <v>0.62955979500000003</v>
      </c>
      <c r="X53">
        <v>0.65198922999999998</v>
      </c>
      <c r="Y53">
        <v>0.62893038000000001</v>
      </c>
      <c r="Z53">
        <v>0.57131379000000004</v>
      </c>
      <c r="AA53">
        <v>0.55254362999999995</v>
      </c>
      <c r="AB53">
        <v>0.52463070000000001</v>
      </c>
      <c r="AC53">
        <f t="shared" si="0"/>
        <v>0.53026937354583337</v>
      </c>
      <c r="AD53">
        <f t="shared" si="1"/>
        <v>0.51753278999999996</v>
      </c>
    </row>
    <row r="54" spans="1:30" x14ac:dyDescent="0.25">
      <c r="A54" t="s">
        <v>408</v>
      </c>
      <c r="B54" t="s">
        <v>411</v>
      </c>
      <c r="C54">
        <v>115</v>
      </c>
      <c r="D54" t="s">
        <v>3</v>
      </c>
      <c r="E54">
        <v>0.137588564</v>
      </c>
      <c r="F54">
        <v>0.121134091</v>
      </c>
      <c r="G54">
        <v>0.1093662564</v>
      </c>
      <c r="H54">
        <v>0.1158662313</v>
      </c>
      <c r="I54">
        <v>0.12939617840000001</v>
      </c>
      <c r="J54">
        <v>0.13288767200000001</v>
      </c>
      <c r="K54">
        <v>0.12749290669999999</v>
      </c>
      <c r="L54">
        <v>0.1166173707</v>
      </c>
      <c r="M54">
        <v>0.12092581650000001</v>
      </c>
      <c r="N54">
        <v>9.9476897100000003E-2</v>
      </c>
      <c r="O54">
        <v>0.11355744449999999</v>
      </c>
      <c r="P54">
        <v>0.1186302057</v>
      </c>
      <c r="Q54">
        <v>0.10769599370000001</v>
      </c>
      <c r="R54">
        <v>0.1121624615</v>
      </c>
      <c r="S54">
        <v>0.1077702571</v>
      </c>
      <c r="T54">
        <v>0.1200772947</v>
      </c>
      <c r="U54">
        <v>0.1221209478</v>
      </c>
      <c r="V54">
        <v>0.14224642479999999</v>
      </c>
      <c r="W54">
        <v>0.21623052910000001</v>
      </c>
      <c r="X54">
        <v>0.21043307410000001</v>
      </c>
      <c r="Y54">
        <v>0.19447280710000001</v>
      </c>
      <c r="Z54">
        <v>0.1245541209</v>
      </c>
      <c r="AA54">
        <v>0.12926290939999999</v>
      </c>
      <c r="AB54">
        <v>0.14149708529999999</v>
      </c>
      <c r="AC54">
        <f t="shared" si="0"/>
        <v>0.13214431415833336</v>
      </c>
      <c r="AD54">
        <f t="shared" si="1"/>
        <v>0.12162751939999999</v>
      </c>
    </row>
    <row r="55" spans="1:30" x14ac:dyDescent="0.25">
      <c r="A55" t="s">
        <v>408</v>
      </c>
      <c r="B55" t="s">
        <v>411</v>
      </c>
      <c r="C55">
        <v>115</v>
      </c>
      <c r="D55" t="s">
        <v>4</v>
      </c>
      <c r="E55">
        <v>7.9110150000000004E-3</v>
      </c>
      <c r="F55">
        <v>8.3052149999999995E-3</v>
      </c>
      <c r="G55">
        <v>7.9225049999999998E-3</v>
      </c>
      <c r="H55">
        <v>7.7309398999999999E-3</v>
      </c>
      <c r="I55">
        <v>7.5563699999999998E-3</v>
      </c>
      <c r="J55">
        <v>7.9236749999999998E-3</v>
      </c>
      <c r="K55">
        <v>7.8514050000000005E-3</v>
      </c>
      <c r="L55">
        <v>7.3515000000000004E-3</v>
      </c>
      <c r="M55">
        <v>7.5779699999999998E-3</v>
      </c>
      <c r="N55">
        <v>7.7593050000000002E-3</v>
      </c>
      <c r="O55">
        <v>7.7976449999999998E-3</v>
      </c>
      <c r="P55">
        <v>7.7360249999999997E-3</v>
      </c>
      <c r="Q55">
        <v>7.9267799999999996E-3</v>
      </c>
      <c r="R55">
        <v>7.4652750000000004E-3</v>
      </c>
      <c r="S55">
        <v>7.17294E-3</v>
      </c>
      <c r="T55">
        <v>7.3671149999999996E-3</v>
      </c>
      <c r="U55">
        <v>7.6585200000000003E-3</v>
      </c>
      <c r="V55">
        <v>8.5923600000000003E-3</v>
      </c>
      <c r="W55">
        <v>9.5872049999999997E-3</v>
      </c>
      <c r="X55">
        <v>9.92877E-3</v>
      </c>
      <c r="Y55">
        <v>9.5776200000000002E-3</v>
      </c>
      <c r="Z55">
        <v>8.7002099999999999E-3</v>
      </c>
      <c r="AA55">
        <v>8.4143699999999991E-3</v>
      </c>
      <c r="AB55">
        <v>7.9892999999999995E-3</v>
      </c>
      <c r="AC55">
        <f t="shared" si="0"/>
        <v>8.0751681208333335E-3</v>
      </c>
      <c r="AD55">
        <f t="shared" si="1"/>
        <v>7.8812099999999996E-3</v>
      </c>
    </row>
    <row r="56" spans="1:30" x14ac:dyDescent="0.25">
      <c r="A56" t="s">
        <v>408</v>
      </c>
      <c r="B56" t="s">
        <v>427</v>
      </c>
      <c r="C56">
        <v>115</v>
      </c>
      <c r="D56" t="s">
        <v>2</v>
      </c>
      <c r="E56">
        <v>2.1574720950000001</v>
      </c>
      <c r="F56">
        <v>2.0683138350000001</v>
      </c>
      <c r="G56">
        <v>2.0511068699999999</v>
      </c>
      <c r="H56">
        <v>1.8817774899999999</v>
      </c>
      <c r="I56">
        <v>1.84510003</v>
      </c>
      <c r="J56">
        <v>1.9094353049999999</v>
      </c>
      <c r="K56">
        <v>1.76135533</v>
      </c>
      <c r="L56">
        <v>1.7608825299999999</v>
      </c>
      <c r="M56">
        <v>1.8099483350000001</v>
      </c>
      <c r="N56">
        <v>1.95668083</v>
      </c>
      <c r="O56">
        <v>2.13431967</v>
      </c>
      <c r="P56">
        <v>2.26133739</v>
      </c>
      <c r="Q56">
        <v>2.3498701749999999</v>
      </c>
      <c r="R56">
        <v>2.2326591150000001</v>
      </c>
      <c r="S56">
        <v>2.193842235</v>
      </c>
      <c r="T56">
        <v>2.130163955</v>
      </c>
      <c r="U56">
        <v>2.2069181100000002</v>
      </c>
      <c r="V56">
        <v>2.339986685</v>
      </c>
      <c r="W56">
        <v>2.7004799400000001</v>
      </c>
      <c r="X56">
        <v>2.957971745</v>
      </c>
      <c r="Y56">
        <v>2.9529472600000002</v>
      </c>
      <c r="Z56">
        <v>2.6086996099999999</v>
      </c>
      <c r="AA56">
        <v>2.373681565</v>
      </c>
      <c r="AB56">
        <v>2.2323054999999998</v>
      </c>
      <c r="AC56">
        <f t="shared" si="0"/>
        <v>2.2032189835416669</v>
      </c>
      <c r="AD56">
        <f t="shared" si="1"/>
        <v>2.1756571650000001</v>
      </c>
    </row>
    <row r="57" spans="1:30" x14ac:dyDescent="0.25">
      <c r="A57" t="s">
        <v>408</v>
      </c>
      <c r="B57" t="s">
        <v>427</v>
      </c>
      <c r="C57">
        <v>115</v>
      </c>
      <c r="D57" t="s">
        <v>3</v>
      </c>
      <c r="E57">
        <v>0.30428718589999998</v>
      </c>
      <c r="F57">
        <v>0.67341507060000005</v>
      </c>
      <c r="G57">
        <v>0.38941935160000002</v>
      </c>
      <c r="H57">
        <v>7.8093106900000001E-2</v>
      </c>
      <c r="I57">
        <v>9.0849463399999997E-2</v>
      </c>
      <c r="J57">
        <v>0.27125000220000001</v>
      </c>
      <c r="K57">
        <v>0.33655383</v>
      </c>
      <c r="L57">
        <v>0.46134855499999999</v>
      </c>
      <c r="M57">
        <v>0.21637314129999999</v>
      </c>
      <c r="N57">
        <v>0.24148824669999999</v>
      </c>
      <c r="O57">
        <v>9.0612689600000004E-2</v>
      </c>
      <c r="P57">
        <v>0.3044222506</v>
      </c>
      <c r="Q57">
        <v>0.41612460740000001</v>
      </c>
      <c r="R57">
        <v>0.29401976330000001</v>
      </c>
      <c r="S57">
        <v>2.19395192E-2</v>
      </c>
      <c r="T57">
        <v>0.25755036329999997</v>
      </c>
      <c r="U57">
        <v>0.2274722532</v>
      </c>
      <c r="V57">
        <v>0.28073545319999998</v>
      </c>
      <c r="W57">
        <v>1.2077033900000001E-2</v>
      </c>
      <c r="X57">
        <v>0.58971999230000005</v>
      </c>
      <c r="Y57">
        <v>0.1151926576</v>
      </c>
      <c r="Z57">
        <v>0.36274966990000002</v>
      </c>
      <c r="AA57">
        <v>0.25654829530000001</v>
      </c>
      <c r="AB57">
        <v>0.20817148090000001</v>
      </c>
      <c r="AC57">
        <f t="shared" si="0"/>
        <v>0.2708505826375</v>
      </c>
      <c r="AD57">
        <f t="shared" si="1"/>
        <v>0.26440018274999999</v>
      </c>
    </row>
    <row r="58" spans="1:30" x14ac:dyDescent="0.25">
      <c r="A58" t="s">
        <v>408</v>
      </c>
      <c r="B58" t="s">
        <v>427</v>
      </c>
      <c r="C58">
        <v>115</v>
      </c>
      <c r="D58" t="s">
        <v>4</v>
      </c>
      <c r="E58">
        <v>3.2854904999999997E-2</v>
      </c>
      <c r="F58">
        <v>3.1497165000000001E-2</v>
      </c>
      <c r="G58">
        <v>3.123513E-2</v>
      </c>
      <c r="H58">
        <v>2.865651E-2</v>
      </c>
      <c r="I58">
        <v>2.809797E-2</v>
      </c>
      <c r="J58">
        <v>2.9077695000000001E-2</v>
      </c>
      <c r="K58">
        <v>2.682267E-2</v>
      </c>
      <c r="L58">
        <v>2.6815470000000001E-2</v>
      </c>
      <c r="M58">
        <v>2.7562665E-2</v>
      </c>
      <c r="N58">
        <v>2.9797170000000001E-2</v>
      </c>
      <c r="O58">
        <v>3.2502330000000003E-2</v>
      </c>
      <c r="P58">
        <v>3.4436609999999999E-2</v>
      </c>
      <c r="Q58">
        <v>3.5784824999999999E-2</v>
      </c>
      <c r="R58">
        <v>3.3999885000000001E-2</v>
      </c>
      <c r="S58">
        <v>3.3408765E-2</v>
      </c>
      <c r="T58">
        <v>3.2439045E-2</v>
      </c>
      <c r="U58">
        <v>3.3607890000000001E-2</v>
      </c>
      <c r="V58">
        <v>3.5634315E-2</v>
      </c>
      <c r="W58">
        <v>4.1124059999999997E-2</v>
      </c>
      <c r="X58">
        <v>4.5045254999999999E-2</v>
      </c>
      <c r="Y58">
        <v>4.496874E-2</v>
      </c>
      <c r="Z58">
        <v>3.972639E-2</v>
      </c>
      <c r="AA58">
        <v>3.6147434999999999E-2</v>
      </c>
      <c r="AB58">
        <v>3.3994499999999997E-2</v>
      </c>
      <c r="AC58">
        <f t="shared" si="0"/>
        <v>3.3551558124999999E-2</v>
      </c>
      <c r="AD58">
        <f t="shared" si="1"/>
        <v>3.3131834999999998E-2</v>
      </c>
    </row>
    <row r="59" spans="1:30" x14ac:dyDescent="0.25">
      <c r="A59" t="s">
        <v>408</v>
      </c>
      <c r="B59" t="s">
        <v>428</v>
      </c>
      <c r="C59">
        <v>115</v>
      </c>
      <c r="D59" t="s">
        <v>2</v>
      </c>
      <c r="E59">
        <v>10.002825704999999</v>
      </c>
      <c r="F59">
        <v>9.5698088699999992</v>
      </c>
      <c r="G59">
        <v>9.0706729250000002</v>
      </c>
      <c r="H59">
        <v>8.8694945549999993</v>
      </c>
      <c r="I59">
        <v>8.2909075249999997</v>
      </c>
      <c r="J59">
        <v>8.5041491899999997</v>
      </c>
      <c r="K59">
        <v>8.004252825</v>
      </c>
      <c r="L59">
        <v>8.0435099999999995</v>
      </c>
      <c r="M59">
        <v>8.2998385199999998</v>
      </c>
      <c r="N59">
        <v>9.0621536599999999</v>
      </c>
      <c r="O59">
        <v>9.9920616249999998</v>
      </c>
      <c r="P59">
        <v>10.483035859999999</v>
      </c>
      <c r="Q59">
        <v>10.793384735</v>
      </c>
      <c r="R59">
        <v>10.563854125000001</v>
      </c>
      <c r="S59">
        <v>10.288276735</v>
      </c>
      <c r="T59">
        <v>9.9927855999999995</v>
      </c>
      <c r="U59">
        <v>10.052847945</v>
      </c>
      <c r="V59">
        <v>10.814921760000001</v>
      </c>
      <c r="W59">
        <v>12.39569901</v>
      </c>
      <c r="X59">
        <v>13.382933975</v>
      </c>
      <c r="Y59">
        <v>13.187364195000001</v>
      </c>
      <c r="Z59">
        <v>11.958300895000001</v>
      </c>
      <c r="AA59">
        <v>10.901454995</v>
      </c>
      <c r="AB59">
        <v>10.125381375</v>
      </c>
      <c r="AC59">
        <f t="shared" si="0"/>
        <v>10.110413191874999</v>
      </c>
      <c r="AD59">
        <f t="shared" si="1"/>
        <v>10.027836825</v>
      </c>
    </row>
    <row r="60" spans="1:30" x14ac:dyDescent="0.25">
      <c r="A60" t="s">
        <v>408</v>
      </c>
      <c r="B60" t="s">
        <v>428</v>
      </c>
      <c r="C60">
        <v>115</v>
      </c>
      <c r="D60" t="s">
        <v>3</v>
      </c>
      <c r="E60">
        <v>2.0447284905999998</v>
      </c>
      <c r="F60">
        <v>2.0156562321</v>
      </c>
      <c r="G60">
        <v>1.9828758679</v>
      </c>
      <c r="H60">
        <v>1.9614133894000001</v>
      </c>
      <c r="I60">
        <v>1.8479139340999999</v>
      </c>
      <c r="J60">
        <v>1.4993973846999999</v>
      </c>
      <c r="K60">
        <v>1.0307614512000001</v>
      </c>
      <c r="L60">
        <v>1.0598796306</v>
      </c>
      <c r="M60">
        <v>1.1405346287</v>
      </c>
      <c r="N60">
        <v>1.3326146229</v>
      </c>
      <c r="O60">
        <v>1.5427269015</v>
      </c>
      <c r="P60">
        <v>1.6143054296999999</v>
      </c>
      <c r="Q60">
        <v>1.616502653</v>
      </c>
      <c r="R60">
        <v>1.6619247581000001</v>
      </c>
      <c r="S60">
        <v>1.6554919643999999</v>
      </c>
      <c r="T60">
        <v>1.5528657516</v>
      </c>
      <c r="U60">
        <v>1.5581716644000001</v>
      </c>
      <c r="V60">
        <v>1.5472885742</v>
      </c>
      <c r="W60">
        <v>2.1965466597000001</v>
      </c>
      <c r="X60">
        <v>2.2599223612000001</v>
      </c>
      <c r="Y60">
        <v>2.2896261082999998</v>
      </c>
      <c r="Z60">
        <v>2.0494299864999999</v>
      </c>
      <c r="AA60">
        <v>1.9782966148000001</v>
      </c>
      <c r="AB60">
        <v>2.0127293503999999</v>
      </c>
      <c r="AC60">
        <f t="shared" si="0"/>
        <v>1.7271501837500001</v>
      </c>
      <c r="AD60">
        <f t="shared" si="1"/>
        <v>1.65870836125</v>
      </c>
    </row>
    <row r="61" spans="1:30" x14ac:dyDescent="0.25">
      <c r="A61" t="s">
        <v>408</v>
      </c>
      <c r="B61" t="s">
        <v>428</v>
      </c>
      <c r="C61">
        <v>115</v>
      </c>
      <c r="D61" t="s">
        <v>4</v>
      </c>
      <c r="E61">
        <v>0.152327295</v>
      </c>
      <c r="F61">
        <v>0.14573312999999999</v>
      </c>
      <c r="G61">
        <v>0.13813207499999999</v>
      </c>
      <c r="H61">
        <v>0.13506844500000001</v>
      </c>
      <c r="I61">
        <v>0.12625747500000001</v>
      </c>
      <c r="J61">
        <v>0.12950481</v>
      </c>
      <c r="K61">
        <v>0.12189217500000001</v>
      </c>
      <c r="L61">
        <v>0.12249</v>
      </c>
      <c r="M61">
        <v>0.12639348</v>
      </c>
      <c r="N61">
        <v>0.13800234</v>
      </c>
      <c r="O61">
        <v>0.15216337499999999</v>
      </c>
      <c r="P61">
        <v>0.15964014000000001</v>
      </c>
      <c r="Q61">
        <v>0.16436626500000001</v>
      </c>
      <c r="R61">
        <v>0.160870875</v>
      </c>
      <c r="S61">
        <v>0.15667426500000001</v>
      </c>
      <c r="T61">
        <v>0.15217439999999999</v>
      </c>
      <c r="U61">
        <v>0.153089055</v>
      </c>
      <c r="V61">
        <v>0.16469423999999999</v>
      </c>
      <c r="W61">
        <v>0.18876699</v>
      </c>
      <c r="X61">
        <v>0.203801025</v>
      </c>
      <c r="Y61">
        <v>0.20082280499999999</v>
      </c>
      <c r="Z61">
        <v>0.18210610499999999</v>
      </c>
      <c r="AA61">
        <v>0.16601200499999999</v>
      </c>
      <c r="AB61">
        <v>0.154193625</v>
      </c>
      <c r="AC61">
        <f t="shared" si="0"/>
        <v>0.153965683125</v>
      </c>
      <c r="AD61">
        <f t="shared" si="1"/>
        <v>0.152708175</v>
      </c>
    </row>
    <row r="62" spans="1:30" x14ac:dyDescent="0.25">
      <c r="A62" t="s">
        <v>408</v>
      </c>
      <c r="B62" t="s">
        <v>429</v>
      </c>
      <c r="C62">
        <v>34</v>
      </c>
      <c r="D62" t="s">
        <v>2</v>
      </c>
      <c r="E62">
        <v>0.46981756000000002</v>
      </c>
      <c r="F62">
        <v>0.38760327</v>
      </c>
      <c r="G62">
        <v>0.37504855999999998</v>
      </c>
      <c r="H62">
        <v>0.29803734999999998</v>
      </c>
      <c r="I62">
        <v>0.24906690000000001</v>
      </c>
      <c r="J62">
        <v>0.43953319000000002</v>
      </c>
      <c r="K62">
        <v>0.52610374999999998</v>
      </c>
      <c r="L62">
        <v>0.66102784000000003</v>
      </c>
      <c r="M62">
        <v>0.82281510999999996</v>
      </c>
      <c r="N62">
        <v>1.1685027400000001</v>
      </c>
      <c r="O62">
        <v>1.5339492699999999</v>
      </c>
      <c r="P62">
        <v>1.46193453</v>
      </c>
      <c r="Q62">
        <v>1.3923942600000001</v>
      </c>
      <c r="R62">
        <v>1.5483159399999999</v>
      </c>
      <c r="S62">
        <v>1.27810983</v>
      </c>
      <c r="T62">
        <v>1.0834405300000001</v>
      </c>
      <c r="U62">
        <v>0.90093599999999996</v>
      </c>
      <c r="V62">
        <v>0.83486930000000004</v>
      </c>
      <c r="W62">
        <v>0.95606303999999998</v>
      </c>
      <c r="X62">
        <v>1.0104005</v>
      </c>
      <c r="Y62">
        <v>0.92737334999999999</v>
      </c>
      <c r="Z62">
        <v>0.80968810000000002</v>
      </c>
      <c r="AA62">
        <v>0.73290871999999996</v>
      </c>
      <c r="AB62">
        <v>0.50889207000000003</v>
      </c>
      <c r="AC62">
        <f t="shared" si="0"/>
        <v>0.84903465458333338</v>
      </c>
      <c r="AD62">
        <f t="shared" si="1"/>
        <v>0.82884220499999994</v>
      </c>
    </row>
    <row r="63" spans="1:30" x14ac:dyDescent="0.25">
      <c r="A63" t="s">
        <v>408</v>
      </c>
      <c r="B63" t="s">
        <v>429</v>
      </c>
      <c r="C63">
        <v>34</v>
      </c>
      <c r="D63" t="s">
        <v>3</v>
      </c>
      <c r="E63">
        <v>3.5733890900000002E-2</v>
      </c>
      <c r="F63">
        <v>4.3469350499999997E-2</v>
      </c>
      <c r="G63">
        <v>5.9911852000000002E-2</v>
      </c>
      <c r="H63">
        <v>5.8460808400000001E-2</v>
      </c>
      <c r="I63">
        <v>4.9509666799999998E-2</v>
      </c>
      <c r="J63">
        <v>4.9611708300000001E-2</v>
      </c>
      <c r="K63">
        <v>0.13277141989999999</v>
      </c>
      <c r="L63">
        <v>7.9192885500000004E-2</v>
      </c>
      <c r="M63">
        <v>5.8524750100000002E-2</v>
      </c>
      <c r="N63">
        <v>9.4145627900000001E-2</v>
      </c>
      <c r="O63">
        <v>0.35140223250000002</v>
      </c>
      <c r="P63">
        <v>0.36202777310000001</v>
      </c>
      <c r="Q63">
        <v>0.15373403839999999</v>
      </c>
      <c r="R63">
        <v>0.17822618279999999</v>
      </c>
      <c r="S63">
        <v>0.11849267030000001</v>
      </c>
      <c r="T63">
        <v>4.1703904700000002E-2</v>
      </c>
      <c r="U63">
        <v>0.1044225485</v>
      </c>
      <c r="V63">
        <v>8.7601988399999997E-2</v>
      </c>
      <c r="W63">
        <v>6.8002337199999999E-2</v>
      </c>
      <c r="X63">
        <v>8.1407416699999999E-2</v>
      </c>
      <c r="Y63">
        <v>6.91692894E-2</v>
      </c>
      <c r="Z63">
        <v>6.4624440399999997E-2</v>
      </c>
      <c r="AA63">
        <v>5.3361504099999998E-2</v>
      </c>
      <c r="AB63">
        <v>4.0228679900000001E-2</v>
      </c>
      <c r="AC63">
        <f t="shared" si="0"/>
        <v>0.10148904027916665</v>
      </c>
      <c r="AD63">
        <f t="shared" si="1"/>
        <v>6.8585813299999993E-2</v>
      </c>
    </row>
    <row r="64" spans="1:30" x14ac:dyDescent="0.25">
      <c r="A64" t="s">
        <v>408</v>
      </c>
      <c r="B64" t="s">
        <v>429</v>
      </c>
      <c r="C64">
        <v>34</v>
      </c>
      <c r="D64" t="s">
        <v>4</v>
      </c>
      <c r="E64">
        <v>1.453044E-2</v>
      </c>
      <c r="F64">
        <v>1.198773E-2</v>
      </c>
      <c r="G64">
        <v>1.1599440000000001E-2</v>
      </c>
      <c r="H64">
        <v>9.2176500000000008E-3</v>
      </c>
      <c r="I64">
        <v>7.7031000000000001E-3</v>
      </c>
      <c r="J64">
        <v>1.359381E-2</v>
      </c>
      <c r="K64">
        <v>1.6271250000000001E-2</v>
      </c>
      <c r="L64">
        <v>2.0444159999999999E-2</v>
      </c>
      <c r="M64">
        <v>2.5447890000000001E-2</v>
      </c>
      <c r="N64">
        <v>3.6139259999999999E-2</v>
      </c>
      <c r="O64">
        <v>4.7441730000000001E-2</v>
      </c>
      <c r="P64">
        <v>4.521447E-2</v>
      </c>
      <c r="Q64">
        <v>4.3063740000000003E-2</v>
      </c>
      <c r="R64">
        <v>4.7886060000000001E-2</v>
      </c>
      <c r="S64">
        <v>3.9529170000000002E-2</v>
      </c>
      <c r="T64">
        <v>3.3508469999999999E-2</v>
      </c>
      <c r="U64">
        <v>2.7864E-2</v>
      </c>
      <c r="V64">
        <v>2.5820699999999999E-2</v>
      </c>
      <c r="W64">
        <v>2.9568959999999998E-2</v>
      </c>
      <c r="X64">
        <v>3.1249499999999999E-2</v>
      </c>
      <c r="Y64">
        <v>2.868165E-2</v>
      </c>
      <c r="Z64">
        <v>2.5041899999999999E-2</v>
      </c>
      <c r="AA64">
        <v>2.2667280000000001E-2</v>
      </c>
      <c r="AB64">
        <v>1.5738930000000002E-2</v>
      </c>
      <c r="AC64">
        <f t="shared" si="0"/>
        <v>2.6258803750000004E-2</v>
      </c>
      <c r="AD64">
        <f t="shared" si="1"/>
        <v>2.5634295000000001E-2</v>
      </c>
    </row>
    <row r="65" spans="1:30" x14ac:dyDescent="0.25">
      <c r="A65" t="s">
        <v>408</v>
      </c>
      <c r="B65" t="s">
        <v>430</v>
      </c>
      <c r="C65">
        <v>34</v>
      </c>
      <c r="D65" t="s">
        <v>2</v>
      </c>
      <c r="E65">
        <v>3.6045413399999999</v>
      </c>
      <c r="F65">
        <v>3.5365617999999999</v>
      </c>
      <c r="G65">
        <v>3.5862529599999999</v>
      </c>
      <c r="H65">
        <v>3.50674982</v>
      </c>
      <c r="I65">
        <v>3.4134028399999998</v>
      </c>
      <c r="J65">
        <v>3.5374231599999999</v>
      </c>
      <c r="K65">
        <v>3.38635924</v>
      </c>
      <c r="L65">
        <v>2.8818117999999999</v>
      </c>
      <c r="M65">
        <v>2.5550566300000002</v>
      </c>
      <c r="N65">
        <v>2.4607289799999998</v>
      </c>
      <c r="O65">
        <v>2.4858936900000002</v>
      </c>
      <c r="P65">
        <v>2.50374557</v>
      </c>
      <c r="Q65">
        <v>2.4594854399999999</v>
      </c>
      <c r="R65">
        <v>2.3537408900000001</v>
      </c>
      <c r="S65">
        <v>2.4074847099999999</v>
      </c>
      <c r="T65">
        <v>2.3205600999999998</v>
      </c>
      <c r="U65">
        <v>2.4815257800000001</v>
      </c>
      <c r="V65">
        <v>3.1956320200000001</v>
      </c>
      <c r="W65">
        <v>3.6872047399999999</v>
      </c>
      <c r="X65">
        <v>3.2778870499999999</v>
      </c>
      <c r="Y65">
        <v>3.5770117699999999</v>
      </c>
      <c r="Z65">
        <v>3.35782281</v>
      </c>
      <c r="AA65">
        <v>3.3397303699999998</v>
      </c>
      <c r="AB65">
        <v>3.4485847399999998</v>
      </c>
      <c r="AC65">
        <f t="shared" si="0"/>
        <v>3.0568832604166665</v>
      </c>
      <c r="AD65">
        <f t="shared" si="1"/>
        <v>3.3088087100000001</v>
      </c>
    </row>
    <row r="66" spans="1:30" x14ac:dyDescent="0.25">
      <c r="A66" t="s">
        <v>408</v>
      </c>
      <c r="B66" t="s">
        <v>430</v>
      </c>
      <c r="C66">
        <v>34</v>
      </c>
      <c r="D66" t="s">
        <v>3</v>
      </c>
      <c r="E66">
        <v>7.8985564499999994E-2</v>
      </c>
      <c r="F66">
        <v>0.246486495</v>
      </c>
      <c r="G66">
        <v>4.5365121799999998E-2</v>
      </c>
      <c r="H66">
        <v>0.2287069279</v>
      </c>
      <c r="I66">
        <v>0.23888754549999999</v>
      </c>
      <c r="J66">
        <v>2.2373075799999999E-2</v>
      </c>
      <c r="K66">
        <v>0.52533166460000003</v>
      </c>
      <c r="L66">
        <v>0.452991633</v>
      </c>
      <c r="M66">
        <v>0.473042619</v>
      </c>
      <c r="N66">
        <v>0.52843318859999999</v>
      </c>
      <c r="O66">
        <v>0.48546449940000003</v>
      </c>
      <c r="P66">
        <v>0.32776280940000002</v>
      </c>
      <c r="Q66">
        <v>0.26651579269999998</v>
      </c>
      <c r="R66">
        <v>0.2831861739</v>
      </c>
      <c r="S66">
        <v>0.1050147323</v>
      </c>
      <c r="T66">
        <v>0.35703574230000001</v>
      </c>
      <c r="U66">
        <v>0.14185962730000001</v>
      </c>
      <c r="V66">
        <v>0.31719298379999999</v>
      </c>
      <c r="W66">
        <v>0.19877837409999999</v>
      </c>
      <c r="X66">
        <v>0.15938036659999999</v>
      </c>
      <c r="Y66">
        <v>0.22313569389999999</v>
      </c>
      <c r="Z66">
        <v>0.1828883926</v>
      </c>
      <c r="AA66">
        <v>0.1250269165</v>
      </c>
      <c r="AB66">
        <v>2.1811200999999999E-2</v>
      </c>
      <c r="AC66">
        <f t="shared" si="0"/>
        <v>0.25148571422916666</v>
      </c>
      <c r="AD66">
        <f t="shared" si="1"/>
        <v>0.23379723669999999</v>
      </c>
    </row>
    <row r="67" spans="1:30" x14ac:dyDescent="0.25">
      <c r="A67" t="s">
        <v>408</v>
      </c>
      <c r="B67" t="s">
        <v>430</v>
      </c>
      <c r="C67">
        <v>34</v>
      </c>
      <c r="D67" t="s">
        <v>4</v>
      </c>
      <c r="E67">
        <v>0.11148066</v>
      </c>
      <c r="F67">
        <v>0.10937819999999999</v>
      </c>
      <c r="G67">
        <v>0.11091504000000001</v>
      </c>
      <c r="H67">
        <v>0.10845618</v>
      </c>
      <c r="I67">
        <v>0.10556916</v>
      </c>
      <c r="J67">
        <v>0.10940484</v>
      </c>
      <c r="K67">
        <v>0.10473275999999999</v>
      </c>
      <c r="L67">
        <v>8.9128200000000005E-2</v>
      </c>
      <c r="M67">
        <v>7.9022369999999995E-2</v>
      </c>
      <c r="N67">
        <v>7.6105019999999995E-2</v>
      </c>
      <c r="O67">
        <v>7.6883309999999996E-2</v>
      </c>
      <c r="P67">
        <v>7.743543E-2</v>
      </c>
      <c r="Q67">
        <v>7.6066560000000005E-2</v>
      </c>
      <c r="R67">
        <v>7.2796109999999997E-2</v>
      </c>
      <c r="S67">
        <v>7.4458289999999996E-2</v>
      </c>
      <c r="T67">
        <v>7.1769899999999998E-2</v>
      </c>
      <c r="U67">
        <v>7.6748220000000006E-2</v>
      </c>
      <c r="V67">
        <v>9.8833980000000002E-2</v>
      </c>
      <c r="W67">
        <v>0.11403726</v>
      </c>
      <c r="X67">
        <v>0.10137794999999999</v>
      </c>
      <c r="Y67">
        <v>0.11062923</v>
      </c>
      <c r="Z67">
        <v>0.10385019</v>
      </c>
      <c r="AA67">
        <v>0.10329062999999999</v>
      </c>
      <c r="AB67">
        <v>0.10665726</v>
      </c>
      <c r="AC67">
        <f t="shared" ref="AC67:AC91" si="2">AVERAGE(E67:AB67)</f>
        <v>9.4542781249999999E-2</v>
      </c>
      <c r="AD67">
        <f t="shared" ref="AD67:AD91" si="3">MEDIAN(E67:AB67)</f>
        <v>0.10233428999999999</v>
      </c>
    </row>
    <row r="68" spans="1:30" x14ac:dyDescent="0.25">
      <c r="A68" t="s">
        <v>408</v>
      </c>
      <c r="B68" t="s">
        <v>431</v>
      </c>
      <c r="C68">
        <v>34</v>
      </c>
      <c r="D68" t="s">
        <v>2</v>
      </c>
      <c r="E68">
        <v>13.653406690000001</v>
      </c>
      <c r="F68">
        <v>13.720644180000001</v>
      </c>
      <c r="G68">
        <v>13.484606319999999</v>
      </c>
      <c r="H68">
        <v>13.39006333</v>
      </c>
      <c r="I68">
        <v>12.61464533</v>
      </c>
      <c r="J68">
        <v>13.6090903</v>
      </c>
      <c r="K68">
        <v>14.634403580000001</v>
      </c>
      <c r="L68">
        <v>17.30671478</v>
      </c>
      <c r="M68">
        <v>18.717325639999999</v>
      </c>
      <c r="N68">
        <v>16.982236199999999</v>
      </c>
      <c r="O68">
        <v>16.343278770000001</v>
      </c>
      <c r="P68">
        <v>17.5577857</v>
      </c>
      <c r="Q68">
        <v>17.2435057</v>
      </c>
      <c r="R68">
        <v>17.09901159</v>
      </c>
      <c r="S68">
        <v>17.61875311</v>
      </c>
      <c r="T68">
        <v>18.577291590000002</v>
      </c>
      <c r="U68">
        <v>18.03979519</v>
      </c>
      <c r="V68">
        <v>15.82585458</v>
      </c>
      <c r="W68">
        <v>14.5008307</v>
      </c>
      <c r="X68">
        <v>14.442978930000001</v>
      </c>
      <c r="Y68">
        <v>14.510083529999999</v>
      </c>
      <c r="Z68">
        <v>13.61287621</v>
      </c>
      <c r="AA68">
        <v>13.20345667</v>
      </c>
      <c r="AB68">
        <v>13.238948000000001</v>
      </c>
      <c r="AC68">
        <f t="shared" si="2"/>
        <v>15.413649442499997</v>
      </c>
      <c r="AD68">
        <f t="shared" si="3"/>
        <v>14.572243555</v>
      </c>
    </row>
    <row r="69" spans="1:30" x14ac:dyDescent="0.25">
      <c r="A69" t="s">
        <v>408</v>
      </c>
      <c r="B69" t="s">
        <v>431</v>
      </c>
      <c r="C69">
        <v>34</v>
      </c>
      <c r="D69" t="s">
        <v>3</v>
      </c>
      <c r="E69">
        <v>5.496975516</v>
      </c>
      <c r="F69">
        <v>5.6382109901000002</v>
      </c>
      <c r="G69">
        <v>5.3145990334000004</v>
      </c>
      <c r="H69">
        <v>5.4233926606000002</v>
      </c>
      <c r="I69">
        <v>5.2224354193</v>
      </c>
      <c r="J69">
        <v>5.2070492557000003</v>
      </c>
      <c r="K69">
        <v>2.0088170452999998</v>
      </c>
      <c r="L69">
        <v>1.3300338601999999</v>
      </c>
      <c r="M69">
        <v>1.2882036867</v>
      </c>
      <c r="N69">
        <v>1.7029043097000001</v>
      </c>
      <c r="O69">
        <v>1.8812699112</v>
      </c>
      <c r="P69">
        <v>2.2187333175999999</v>
      </c>
      <c r="Q69">
        <v>2.1367054127</v>
      </c>
      <c r="R69">
        <v>2.2195806377</v>
      </c>
      <c r="S69">
        <v>1.9485314540000001</v>
      </c>
      <c r="T69">
        <v>1.9239398651999999</v>
      </c>
      <c r="U69">
        <v>2.2723224885</v>
      </c>
      <c r="V69">
        <v>2.6261349055999998</v>
      </c>
      <c r="W69">
        <v>4.9529990477999997</v>
      </c>
      <c r="X69">
        <v>5.8292345212000001</v>
      </c>
      <c r="Y69">
        <v>5.9875732810000004</v>
      </c>
      <c r="Z69">
        <v>5.6031315400999997</v>
      </c>
      <c r="AA69">
        <v>5.4487999647000001</v>
      </c>
      <c r="AB69">
        <v>5.4475935813999996</v>
      </c>
      <c r="AC69">
        <f t="shared" si="2"/>
        <v>3.7137154877374989</v>
      </c>
      <c r="AD69">
        <f t="shared" si="3"/>
        <v>3.7895669766999998</v>
      </c>
    </row>
    <row r="70" spans="1:30" x14ac:dyDescent="0.25">
      <c r="A70" t="s">
        <v>408</v>
      </c>
      <c r="B70" t="s">
        <v>431</v>
      </c>
      <c r="C70">
        <v>34</v>
      </c>
      <c r="D70" t="s">
        <v>4</v>
      </c>
      <c r="E70">
        <v>0.42227030999999998</v>
      </c>
      <c r="F70">
        <v>0.42434981999999999</v>
      </c>
      <c r="G70">
        <v>0.41704967999999998</v>
      </c>
      <c r="H70">
        <v>0.41412567</v>
      </c>
      <c r="I70">
        <v>0.39014367</v>
      </c>
      <c r="J70">
        <v>0.42089969999999999</v>
      </c>
      <c r="K70">
        <v>0.45261042000000001</v>
      </c>
      <c r="L70">
        <v>0.53525922000000004</v>
      </c>
      <c r="M70">
        <v>0.57888636000000004</v>
      </c>
      <c r="N70">
        <v>0.52522380000000002</v>
      </c>
      <c r="O70">
        <v>0.50546223000000001</v>
      </c>
      <c r="P70">
        <v>0.54302430000000002</v>
      </c>
      <c r="Q70">
        <v>0.53330429999999995</v>
      </c>
      <c r="R70">
        <v>0.52883541000000001</v>
      </c>
      <c r="S70">
        <v>0.54490989000000001</v>
      </c>
      <c r="T70">
        <v>0.57455540999999999</v>
      </c>
      <c r="U70">
        <v>0.55793181000000003</v>
      </c>
      <c r="V70">
        <v>0.48945941999999998</v>
      </c>
      <c r="W70">
        <v>0.44847930000000003</v>
      </c>
      <c r="X70">
        <v>0.44669006999999999</v>
      </c>
      <c r="Y70">
        <v>0.44876547</v>
      </c>
      <c r="Z70">
        <v>0.42101678999999997</v>
      </c>
      <c r="AA70">
        <v>0.40835432999999999</v>
      </c>
      <c r="AB70">
        <v>0.40945199999999998</v>
      </c>
      <c r="AC70">
        <f t="shared" si="2"/>
        <v>0.4767108075</v>
      </c>
      <c r="AD70">
        <f t="shared" si="3"/>
        <v>0.45068794499999998</v>
      </c>
    </row>
    <row r="71" spans="1:30" x14ac:dyDescent="0.25">
      <c r="A71" t="s">
        <v>408</v>
      </c>
      <c r="B71" t="s">
        <v>434</v>
      </c>
      <c r="C71">
        <v>115</v>
      </c>
      <c r="D71" t="s">
        <v>2</v>
      </c>
      <c r="E71">
        <v>0.58044966499999995</v>
      </c>
      <c r="F71">
        <v>0.59939909499999999</v>
      </c>
      <c r="G71">
        <v>0.57998573009999999</v>
      </c>
      <c r="H71">
        <v>0.68827662999999994</v>
      </c>
      <c r="I71">
        <v>0.56123822499999998</v>
      </c>
      <c r="J71">
        <v>0.50600040999999996</v>
      </c>
      <c r="K71">
        <v>0.60422657999999996</v>
      </c>
      <c r="L71">
        <v>0.59768814999999997</v>
      </c>
      <c r="M71">
        <v>0.59020017999999996</v>
      </c>
      <c r="N71">
        <v>0.55140694000000001</v>
      </c>
      <c r="O71">
        <v>0.58621979499999999</v>
      </c>
      <c r="P71">
        <v>0.59924149500000001</v>
      </c>
      <c r="Q71">
        <v>0.59810283500000005</v>
      </c>
      <c r="R71">
        <v>0.55879936500000005</v>
      </c>
      <c r="S71">
        <v>0.52222139000000001</v>
      </c>
      <c r="T71">
        <v>0.53058994999999998</v>
      </c>
      <c r="U71">
        <v>0.53768589</v>
      </c>
      <c r="V71">
        <v>0.61864993499999998</v>
      </c>
      <c r="W71">
        <v>0.72233694500000001</v>
      </c>
      <c r="X71">
        <v>0.70346237499999997</v>
      </c>
      <c r="Y71">
        <v>0.75000855</v>
      </c>
      <c r="Z71">
        <v>0.73756997000000002</v>
      </c>
      <c r="AA71">
        <v>0.70477439500000005</v>
      </c>
      <c r="AB71">
        <v>0.71874464999999998</v>
      </c>
      <c r="AC71">
        <f t="shared" si="2"/>
        <v>0.61446996437916657</v>
      </c>
      <c r="AD71">
        <f t="shared" si="3"/>
        <v>0.59789549249999996</v>
      </c>
    </row>
    <row r="72" spans="1:30" x14ac:dyDescent="0.25">
      <c r="A72" t="s">
        <v>408</v>
      </c>
      <c r="B72" t="s">
        <v>434</v>
      </c>
      <c r="C72">
        <v>115</v>
      </c>
      <c r="D72" t="s">
        <v>3</v>
      </c>
      <c r="E72">
        <v>9.5808221499999999E-2</v>
      </c>
      <c r="F72">
        <v>9.5633590500000004E-2</v>
      </c>
      <c r="G72">
        <v>0.10581950079999999</v>
      </c>
      <c r="H72">
        <v>0.1109285971</v>
      </c>
      <c r="I72">
        <v>8.97275295E-2</v>
      </c>
      <c r="J72">
        <v>0.1139705416</v>
      </c>
      <c r="K72">
        <v>0.11034660759999999</v>
      </c>
      <c r="L72">
        <v>0.1078737444</v>
      </c>
      <c r="M72">
        <v>0.11241438870000001</v>
      </c>
      <c r="N72">
        <v>0.1178070031</v>
      </c>
      <c r="O72">
        <v>0.12483337410000001</v>
      </c>
      <c r="P72">
        <v>0.1087795268</v>
      </c>
      <c r="Q72">
        <v>0.1158919003</v>
      </c>
      <c r="R72">
        <v>9.4258609699999996E-2</v>
      </c>
      <c r="S72">
        <v>9.2816303000000003E-2</v>
      </c>
      <c r="T72">
        <v>9.3644721299999997E-2</v>
      </c>
      <c r="U72">
        <v>8.9661115499999999E-2</v>
      </c>
      <c r="V72">
        <v>8.95739381E-2</v>
      </c>
      <c r="W72">
        <v>7.0130406500000006E-2</v>
      </c>
      <c r="X72">
        <v>8.3372206500000004E-2</v>
      </c>
      <c r="Y72">
        <v>9.2127896900000006E-2</v>
      </c>
      <c r="Z72">
        <v>8.6840777999999993E-2</v>
      </c>
      <c r="AA72">
        <v>0.1124002474</v>
      </c>
      <c r="AB72">
        <v>0.12719318330000001</v>
      </c>
      <c r="AC72">
        <f t="shared" si="2"/>
        <v>0.1017439138416667</v>
      </c>
      <c r="AD72">
        <f t="shared" si="3"/>
        <v>0.10081386114999999</v>
      </c>
    </row>
    <row r="73" spans="1:30" x14ac:dyDescent="0.25">
      <c r="A73" t="s">
        <v>408</v>
      </c>
      <c r="B73" t="s">
        <v>434</v>
      </c>
      <c r="C73">
        <v>115</v>
      </c>
      <c r="D73" t="s">
        <v>4</v>
      </c>
      <c r="E73">
        <v>8.8393350000000002E-3</v>
      </c>
      <c r="F73">
        <v>9.1279050000000004E-3</v>
      </c>
      <c r="G73">
        <v>8.8322699000000001E-3</v>
      </c>
      <c r="H73">
        <v>1.048137E-2</v>
      </c>
      <c r="I73">
        <v>8.5467749999999995E-3</v>
      </c>
      <c r="J73">
        <v>7.70559E-3</v>
      </c>
      <c r="K73">
        <v>9.2014200000000001E-3</v>
      </c>
      <c r="L73">
        <v>9.1018499999999999E-3</v>
      </c>
      <c r="M73">
        <v>8.9878200000000005E-3</v>
      </c>
      <c r="N73">
        <v>8.3970599999999996E-3</v>
      </c>
      <c r="O73">
        <v>8.9272048999999992E-3</v>
      </c>
      <c r="P73">
        <v>9.1255050000000008E-3</v>
      </c>
      <c r="Q73">
        <v>9.1081649999999997E-3</v>
      </c>
      <c r="R73">
        <v>8.5096349999999998E-3</v>
      </c>
      <c r="S73">
        <v>7.9526100000000006E-3</v>
      </c>
      <c r="T73">
        <v>8.0800500000000001E-3</v>
      </c>
      <c r="U73">
        <v>8.1881100000000002E-3</v>
      </c>
      <c r="V73">
        <v>9.4210649999999993E-3</v>
      </c>
      <c r="W73">
        <v>1.1000055E-2</v>
      </c>
      <c r="X73">
        <v>1.0712625E-2</v>
      </c>
      <c r="Y73">
        <v>1.142145E-2</v>
      </c>
      <c r="Z73">
        <v>1.123203E-2</v>
      </c>
      <c r="AA73">
        <v>1.0732604999999999E-2</v>
      </c>
      <c r="AB73">
        <v>1.094535E-2</v>
      </c>
      <c r="AC73">
        <f t="shared" si="2"/>
        <v>9.3574106166666674E-3</v>
      </c>
      <c r="AD73">
        <f t="shared" si="3"/>
        <v>9.1050074999999998E-3</v>
      </c>
    </row>
    <row r="74" spans="1:30" x14ac:dyDescent="0.25">
      <c r="A74" t="s">
        <v>408</v>
      </c>
      <c r="B74" t="s">
        <v>435</v>
      </c>
      <c r="C74">
        <v>34</v>
      </c>
      <c r="D74" t="s">
        <v>2</v>
      </c>
      <c r="E74">
        <v>2.1167873500000001</v>
      </c>
      <c r="F74">
        <v>2.0190831299999998</v>
      </c>
      <c r="G74">
        <v>1.9708460000000001</v>
      </c>
      <c r="H74">
        <v>1.9156132299999999</v>
      </c>
      <c r="I74">
        <v>1.7078877299999999</v>
      </c>
      <c r="J74">
        <v>1.9414695500000001</v>
      </c>
      <c r="K74">
        <v>1.8654846</v>
      </c>
      <c r="L74">
        <v>1.74312201</v>
      </c>
      <c r="M74">
        <v>1.67753934</v>
      </c>
      <c r="N74">
        <v>1.7848300699999999</v>
      </c>
      <c r="O74">
        <v>1.8544062299999999</v>
      </c>
      <c r="P74">
        <v>1.86991653</v>
      </c>
      <c r="Q74">
        <v>1.84584598</v>
      </c>
      <c r="R74">
        <v>1.84347142</v>
      </c>
      <c r="S74">
        <v>1.78481552</v>
      </c>
      <c r="T74">
        <v>1.7160881100000001</v>
      </c>
      <c r="U74">
        <v>1.7676261499999999</v>
      </c>
      <c r="V74">
        <v>2.0476864899999998</v>
      </c>
      <c r="W74">
        <v>2.2514786400000002</v>
      </c>
      <c r="X74">
        <v>2.3621061700000001</v>
      </c>
      <c r="Y74">
        <v>2.4376672300000002</v>
      </c>
      <c r="Z74">
        <v>2.4350171899999999</v>
      </c>
      <c r="AA74">
        <v>2.3958330700000001</v>
      </c>
      <c r="AB74">
        <v>2.2913068399999998</v>
      </c>
      <c r="AC74">
        <f t="shared" si="2"/>
        <v>1.9852470241666669</v>
      </c>
      <c r="AD74">
        <f t="shared" si="3"/>
        <v>1.8927648800000001</v>
      </c>
    </row>
    <row r="75" spans="1:30" x14ac:dyDescent="0.25">
      <c r="A75" t="s">
        <v>408</v>
      </c>
      <c r="B75" t="s">
        <v>435</v>
      </c>
      <c r="C75">
        <v>34</v>
      </c>
      <c r="D75" t="s">
        <v>3</v>
      </c>
      <c r="E75">
        <v>0.37309277460000001</v>
      </c>
      <c r="F75">
        <v>0.6196691138</v>
      </c>
      <c r="G75">
        <v>0.61429209269999996</v>
      </c>
      <c r="H75">
        <v>0.93286789989999996</v>
      </c>
      <c r="I75">
        <v>0.66680464390000005</v>
      </c>
      <c r="J75">
        <v>0.82254929889999995</v>
      </c>
      <c r="K75">
        <v>0.37409169609999998</v>
      </c>
      <c r="L75">
        <v>0.82103612020000005</v>
      </c>
      <c r="M75">
        <v>0.3305891359</v>
      </c>
      <c r="N75">
        <v>0.51925998669999995</v>
      </c>
      <c r="O75">
        <v>0.91080234360000001</v>
      </c>
      <c r="P75">
        <v>0.84491924969999999</v>
      </c>
      <c r="Q75">
        <v>0.82912365710000002</v>
      </c>
      <c r="R75">
        <v>0.86941192379999999</v>
      </c>
      <c r="S75">
        <v>0.61895697419999995</v>
      </c>
      <c r="T75">
        <v>0.61548488779999999</v>
      </c>
      <c r="U75">
        <v>0.5754520903</v>
      </c>
      <c r="V75">
        <v>0.51445064969999998</v>
      </c>
      <c r="W75">
        <v>0.30617292400000001</v>
      </c>
      <c r="X75">
        <v>0.41039971240000001</v>
      </c>
      <c r="Y75">
        <v>0.48038593429999998</v>
      </c>
      <c r="Z75">
        <v>0.40207412570000001</v>
      </c>
      <c r="AA75">
        <v>0.49520131080000002</v>
      </c>
      <c r="AB75">
        <v>0.49501087620000001</v>
      </c>
      <c r="AC75">
        <f t="shared" si="2"/>
        <v>0.60175414259583337</v>
      </c>
      <c r="AD75">
        <f t="shared" si="3"/>
        <v>0.59487209149999998</v>
      </c>
    </row>
    <row r="76" spans="1:30" x14ac:dyDescent="0.25">
      <c r="A76" t="s">
        <v>408</v>
      </c>
      <c r="B76" t="s">
        <v>435</v>
      </c>
      <c r="C76">
        <v>34</v>
      </c>
      <c r="D76" t="s">
        <v>4</v>
      </c>
      <c r="E76">
        <v>6.5467650000000002E-2</v>
      </c>
      <c r="F76">
        <v>6.2445870000000001E-2</v>
      </c>
      <c r="G76">
        <v>6.0954000000000001E-2</v>
      </c>
      <c r="H76">
        <v>5.9245770000000003E-2</v>
      </c>
      <c r="I76">
        <v>5.2821269999999997E-2</v>
      </c>
      <c r="J76">
        <v>6.004545E-2</v>
      </c>
      <c r="K76">
        <v>5.7695400000000001E-2</v>
      </c>
      <c r="L76">
        <v>5.3910989999999999E-2</v>
      </c>
      <c r="M76">
        <v>5.1882659999999997E-2</v>
      </c>
      <c r="N76">
        <v>5.5200930000000002E-2</v>
      </c>
      <c r="O76">
        <v>5.7352769999999997E-2</v>
      </c>
      <c r="P76">
        <v>5.7832469999999997E-2</v>
      </c>
      <c r="Q76">
        <v>5.7088020000000003E-2</v>
      </c>
      <c r="R76">
        <v>5.7014580000000002E-2</v>
      </c>
      <c r="S76">
        <v>5.5200480000000003E-2</v>
      </c>
      <c r="T76">
        <v>5.307489E-2</v>
      </c>
      <c r="U76">
        <v>5.4668849999999998E-2</v>
      </c>
      <c r="V76">
        <v>6.3330510000000007E-2</v>
      </c>
      <c r="W76">
        <v>6.9633360000000005E-2</v>
      </c>
      <c r="X76">
        <v>7.3054830000000001E-2</v>
      </c>
      <c r="Y76">
        <v>7.5391769999999997E-2</v>
      </c>
      <c r="Z76">
        <v>7.5309810000000005E-2</v>
      </c>
      <c r="AA76">
        <v>7.4097930000000006E-2</v>
      </c>
      <c r="AB76">
        <v>7.0865159999999996E-2</v>
      </c>
      <c r="AC76">
        <f t="shared" si="2"/>
        <v>6.1399392500000011E-2</v>
      </c>
      <c r="AD76">
        <f t="shared" si="3"/>
        <v>5.853912E-2</v>
      </c>
    </row>
    <row r="77" spans="1:30" x14ac:dyDescent="0.25">
      <c r="A77" t="s">
        <v>408</v>
      </c>
      <c r="B77" t="s">
        <v>436</v>
      </c>
      <c r="C77">
        <v>34</v>
      </c>
      <c r="D77" t="s">
        <v>2</v>
      </c>
      <c r="E77">
        <v>1.6339194100000001</v>
      </c>
      <c r="F77">
        <v>1.7328138200000001</v>
      </c>
      <c r="G77">
        <v>1.7600339599999999</v>
      </c>
      <c r="H77">
        <v>1.73294477</v>
      </c>
      <c r="I77">
        <v>1.68179473</v>
      </c>
      <c r="J77">
        <v>1.74168156</v>
      </c>
      <c r="K77">
        <v>1.6793959199999999</v>
      </c>
      <c r="L77">
        <v>1.4759946799999999</v>
      </c>
      <c r="M77">
        <v>1.2148483699999999</v>
      </c>
      <c r="N77">
        <v>1.1891229999999999</v>
      </c>
      <c r="O77">
        <v>1.08389643</v>
      </c>
      <c r="P77">
        <v>0.95681479000000003</v>
      </c>
      <c r="Q77">
        <v>0.97097873000000001</v>
      </c>
      <c r="R77">
        <v>0.97301282</v>
      </c>
      <c r="S77">
        <v>1.06887307</v>
      </c>
      <c r="T77">
        <v>1.15515748</v>
      </c>
      <c r="U77">
        <v>1.2776432600000001</v>
      </c>
      <c r="V77">
        <v>1.5202519000000001</v>
      </c>
      <c r="W77">
        <v>1.70655592</v>
      </c>
      <c r="X77">
        <v>1.60177167</v>
      </c>
      <c r="Y77">
        <v>1.5732226300000001</v>
      </c>
      <c r="Z77">
        <v>1.46755956</v>
      </c>
      <c r="AA77">
        <v>1.5740878700000001</v>
      </c>
      <c r="AB77">
        <v>1.58092443</v>
      </c>
      <c r="AC77">
        <f t="shared" si="2"/>
        <v>1.4313875325000003</v>
      </c>
      <c r="AD77">
        <f t="shared" si="3"/>
        <v>1.546737265</v>
      </c>
    </row>
    <row r="78" spans="1:30" x14ac:dyDescent="0.25">
      <c r="A78" t="s">
        <v>408</v>
      </c>
      <c r="B78" t="s">
        <v>436</v>
      </c>
      <c r="C78">
        <v>34</v>
      </c>
      <c r="D78" t="s">
        <v>3</v>
      </c>
      <c r="E78">
        <v>0.1242744055</v>
      </c>
      <c r="F78">
        <v>0.1943334779</v>
      </c>
      <c r="G78">
        <v>0.2811553101</v>
      </c>
      <c r="H78">
        <v>0.3399216652</v>
      </c>
      <c r="I78">
        <v>0.3343081597</v>
      </c>
      <c r="J78">
        <v>0.34917291389999999</v>
      </c>
      <c r="K78">
        <v>0.32440061539999998</v>
      </c>
      <c r="L78">
        <v>0.104983755</v>
      </c>
      <c r="M78">
        <v>9.7879670000000002E-2</v>
      </c>
      <c r="N78">
        <v>8.8692211100000001E-2</v>
      </c>
      <c r="O78">
        <v>8.6510102199999994E-2</v>
      </c>
      <c r="P78">
        <v>6.96636224E-2</v>
      </c>
      <c r="Q78">
        <v>7.6757322200000005E-2</v>
      </c>
      <c r="R78">
        <v>0.109827493</v>
      </c>
      <c r="S78">
        <v>0.26974868600000002</v>
      </c>
      <c r="T78">
        <v>0.13839092480000001</v>
      </c>
      <c r="U78">
        <v>9.0875521900000006E-2</v>
      </c>
      <c r="V78">
        <v>0.1224858657</v>
      </c>
      <c r="W78">
        <v>4.2502648400000002E-2</v>
      </c>
      <c r="X78">
        <v>0.74635438659999997</v>
      </c>
      <c r="Y78">
        <v>0.78765402900000003</v>
      </c>
      <c r="Z78">
        <v>0.21673430299999999</v>
      </c>
      <c r="AA78">
        <v>0.20606225680000001</v>
      </c>
      <c r="AB78">
        <v>0.19207705080000001</v>
      </c>
      <c r="AC78">
        <f t="shared" si="2"/>
        <v>0.22478193319166673</v>
      </c>
      <c r="AD78">
        <f t="shared" si="3"/>
        <v>0.16523398780000001</v>
      </c>
    </row>
    <row r="79" spans="1:30" x14ac:dyDescent="0.25">
      <c r="A79" t="s">
        <v>408</v>
      </c>
      <c r="B79" t="s">
        <v>436</v>
      </c>
      <c r="C79">
        <v>34</v>
      </c>
      <c r="D79" t="s">
        <v>4</v>
      </c>
      <c r="E79">
        <v>5.0533590000000003E-2</v>
      </c>
      <c r="F79">
        <v>5.3592180000000003E-2</v>
      </c>
      <c r="G79">
        <v>5.4434040000000003E-2</v>
      </c>
      <c r="H79">
        <v>5.3596230000000002E-2</v>
      </c>
      <c r="I79">
        <v>5.2014270000000001E-2</v>
      </c>
      <c r="J79">
        <v>5.3866440000000002E-2</v>
      </c>
      <c r="K79">
        <v>5.194008E-2</v>
      </c>
      <c r="L79">
        <v>4.564932E-2</v>
      </c>
      <c r="M79">
        <v>3.7572630000000003E-2</v>
      </c>
      <c r="N79">
        <v>3.6776999999999997E-2</v>
      </c>
      <c r="O79">
        <v>3.3522570000000002E-2</v>
      </c>
      <c r="P79">
        <v>2.9592210000000001E-2</v>
      </c>
      <c r="Q79">
        <v>3.0030270000000001E-2</v>
      </c>
      <c r="R79">
        <v>3.0093180000000001E-2</v>
      </c>
      <c r="S79">
        <v>3.3057929999999999E-2</v>
      </c>
      <c r="T79">
        <v>3.5726519999999998E-2</v>
      </c>
      <c r="U79">
        <v>3.951474E-2</v>
      </c>
      <c r="V79">
        <v>4.70181E-2</v>
      </c>
      <c r="W79">
        <v>5.278008E-2</v>
      </c>
      <c r="X79">
        <v>4.9539329999999999E-2</v>
      </c>
      <c r="Y79">
        <v>4.8656369999999997E-2</v>
      </c>
      <c r="Z79">
        <v>4.5388440000000002E-2</v>
      </c>
      <c r="AA79">
        <v>4.8683129999999998E-2</v>
      </c>
      <c r="AB79">
        <v>4.8894569999999998E-2</v>
      </c>
      <c r="AC79">
        <f t="shared" si="2"/>
        <v>4.42697175E-2</v>
      </c>
      <c r="AD79">
        <f t="shared" si="3"/>
        <v>4.7837234999999999E-2</v>
      </c>
    </row>
    <row r="80" spans="1:30" x14ac:dyDescent="0.25">
      <c r="A80" t="s">
        <v>408</v>
      </c>
      <c r="B80" t="s">
        <v>444</v>
      </c>
      <c r="C80">
        <v>115</v>
      </c>
      <c r="D80" t="s">
        <v>2</v>
      </c>
      <c r="E80">
        <v>14.28596523</v>
      </c>
      <c r="F80">
        <v>14.115468625</v>
      </c>
      <c r="G80">
        <v>13.937073305</v>
      </c>
      <c r="H80">
        <v>14.090147229999999</v>
      </c>
      <c r="I80">
        <v>13.421539080000001</v>
      </c>
      <c r="J80">
        <v>13.841022015</v>
      </c>
      <c r="K80">
        <v>14.335801305</v>
      </c>
      <c r="L80">
        <v>12.160665205000001</v>
      </c>
      <c r="M80">
        <v>11.829468804999999</v>
      </c>
      <c r="N80">
        <v>12.838244735</v>
      </c>
      <c r="O80">
        <v>12.494861915</v>
      </c>
      <c r="P80">
        <v>12.537226765</v>
      </c>
      <c r="Q80">
        <v>12.5676741</v>
      </c>
      <c r="R80">
        <v>13.1876725</v>
      </c>
      <c r="S80">
        <v>12.891704624999999</v>
      </c>
      <c r="T80">
        <v>13.26736097</v>
      </c>
      <c r="U80">
        <v>12.971331040000001</v>
      </c>
      <c r="V80">
        <v>14.208904739999999</v>
      </c>
      <c r="W80">
        <v>15.159135225</v>
      </c>
      <c r="X80">
        <v>14.982023359999999</v>
      </c>
      <c r="Y80">
        <v>14.889176275000001</v>
      </c>
      <c r="Z80">
        <v>14.192169590000001</v>
      </c>
      <c r="AA80">
        <v>14.137780845</v>
      </c>
      <c r="AB80">
        <v>13.026591509999999</v>
      </c>
      <c r="AC80">
        <f t="shared" si="2"/>
        <v>13.557042041458333</v>
      </c>
      <c r="AD80">
        <f t="shared" si="3"/>
        <v>13.631280547500001</v>
      </c>
    </row>
    <row r="81" spans="1:30" x14ac:dyDescent="0.25">
      <c r="A81" t="s">
        <v>408</v>
      </c>
      <c r="B81" t="s">
        <v>444</v>
      </c>
      <c r="C81">
        <v>115</v>
      </c>
      <c r="D81" t="s">
        <v>3</v>
      </c>
      <c r="E81">
        <v>6.0638103911999996</v>
      </c>
      <c r="F81">
        <v>6.2902430428000002</v>
      </c>
      <c r="G81">
        <v>6.2398490616000002</v>
      </c>
      <c r="H81">
        <v>6.3863772714999998</v>
      </c>
      <c r="I81">
        <v>6.7559959391</v>
      </c>
      <c r="J81">
        <v>1.9981075327</v>
      </c>
      <c r="K81">
        <v>7.2645001026999996</v>
      </c>
      <c r="L81">
        <v>2.1770786186</v>
      </c>
      <c r="M81">
        <v>1.4252499053000001</v>
      </c>
      <c r="N81">
        <v>6.5409324062999996</v>
      </c>
      <c r="O81">
        <v>5.7888797608999996</v>
      </c>
      <c r="P81">
        <v>6.1301724160999997</v>
      </c>
      <c r="Q81">
        <v>6.355238527</v>
      </c>
      <c r="R81">
        <v>6.2327478742000002</v>
      </c>
      <c r="S81">
        <v>6.5953330778000003</v>
      </c>
      <c r="T81">
        <v>6.4564578486000004</v>
      </c>
      <c r="U81">
        <v>6.5932554572999997</v>
      </c>
      <c r="V81">
        <v>6.6088384379000003</v>
      </c>
      <c r="W81">
        <v>7.0988265482999999</v>
      </c>
      <c r="X81">
        <v>6.7489990420000003</v>
      </c>
      <c r="Y81">
        <v>7.0061886121999999</v>
      </c>
      <c r="Z81">
        <v>6.8397805105999998</v>
      </c>
      <c r="AA81">
        <v>6.0859944075000003</v>
      </c>
      <c r="AB81">
        <v>6.1990688602999997</v>
      </c>
      <c r="AC81">
        <f t="shared" si="2"/>
        <v>5.9117469021875015</v>
      </c>
      <c r="AD81">
        <f t="shared" si="3"/>
        <v>6.3708078992499999</v>
      </c>
    </row>
    <row r="82" spans="1:30" x14ac:dyDescent="0.25">
      <c r="A82" t="s">
        <v>408</v>
      </c>
      <c r="B82" t="s">
        <v>444</v>
      </c>
      <c r="C82">
        <v>115</v>
      </c>
      <c r="D82" t="s">
        <v>4</v>
      </c>
      <c r="E82">
        <v>0.21755277000000001</v>
      </c>
      <c r="F82">
        <v>0.21495637500000001</v>
      </c>
      <c r="G82">
        <v>0.21223969500000001</v>
      </c>
      <c r="H82">
        <v>0.21457076999999999</v>
      </c>
      <c r="I82">
        <v>0.20438892</v>
      </c>
      <c r="J82">
        <v>0.210776985</v>
      </c>
      <c r="K82">
        <v>0.218311695</v>
      </c>
      <c r="L82">
        <v>0.18518779499999999</v>
      </c>
      <c r="M82">
        <v>0.18014419500000001</v>
      </c>
      <c r="N82">
        <v>0.19550626500000001</v>
      </c>
      <c r="O82">
        <v>0.19027708500000001</v>
      </c>
      <c r="P82">
        <v>0.190922235</v>
      </c>
      <c r="Q82">
        <v>0.1913859</v>
      </c>
      <c r="R82">
        <v>0.20082749999999999</v>
      </c>
      <c r="S82">
        <v>0.19632037499999999</v>
      </c>
      <c r="T82">
        <v>0.20204103000000001</v>
      </c>
      <c r="U82">
        <v>0.19753296000000001</v>
      </c>
      <c r="V82">
        <v>0.21637925999999999</v>
      </c>
      <c r="W82">
        <v>0.23084977500000001</v>
      </c>
      <c r="X82">
        <v>0.22815263999999999</v>
      </c>
      <c r="Y82">
        <v>0.226738725</v>
      </c>
      <c r="Z82">
        <v>0.21612440999999999</v>
      </c>
      <c r="AA82">
        <v>0.21529615499999999</v>
      </c>
      <c r="AB82">
        <v>0.19837448999999999</v>
      </c>
      <c r="AC82">
        <f t="shared" si="2"/>
        <v>0.20645241687499996</v>
      </c>
      <c r="AD82">
        <f t="shared" si="3"/>
        <v>0.2075829525</v>
      </c>
    </row>
    <row r="83" spans="1:30" x14ac:dyDescent="0.25">
      <c r="A83" t="s">
        <v>408</v>
      </c>
      <c r="B83" t="s">
        <v>446</v>
      </c>
      <c r="C83">
        <v>220</v>
      </c>
      <c r="D83" t="s">
        <v>2</v>
      </c>
      <c r="E83">
        <v>1.1893419999999999</v>
      </c>
      <c r="F83">
        <v>1.0525169999999999</v>
      </c>
      <c r="G83">
        <v>0.98557499999999998</v>
      </c>
      <c r="H83">
        <v>0.95397799999999999</v>
      </c>
      <c r="I83">
        <v>0.90480899999999997</v>
      </c>
      <c r="J83">
        <v>1.0831440000000001</v>
      </c>
      <c r="K83">
        <v>1.31212</v>
      </c>
      <c r="L83">
        <v>1.4469620000000001</v>
      </c>
      <c r="M83">
        <v>1.496796</v>
      </c>
      <c r="N83">
        <v>1.4880869999999999</v>
      </c>
      <c r="O83">
        <v>1.603254</v>
      </c>
      <c r="P83">
        <v>1.727463</v>
      </c>
      <c r="Q83">
        <v>1.753037</v>
      </c>
      <c r="R83">
        <v>1.6426179999999999</v>
      </c>
      <c r="S83">
        <v>1.5801270000000001</v>
      </c>
      <c r="T83">
        <v>1.5605599999999999</v>
      </c>
      <c r="U83">
        <v>1.738105</v>
      </c>
      <c r="V83">
        <v>1.43933</v>
      </c>
      <c r="W83">
        <v>1.655054</v>
      </c>
      <c r="X83">
        <v>1.9509160000000001</v>
      </c>
      <c r="Y83">
        <v>1.840406</v>
      </c>
      <c r="Z83">
        <v>1.494534</v>
      </c>
      <c r="AA83">
        <v>1.3022229999999999</v>
      </c>
      <c r="AB83">
        <v>1.203722</v>
      </c>
      <c r="AC83">
        <f t="shared" si="2"/>
        <v>1.4335282916666667</v>
      </c>
      <c r="AD83">
        <f t="shared" si="3"/>
        <v>1.4913105</v>
      </c>
    </row>
    <row r="84" spans="1:30" x14ac:dyDescent="0.25">
      <c r="A84" t="s">
        <v>408</v>
      </c>
      <c r="B84" t="s">
        <v>446</v>
      </c>
      <c r="C84">
        <v>220</v>
      </c>
      <c r="D84" t="s">
        <v>3</v>
      </c>
      <c r="E84">
        <v>0.49605594790000002</v>
      </c>
      <c r="F84">
        <v>0.49496603300000003</v>
      </c>
      <c r="G84">
        <v>0.50418805600000005</v>
      </c>
      <c r="H84">
        <v>0.11828962799999999</v>
      </c>
      <c r="I84">
        <v>0.46076341780000002</v>
      </c>
      <c r="J84">
        <v>0.48595848359999999</v>
      </c>
      <c r="K84">
        <v>0.32533361259999999</v>
      </c>
      <c r="L84">
        <v>0.30892324570000002</v>
      </c>
      <c r="M84">
        <v>0.31328766730000002</v>
      </c>
      <c r="N84">
        <v>0.36215114209999999</v>
      </c>
      <c r="O84">
        <v>0.40821984319999999</v>
      </c>
      <c r="P84">
        <v>0.39825025400000003</v>
      </c>
      <c r="Q84">
        <v>0.39802516910000002</v>
      </c>
      <c r="R84">
        <v>0.37629642889999998</v>
      </c>
      <c r="S84">
        <v>0.3912964961</v>
      </c>
      <c r="T84">
        <v>0.34480126020000001</v>
      </c>
      <c r="U84">
        <v>0.28885642859999999</v>
      </c>
      <c r="V84">
        <v>0.14315943149999999</v>
      </c>
      <c r="W84">
        <v>0.22805027010000001</v>
      </c>
      <c r="X84">
        <v>0.18612253009999999</v>
      </c>
      <c r="Y84">
        <v>0.2580861404</v>
      </c>
      <c r="Z84">
        <v>0.28999695650000001</v>
      </c>
      <c r="AA84">
        <v>0.31837352419999998</v>
      </c>
      <c r="AB84">
        <v>0.32613836099999999</v>
      </c>
      <c r="AC84">
        <f t="shared" si="2"/>
        <v>0.34273293032916663</v>
      </c>
      <c r="AD84">
        <f t="shared" si="3"/>
        <v>0.33546981060000003</v>
      </c>
    </row>
    <row r="85" spans="1:30" x14ac:dyDescent="0.25">
      <c r="A85" t="s">
        <v>408</v>
      </c>
      <c r="B85" t="s">
        <v>446</v>
      </c>
      <c r="C85">
        <v>220</v>
      </c>
      <c r="D85" t="s">
        <v>4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f t="shared" si="2"/>
        <v>0</v>
      </c>
      <c r="AD85">
        <f t="shared" si="3"/>
        <v>0</v>
      </c>
    </row>
    <row r="86" spans="1:30" x14ac:dyDescent="0.25">
      <c r="A86" t="s">
        <v>408</v>
      </c>
      <c r="B86" t="s">
        <v>448</v>
      </c>
      <c r="C86">
        <v>115</v>
      </c>
      <c r="D86" t="s">
        <v>2</v>
      </c>
      <c r="E86">
        <v>1.561119605</v>
      </c>
      <c r="F86">
        <v>1.5409448349999999</v>
      </c>
      <c r="G86">
        <v>1.45120838</v>
      </c>
      <c r="H86">
        <v>1.437571055</v>
      </c>
      <c r="I86">
        <v>1.2332781150000001</v>
      </c>
      <c r="J86">
        <v>1.1050862749999999</v>
      </c>
      <c r="K86">
        <v>1.25977757</v>
      </c>
      <c r="L86">
        <v>1.3516957999999999</v>
      </c>
      <c r="M86">
        <v>1.446570015</v>
      </c>
      <c r="N86">
        <v>1.62164884</v>
      </c>
      <c r="O86">
        <v>1.7131986800000001</v>
      </c>
      <c r="P86">
        <v>1.738541745</v>
      </c>
      <c r="Q86">
        <v>1.66918297</v>
      </c>
      <c r="R86">
        <v>2.1107387700000002</v>
      </c>
      <c r="S86">
        <v>1.6127434549999999</v>
      </c>
      <c r="T86">
        <v>1.5709636950000001</v>
      </c>
      <c r="U86">
        <v>2.073165945</v>
      </c>
      <c r="V86">
        <v>1.4349243599999999</v>
      </c>
      <c r="W86">
        <v>1.7163782599999999</v>
      </c>
      <c r="X86">
        <v>1.8358636850000001</v>
      </c>
      <c r="Y86">
        <v>2.7477875200000001</v>
      </c>
      <c r="Z86">
        <v>1.6746457800000001</v>
      </c>
      <c r="AA86">
        <v>1.4602930350000001</v>
      </c>
      <c r="AB86">
        <v>1.5424154400000001</v>
      </c>
      <c r="AC86">
        <f t="shared" si="2"/>
        <v>1.6212393262500002</v>
      </c>
      <c r="AD86">
        <f t="shared" si="3"/>
        <v>1.5660416500000001</v>
      </c>
    </row>
    <row r="87" spans="1:30" x14ac:dyDescent="0.25">
      <c r="A87" t="s">
        <v>408</v>
      </c>
      <c r="B87" t="s">
        <v>448</v>
      </c>
      <c r="C87">
        <v>115</v>
      </c>
      <c r="D87" t="s">
        <v>3</v>
      </c>
      <c r="E87">
        <v>0.6330762929</v>
      </c>
      <c r="F87">
        <v>0.27802783790000002</v>
      </c>
      <c r="G87">
        <v>0.22279044440000001</v>
      </c>
      <c r="H87">
        <v>2.3182258599999998E-2</v>
      </c>
      <c r="I87">
        <v>0.3080087426</v>
      </c>
      <c r="J87">
        <v>0.12837598450000001</v>
      </c>
      <c r="K87">
        <v>0.1170680727</v>
      </c>
      <c r="L87">
        <v>2.49271769E-2</v>
      </c>
      <c r="M87">
        <v>6.4693223000000001E-3</v>
      </c>
      <c r="N87">
        <v>0.25015713429999997</v>
      </c>
      <c r="O87">
        <v>5.1413385200000002E-2</v>
      </c>
      <c r="P87">
        <v>0.28729012770000001</v>
      </c>
      <c r="Q87">
        <v>0.20011484390000001</v>
      </c>
      <c r="R87">
        <v>8.2338622099999995E-2</v>
      </c>
      <c r="S87">
        <v>0.19662030220000001</v>
      </c>
      <c r="T87">
        <v>0.16529559390000001</v>
      </c>
      <c r="U87">
        <v>0.24355271680000001</v>
      </c>
      <c r="V87">
        <v>0.14198734490000001</v>
      </c>
      <c r="W87">
        <v>0.2555137998</v>
      </c>
      <c r="X87">
        <v>0.43540079050000002</v>
      </c>
      <c r="Y87">
        <v>0.57498705490000002</v>
      </c>
      <c r="Z87">
        <v>0.55054829270000005</v>
      </c>
      <c r="AA87">
        <v>4.1829243699999998E-2</v>
      </c>
      <c r="AB87">
        <v>0.47141807990000001</v>
      </c>
      <c r="AC87">
        <f t="shared" si="2"/>
        <v>0.23709972772083335</v>
      </c>
      <c r="AD87">
        <f t="shared" si="3"/>
        <v>0.21145264415000001</v>
      </c>
    </row>
    <row r="88" spans="1:30" x14ac:dyDescent="0.25">
      <c r="A88" t="s">
        <v>408</v>
      </c>
      <c r="B88" t="s">
        <v>448</v>
      </c>
      <c r="C88">
        <v>115</v>
      </c>
      <c r="D88" t="s">
        <v>4</v>
      </c>
      <c r="E88">
        <v>2.3773394999999999E-2</v>
      </c>
      <c r="F88">
        <v>2.3466165000000001E-2</v>
      </c>
      <c r="G88">
        <v>2.209962E-2</v>
      </c>
      <c r="H88">
        <v>2.1891944999999999E-2</v>
      </c>
      <c r="I88">
        <v>1.8780885000000001E-2</v>
      </c>
      <c r="J88">
        <v>1.6828724999999999E-2</v>
      </c>
      <c r="K88">
        <v>1.9184429999999999E-2</v>
      </c>
      <c r="L88">
        <v>2.05842E-2</v>
      </c>
      <c r="M88">
        <v>2.2028985000000001E-2</v>
      </c>
      <c r="N88">
        <v>2.4695160000000001E-2</v>
      </c>
      <c r="O88">
        <v>2.6089319999999999E-2</v>
      </c>
      <c r="P88">
        <v>2.6475255E-2</v>
      </c>
      <c r="Q88">
        <v>2.5419029999999999E-2</v>
      </c>
      <c r="R88">
        <v>3.2143230000000002E-2</v>
      </c>
      <c r="S88">
        <v>2.4559544999999999E-2</v>
      </c>
      <c r="T88">
        <v>2.3923304999999999E-2</v>
      </c>
      <c r="U88">
        <v>3.1571055000000001E-2</v>
      </c>
      <c r="V88">
        <v>2.1851639999999999E-2</v>
      </c>
      <c r="W88">
        <v>2.613774E-2</v>
      </c>
      <c r="X88">
        <v>2.7957315E-2</v>
      </c>
      <c r="Y88">
        <v>4.1844480000000003E-2</v>
      </c>
      <c r="Z88">
        <v>2.5502219999999999E-2</v>
      </c>
      <c r="AA88">
        <v>2.2237964999999998E-2</v>
      </c>
      <c r="AB88">
        <v>2.3488559999999999E-2</v>
      </c>
      <c r="AC88">
        <f t="shared" si="2"/>
        <v>2.4688923749999998E-2</v>
      </c>
      <c r="AD88">
        <f t="shared" si="3"/>
        <v>2.3848349999999997E-2</v>
      </c>
    </row>
    <row r="89" spans="1:30" x14ac:dyDescent="0.25">
      <c r="A89" t="s">
        <v>408</v>
      </c>
      <c r="B89" t="s">
        <v>452</v>
      </c>
      <c r="C89">
        <v>115</v>
      </c>
      <c r="D89" t="s">
        <v>2</v>
      </c>
      <c r="E89">
        <v>9.8066925049999991</v>
      </c>
      <c r="F89">
        <v>9.7087253899999997</v>
      </c>
      <c r="G89">
        <v>9.3419960999999994</v>
      </c>
      <c r="H89">
        <v>9.2600066699999992</v>
      </c>
      <c r="I89">
        <v>7.8621508149999997</v>
      </c>
      <c r="J89">
        <v>8.3776485950000001</v>
      </c>
      <c r="K89">
        <v>6.4948526150000001</v>
      </c>
      <c r="L89">
        <v>7.0573230750000002</v>
      </c>
      <c r="M89">
        <v>6.4806321699999998</v>
      </c>
      <c r="N89">
        <v>5.3512075299999999</v>
      </c>
      <c r="O89">
        <v>5.2544460549999998</v>
      </c>
      <c r="P89">
        <v>4.532537585</v>
      </c>
      <c r="Q89">
        <v>5.3203652100000003</v>
      </c>
      <c r="R89">
        <v>5.0495168049999997</v>
      </c>
      <c r="S89">
        <v>5.5831632100000004</v>
      </c>
      <c r="T89">
        <v>6.5361457851000004</v>
      </c>
      <c r="U89">
        <v>7.0808645749999997</v>
      </c>
      <c r="V89">
        <v>8.7584821000000002</v>
      </c>
      <c r="W89">
        <v>10.838367715</v>
      </c>
      <c r="X89">
        <v>12.034346834999999</v>
      </c>
      <c r="Y89">
        <v>9.1110864899999999</v>
      </c>
      <c r="Z89">
        <v>9.9723044949999995</v>
      </c>
      <c r="AA89">
        <v>10.24742386</v>
      </c>
      <c r="AB89">
        <v>6.7913504199999997</v>
      </c>
      <c r="AC89">
        <f t="shared" si="2"/>
        <v>7.7854848585458321</v>
      </c>
      <c r="AD89">
        <f t="shared" si="3"/>
        <v>7.4715076949999997</v>
      </c>
    </row>
    <row r="90" spans="1:30" x14ac:dyDescent="0.25">
      <c r="A90" t="s">
        <v>408</v>
      </c>
      <c r="B90" t="s">
        <v>452</v>
      </c>
      <c r="C90">
        <v>115</v>
      </c>
      <c r="D90" t="s">
        <v>3</v>
      </c>
      <c r="E90">
        <v>1.207874573</v>
      </c>
      <c r="F90">
        <v>1.4806363043999999</v>
      </c>
      <c r="G90">
        <v>1.9940279984</v>
      </c>
      <c r="H90">
        <v>0.63323391799999995</v>
      </c>
      <c r="I90">
        <v>0.56695823020000002</v>
      </c>
      <c r="J90">
        <v>0.22171034649999999</v>
      </c>
      <c r="K90">
        <v>0.28180908230000001</v>
      </c>
      <c r="L90">
        <v>0.15138930980000001</v>
      </c>
      <c r="M90">
        <v>0.1715067405</v>
      </c>
      <c r="N90">
        <v>0.51391967589999998</v>
      </c>
      <c r="O90">
        <v>0.73684812070000005</v>
      </c>
      <c r="P90">
        <v>1.1884732153999999</v>
      </c>
      <c r="Q90">
        <v>0.441797365</v>
      </c>
      <c r="R90">
        <v>0.1515368627</v>
      </c>
      <c r="S90">
        <v>0.53264849069999998</v>
      </c>
      <c r="T90">
        <v>7.7342133300000004E-2</v>
      </c>
      <c r="U90">
        <v>8.3787784000000004E-2</v>
      </c>
      <c r="V90">
        <v>0.23832211219999999</v>
      </c>
      <c r="W90">
        <v>0.41150915640000002</v>
      </c>
      <c r="X90">
        <v>0.79958818549999999</v>
      </c>
      <c r="Y90">
        <v>0.8255573826</v>
      </c>
      <c r="Z90">
        <v>0.7611245298</v>
      </c>
      <c r="AA90">
        <v>1.7100759941999999</v>
      </c>
      <c r="AB90">
        <v>1.5512984010999999</v>
      </c>
      <c r="AC90">
        <f t="shared" si="2"/>
        <v>0.69720732969166654</v>
      </c>
      <c r="AD90">
        <f t="shared" si="3"/>
        <v>0.54980336045</v>
      </c>
    </row>
    <row r="91" spans="1:30" x14ac:dyDescent="0.25">
      <c r="A91" t="s">
        <v>408</v>
      </c>
      <c r="B91" t="s">
        <v>452</v>
      </c>
      <c r="C91">
        <v>115</v>
      </c>
      <c r="D91" t="s">
        <v>4</v>
      </c>
      <c r="E91">
        <v>0.14934049499999999</v>
      </c>
      <c r="F91">
        <v>0.14784860999999999</v>
      </c>
      <c r="G91">
        <v>0.1422639</v>
      </c>
      <c r="H91">
        <v>0.14101532999999999</v>
      </c>
      <c r="I91">
        <v>0.119728185</v>
      </c>
      <c r="J91">
        <v>0.12757840500000001</v>
      </c>
      <c r="K91">
        <v>9.8906384999999999E-2</v>
      </c>
      <c r="L91">
        <v>0.107471925</v>
      </c>
      <c r="M91">
        <v>9.8689830000000006E-2</v>
      </c>
      <c r="N91">
        <v>8.1490469999999995E-2</v>
      </c>
      <c r="O91">
        <v>8.0016945000000006E-2</v>
      </c>
      <c r="P91">
        <v>6.9023415000000005E-2</v>
      </c>
      <c r="Q91">
        <v>8.1020789999999995E-2</v>
      </c>
      <c r="R91">
        <v>7.6896195000000001E-2</v>
      </c>
      <c r="S91">
        <v>8.5022790000000001E-2</v>
      </c>
      <c r="T91">
        <v>9.9535214900000002E-2</v>
      </c>
      <c r="U91">
        <v>0.10783042499999999</v>
      </c>
      <c r="V91">
        <v>0.13337789999999999</v>
      </c>
      <c r="W91">
        <v>0.16505128499999999</v>
      </c>
      <c r="X91">
        <v>0.18326416500000001</v>
      </c>
      <c r="Y91">
        <v>0.13874750999999999</v>
      </c>
      <c r="Z91">
        <v>0.15186250500000001</v>
      </c>
      <c r="AA91">
        <v>0.15605214000000001</v>
      </c>
      <c r="AB91">
        <v>0.10342158</v>
      </c>
      <c r="AC91">
        <f t="shared" si="2"/>
        <v>0.11856068312083334</v>
      </c>
      <c r="AD91">
        <f t="shared" si="3"/>
        <v>0.113779305</v>
      </c>
    </row>
    <row r="92" spans="1:30" x14ac:dyDescent="0.25">
      <c r="A92" t="s">
        <v>408</v>
      </c>
      <c r="B92" t="s">
        <v>453</v>
      </c>
      <c r="C92">
        <v>115</v>
      </c>
      <c r="D92" t="s">
        <v>2</v>
      </c>
      <c r="E92">
        <v>6.8991399549999999</v>
      </c>
      <c r="F92">
        <v>6.7374541749999999</v>
      </c>
      <c r="G92">
        <v>6.4619831650000004</v>
      </c>
      <c r="H92">
        <v>6.2945587749999996</v>
      </c>
      <c r="I92">
        <v>5.9134740949999998</v>
      </c>
      <c r="J92">
        <v>6.3393260400000004</v>
      </c>
      <c r="K92">
        <v>5.9442839100000002</v>
      </c>
      <c r="L92">
        <v>5.6113765649999996</v>
      </c>
      <c r="M92">
        <v>5.3141183400000003</v>
      </c>
      <c r="N92">
        <v>4.0273655599999998</v>
      </c>
      <c r="O92">
        <v>3.7948779799999999</v>
      </c>
      <c r="P92">
        <v>4.0787914250000004</v>
      </c>
      <c r="Q92">
        <v>4.131666225</v>
      </c>
      <c r="R92">
        <v>4.4526176399999997</v>
      </c>
      <c r="S92">
        <v>4.8535884850000004</v>
      </c>
      <c r="T92">
        <v>5.7246545199999996</v>
      </c>
      <c r="U92">
        <v>6.2917239450000002</v>
      </c>
      <c r="V92">
        <v>7.446715245</v>
      </c>
      <c r="W92">
        <v>9.2048259849999994</v>
      </c>
      <c r="X92">
        <v>9.4126639399999998</v>
      </c>
      <c r="Y92">
        <v>9.3801471200000002</v>
      </c>
      <c r="Z92">
        <v>8.7843334249999998</v>
      </c>
      <c r="AA92">
        <v>8.1415578849999992</v>
      </c>
      <c r="AB92">
        <v>7.5153411800000001</v>
      </c>
    </row>
    <row r="93" spans="1:30" x14ac:dyDescent="0.25">
      <c r="A93" t="s">
        <v>408</v>
      </c>
      <c r="B93" t="s">
        <v>453</v>
      </c>
      <c r="C93">
        <v>115</v>
      </c>
      <c r="D93" t="s">
        <v>3</v>
      </c>
      <c r="E93">
        <v>0.20238835120000001</v>
      </c>
      <c r="F93">
        <v>0.15947052819999999</v>
      </c>
      <c r="G93">
        <v>0.245347391</v>
      </c>
      <c r="H93">
        <v>0.25193353610000002</v>
      </c>
      <c r="I93">
        <v>0.1832883216</v>
      </c>
      <c r="J93">
        <v>0.20841608419999999</v>
      </c>
      <c r="K93">
        <v>0.152749099</v>
      </c>
      <c r="L93">
        <v>0.16651562480000001</v>
      </c>
      <c r="M93">
        <v>0.18262663439999999</v>
      </c>
      <c r="N93">
        <v>0.193312544</v>
      </c>
      <c r="O93">
        <v>0.1032602824</v>
      </c>
      <c r="P93">
        <v>0.106388654</v>
      </c>
      <c r="Q93">
        <v>6.4013845799999997E-2</v>
      </c>
      <c r="R93">
        <v>0.12597684079999999</v>
      </c>
      <c r="S93">
        <v>0.23898211629999999</v>
      </c>
      <c r="T93">
        <v>0.21735263229999999</v>
      </c>
      <c r="U93">
        <v>0.230430625</v>
      </c>
      <c r="V93">
        <v>0.25807793200000001</v>
      </c>
      <c r="W93">
        <v>0</v>
      </c>
      <c r="X93">
        <v>0</v>
      </c>
      <c r="Y93">
        <v>5.93264456E-2</v>
      </c>
      <c r="Z93">
        <v>0.23247306039999999</v>
      </c>
      <c r="AA93">
        <v>0.102988487</v>
      </c>
      <c r="AB93">
        <v>8.23313772E-2</v>
      </c>
    </row>
    <row r="94" spans="1:30" x14ac:dyDescent="0.25">
      <c r="A94" t="s">
        <v>408</v>
      </c>
      <c r="B94" t="s">
        <v>453</v>
      </c>
      <c r="C94">
        <v>115</v>
      </c>
      <c r="D94" t="s">
        <v>4</v>
      </c>
      <c r="E94">
        <v>0.10506304499999999</v>
      </c>
      <c r="F94">
        <v>0.10260082500000001</v>
      </c>
      <c r="G94">
        <v>9.8405834999999997E-2</v>
      </c>
      <c r="H94">
        <v>9.5856225000000003E-2</v>
      </c>
      <c r="I94">
        <v>9.0052905000000003E-2</v>
      </c>
      <c r="J94">
        <v>9.6537960000000006E-2</v>
      </c>
      <c r="K94">
        <v>9.0522089999999999E-2</v>
      </c>
      <c r="L94">
        <v>8.5452434999999993E-2</v>
      </c>
      <c r="M94">
        <v>8.0925659999999996E-2</v>
      </c>
      <c r="N94">
        <v>6.133044E-2</v>
      </c>
      <c r="O94">
        <v>5.7790019999999998E-2</v>
      </c>
      <c r="P94">
        <v>6.2113574999999997E-2</v>
      </c>
      <c r="Q94">
        <v>6.2918774999999996E-2</v>
      </c>
      <c r="R94">
        <v>6.7806359999999996E-2</v>
      </c>
      <c r="S94">
        <v>7.3912514999999998E-2</v>
      </c>
      <c r="T94">
        <v>8.7177480000000002E-2</v>
      </c>
      <c r="U94">
        <v>9.5813054999999994E-2</v>
      </c>
      <c r="V94">
        <v>0.11340175500000001</v>
      </c>
      <c r="W94">
        <v>0.14017501499999999</v>
      </c>
      <c r="X94">
        <v>0.14334005999999999</v>
      </c>
      <c r="Y94">
        <v>0.14284488000000001</v>
      </c>
      <c r="Z94">
        <v>0.133771575</v>
      </c>
      <c r="AA94">
        <v>0.123983115</v>
      </c>
      <c r="AB94">
        <v>0.11444682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43DEE-5FD1-4136-B317-32E855B96ED4}">
  <dimension ref="A1:AD94"/>
  <sheetViews>
    <sheetView topLeftCell="A72" workbookViewId="0">
      <selection activeCell="A2" sqref="A2:AB94"/>
    </sheetView>
  </sheetViews>
  <sheetFormatPr baseColWidth="10" defaultRowHeight="15" x14ac:dyDescent="0.25"/>
  <sheetData>
    <row r="1" spans="1:30" x14ac:dyDescent="0.25">
      <c r="A1" t="s">
        <v>569</v>
      </c>
      <c r="B1" t="s">
        <v>570</v>
      </c>
      <c r="C1" t="s">
        <v>571</v>
      </c>
      <c r="D1" t="s">
        <v>572</v>
      </c>
      <c r="E1" t="s">
        <v>573</v>
      </c>
      <c r="F1" t="s">
        <v>574</v>
      </c>
      <c r="G1" t="s">
        <v>575</v>
      </c>
      <c r="H1" t="s">
        <v>576</v>
      </c>
      <c r="I1" t="s">
        <v>577</v>
      </c>
      <c r="J1" t="s">
        <v>578</v>
      </c>
      <c r="K1" t="s">
        <v>579</v>
      </c>
      <c r="L1" t="s">
        <v>580</v>
      </c>
      <c r="M1" t="s">
        <v>581</v>
      </c>
      <c r="N1" t="s">
        <v>582</v>
      </c>
      <c r="O1" t="s">
        <v>583</v>
      </c>
      <c r="P1" t="s">
        <v>584</v>
      </c>
      <c r="Q1" t="s">
        <v>585</v>
      </c>
      <c r="R1" t="s">
        <v>586</v>
      </c>
      <c r="S1" t="s">
        <v>587</v>
      </c>
      <c r="T1" t="s">
        <v>588</v>
      </c>
      <c r="U1" t="s">
        <v>589</v>
      </c>
      <c r="V1" t="s">
        <v>590</v>
      </c>
      <c r="W1" t="s">
        <v>591</v>
      </c>
      <c r="X1" t="s">
        <v>592</v>
      </c>
      <c r="Y1" t="s">
        <v>593</v>
      </c>
      <c r="Z1" t="s">
        <v>594</v>
      </c>
      <c r="AA1" t="s">
        <v>595</v>
      </c>
      <c r="AB1" t="s">
        <v>596</v>
      </c>
      <c r="AC1" t="s">
        <v>597</v>
      </c>
      <c r="AD1" t="s">
        <v>599</v>
      </c>
    </row>
    <row r="2" spans="1:30" x14ac:dyDescent="0.25">
      <c r="A2" t="s">
        <v>112</v>
      </c>
      <c r="B2" t="s">
        <v>113</v>
      </c>
      <c r="C2">
        <v>115</v>
      </c>
      <c r="D2" t="s">
        <v>2</v>
      </c>
      <c r="E2">
        <v>25.577088195000002</v>
      </c>
      <c r="F2">
        <v>24.047014805</v>
      </c>
      <c r="G2">
        <v>23.097136949999999</v>
      </c>
      <c r="H2">
        <v>21.683873725000002</v>
      </c>
      <c r="I2">
        <v>22.536149900000002</v>
      </c>
      <c r="J2">
        <v>23.384415154999999</v>
      </c>
      <c r="K2">
        <v>23.610626315000001</v>
      </c>
      <c r="L2">
        <v>24.724059480000001</v>
      </c>
      <c r="M2">
        <v>25.885485785</v>
      </c>
      <c r="N2">
        <v>28.035843225000001</v>
      </c>
      <c r="O2">
        <v>29.185893764999999</v>
      </c>
      <c r="P2">
        <v>30.987409515</v>
      </c>
      <c r="Q2">
        <v>32.417246349999999</v>
      </c>
      <c r="R2">
        <v>32.634353154999999</v>
      </c>
      <c r="S2">
        <v>32.430192204999997</v>
      </c>
      <c r="T2">
        <v>32.564545219999999</v>
      </c>
      <c r="U2">
        <v>32.294963525</v>
      </c>
      <c r="V2">
        <v>32.98352482</v>
      </c>
      <c r="W2">
        <v>37.361837999999999</v>
      </c>
      <c r="X2">
        <v>40.347333599999999</v>
      </c>
      <c r="Y2">
        <v>39.732870900000002</v>
      </c>
      <c r="Z2">
        <v>36.196247114999998</v>
      </c>
      <c r="AA2">
        <v>32.810541090000001</v>
      </c>
      <c r="AB2">
        <v>29.125836345</v>
      </c>
      <c r="AC2">
        <f>AVERAGE(E2:AB2)</f>
        <v>29.735603714166672</v>
      </c>
      <c r="AD2">
        <f>MEDIAN(E2:AB2)</f>
        <v>30.086651639999999</v>
      </c>
    </row>
    <row r="3" spans="1:30" x14ac:dyDescent="0.25">
      <c r="A3" t="s">
        <v>112</v>
      </c>
      <c r="B3" t="s">
        <v>113</v>
      </c>
      <c r="C3">
        <v>115</v>
      </c>
      <c r="D3" t="s">
        <v>3</v>
      </c>
      <c r="E3">
        <v>12.2277286972</v>
      </c>
      <c r="F3">
        <v>11.053988179799999</v>
      </c>
      <c r="G3">
        <v>10.6106465203</v>
      </c>
      <c r="H3">
        <v>9.9551127568000002</v>
      </c>
      <c r="I3">
        <v>10.339853765399999</v>
      </c>
      <c r="J3">
        <v>10.7561836859</v>
      </c>
      <c r="K3">
        <v>10.556975449699999</v>
      </c>
      <c r="L3">
        <v>11.3077809721</v>
      </c>
      <c r="M3">
        <v>11.959086962000001</v>
      </c>
      <c r="N3">
        <v>12.8387526762</v>
      </c>
      <c r="O3">
        <v>13.2123468783</v>
      </c>
      <c r="P3">
        <v>13.6542009295</v>
      </c>
      <c r="Q3">
        <v>14.2073303538</v>
      </c>
      <c r="R3">
        <v>14.273390535900001</v>
      </c>
      <c r="S3">
        <v>14.376249637300001</v>
      </c>
      <c r="T3">
        <v>14.3491453649</v>
      </c>
      <c r="U3">
        <v>14.1537381247</v>
      </c>
      <c r="V3">
        <v>13.9612791965</v>
      </c>
      <c r="W3">
        <v>14.2195850174</v>
      </c>
      <c r="X3">
        <v>14.5771071316</v>
      </c>
      <c r="Y3">
        <v>14.381530854999999</v>
      </c>
      <c r="Z3">
        <v>13.2333119841</v>
      </c>
      <c r="AA3">
        <v>12.6870651818</v>
      </c>
      <c r="AB3">
        <v>12.2666356301</v>
      </c>
      <c r="AC3">
        <f t="shared" ref="AC3:AC66" si="0">AVERAGE(E3:AB3)</f>
        <v>12.714959436929165</v>
      </c>
      <c r="AD3">
        <f t="shared" ref="AD3:AD66" si="1">MEDIAN(E3:AB3)</f>
        <v>13.025549777249999</v>
      </c>
    </row>
    <row r="4" spans="1:30" x14ac:dyDescent="0.25">
      <c r="A4" t="s">
        <v>112</v>
      </c>
      <c r="B4" t="s">
        <v>113</v>
      </c>
      <c r="C4">
        <v>115</v>
      </c>
      <c r="D4" t="s">
        <v>4</v>
      </c>
      <c r="E4">
        <v>0.389498805</v>
      </c>
      <c r="F4">
        <v>0.366198195</v>
      </c>
      <c r="G4">
        <v>0.35173304999999999</v>
      </c>
      <c r="H4">
        <v>0.33021127500000003</v>
      </c>
      <c r="I4">
        <v>0.3431901</v>
      </c>
      <c r="J4">
        <v>0.35610784499999998</v>
      </c>
      <c r="K4">
        <v>0.35955268499999998</v>
      </c>
      <c r="L4">
        <v>0.37650852000000001</v>
      </c>
      <c r="M4">
        <v>0.39419521499999999</v>
      </c>
      <c r="N4">
        <v>0.42694177500000002</v>
      </c>
      <c r="O4">
        <v>0.444455235</v>
      </c>
      <c r="P4">
        <v>0.471889485</v>
      </c>
      <c r="Q4">
        <v>0.49366365000000001</v>
      </c>
      <c r="R4">
        <v>0.49696984500000002</v>
      </c>
      <c r="S4">
        <v>0.49386079500000002</v>
      </c>
      <c r="T4">
        <v>0.49590677999999999</v>
      </c>
      <c r="U4">
        <v>0.49180147499999999</v>
      </c>
      <c r="V4">
        <v>0.50228718000000006</v>
      </c>
      <c r="W4">
        <v>0.56896199999999997</v>
      </c>
      <c r="X4">
        <v>0.61442640000000004</v>
      </c>
      <c r="Y4">
        <v>0.60506910000000003</v>
      </c>
      <c r="Z4">
        <v>0.55121188499999996</v>
      </c>
      <c r="AA4">
        <v>0.49965291000000001</v>
      </c>
      <c r="AB4">
        <v>0.44354065500000001</v>
      </c>
      <c r="AC4">
        <f t="shared" si="0"/>
        <v>0.45282645249999992</v>
      </c>
      <c r="AD4">
        <f t="shared" si="1"/>
        <v>0.45817236</v>
      </c>
    </row>
    <row r="5" spans="1:30" x14ac:dyDescent="0.25">
      <c r="A5" t="s">
        <v>112</v>
      </c>
      <c r="B5" t="s">
        <v>114</v>
      </c>
      <c r="C5">
        <v>115</v>
      </c>
      <c r="D5" t="s">
        <v>2</v>
      </c>
      <c r="E5">
        <v>15.74032955</v>
      </c>
      <c r="F5">
        <v>15.014292944999999</v>
      </c>
      <c r="G5">
        <v>14.32172664</v>
      </c>
      <c r="H5">
        <v>13.40990032</v>
      </c>
      <c r="I5">
        <v>13.801477220000001</v>
      </c>
      <c r="J5">
        <v>14.367419805000001</v>
      </c>
      <c r="K5">
        <v>15.304544865</v>
      </c>
      <c r="L5">
        <v>17.837590564999999</v>
      </c>
      <c r="M5">
        <v>19.583324780000002</v>
      </c>
      <c r="N5">
        <v>21.695311544999999</v>
      </c>
      <c r="O5">
        <v>22.902741290000002</v>
      </c>
      <c r="P5">
        <v>24.155167805000001</v>
      </c>
      <c r="Q5">
        <v>24.18457892</v>
      </c>
      <c r="R5">
        <v>23.5213863</v>
      </c>
      <c r="S5">
        <v>24.342557159999998</v>
      </c>
      <c r="T5">
        <v>24.443404415</v>
      </c>
      <c r="U5">
        <v>23.693731750000001</v>
      </c>
      <c r="V5">
        <v>22.455906875</v>
      </c>
      <c r="W5">
        <v>23.504306400000001</v>
      </c>
      <c r="X5">
        <v>24.390176</v>
      </c>
      <c r="Y5">
        <v>23.61916725</v>
      </c>
      <c r="Z5">
        <v>20.977819815</v>
      </c>
      <c r="AA5">
        <v>19.13530738</v>
      </c>
      <c r="AB5">
        <v>17.426650535</v>
      </c>
      <c r="AC5">
        <f t="shared" si="0"/>
        <v>19.992867505416665</v>
      </c>
      <c r="AD5">
        <f t="shared" si="1"/>
        <v>21.33656568</v>
      </c>
    </row>
    <row r="6" spans="1:30" x14ac:dyDescent="0.25">
      <c r="A6" t="s">
        <v>112</v>
      </c>
      <c r="B6" t="s">
        <v>114</v>
      </c>
      <c r="C6">
        <v>115</v>
      </c>
      <c r="D6" t="s">
        <v>3</v>
      </c>
      <c r="E6">
        <v>3.6975952244000001</v>
      </c>
      <c r="F6">
        <v>3.6499449840999998</v>
      </c>
      <c r="G6">
        <v>3.5768225847999999</v>
      </c>
      <c r="H6">
        <v>3.4363563129000001</v>
      </c>
      <c r="I6">
        <v>3.3674688617999999</v>
      </c>
      <c r="J6">
        <v>3.2195645832999999</v>
      </c>
      <c r="K6">
        <v>3.6998713626000002</v>
      </c>
      <c r="L6">
        <v>4.7962259947000003</v>
      </c>
      <c r="M6">
        <v>5.7193882334000001</v>
      </c>
      <c r="N6">
        <v>6.4860381062999997</v>
      </c>
      <c r="O6">
        <v>7.0024780692000004</v>
      </c>
      <c r="P6">
        <v>7.3944351073999997</v>
      </c>
      <c r="Q6">
        <v>7.2761107236999996</v>
      </c>
      <c r="R6">
        <v>7.2704771231</v>
      </c>
      <c r="S6">
        <v>7.4153509708999996</v>
      </c>
      <c r="T6">
        <v>7.4460715638000003</v>
      </c>
      <c r="U6">
        <v>7.2443221908000002</v>
      </c>
      <c r="V6">
        <v>6.3826583051999997</v>
      </c>
      <c r="W6">
        <v>5.8598407252999998</v>
      </c>
      <c r="X6">
        <v>5.6616868815999997</v>
      </c>
      <c r="Y6">
        <v>5.1898133079999997</v>
      </c>
      <c r="Z6">
        <v>4.3897043521999999</v>
      </c>
      <c r="AA6">
        <v>4.0815119476000001</v>
      </c>
      <c r="AB6">
        <v>3.8883307098</v>
      </c>
      <c r="AC6">
        <f t="shared" si="0"/>
        <v>5.3396695094541675</v>
      </c>
      <c r="AD6">
        <f t="shared" si="1"/>
        <v>5.4257500947999997</v>
      </c>
    </row>
    <row r="7" spans="1:30" x14ac:dyDescent="0.25">
      <c r="A7" t="s">
        <v>112</v>
      </c>
      <c r="B7" t="s">
        <v>114</v>
      </c>
      <c r="C7">
        <v>115</v>
      </c>
      <c r="D7" t="s">
        <v>4</v>
      </c>
      <c r="E7">
        <v>0.23970045000000001</v>
      </c>
      <c r="F7">
        <v>0.22864405500000001</v>
      </c>
      <c r="G7">
        <v>0.21809735999999999</v>
      </c>
      <c r="H7">
        <v>0.20421168000000001</v>
      </c>
      <c r="I7">
        <v>0.21017478000000001</v>
      </c>
      <c r="J7">
        <v>0.218793195</v>
      </c>
      <c r="K7">
        <v>0.23306413500000001</v>
      </c>
      <c r="L7">
        <v>0.27163843500000001</v>
      </c>
      <c r="M7">
        <v>0.29822322000000001</v>
      </c>
      <c r="N7">
        <v>0.33038545499999999</v>
      </c>
      <c r="O7">
        <v>0.34877270999999999</v>
      </c>
      <c r="P7">
        <v>0.36784519500000001</v>
      </c>
      <c r="Q7">
        <v>0.36829307999999999</v>
      </c>
      <c r="R7">
        <v>0.3581937</v>
      </c>
      <c r="S7">
        <v>0.37069883999999997</v>
      </c>
      <c r="T7">
        <v>0.37223458500000001</v>
      </c>
      <c r="U7">
        <v>0.36081825000000001</v>
      </c>
      <c r="V7">
        <v>0.34196812500000001</v>
      </c>
      <c r="W7">
        <v>0.35793360000000002</v>
      </c>
      <c r="X7">
        <v>0.37142399999999998</v>
      </c>
      <c r="Y7">
        <v>0.35968275</v>
      </c>
      <c r="Z7">
        <v>0.31945918499999998</v>
      </c>
      <c r="AA7">
        <v>0.29140062</v>
      </c>
      <c r="AB7">
        <v>0.26538046500000001</v>
      </c>
      <c r="AC7">
        <f t="shared" si="0"/>
        <v>0.3044599112500001</v>
      </c>
      <c r="AD7">
        <f t="shared" si="1"/>
        <v>0.32492231999999999</v>
      </c>
    </row>
    <row r="8" spans="1:30" x14ac:dyDescent="0.25">
      <c r="A8" t="s">
        <v>112</v>
      </c>
      <c r="B8" t="s">
        <v>116</v>
      </c>
      <c r="C8">
        <v>115</v>
      </c>
      <c r="D8" t="s">
        <v>2</v>
      </c>
      <c r="E8">
        <v>2.8077956899999998</v>
      </c>
      <c r="F8">
        <v>2.5959874649999999</v>
      </c>
      <c r="G8">
        <v>2.506996655</v>
      </c>
      <c r="H8">
        <v>2.3567900650000002</v>
      </c>
      <c r="I8">
        <v>2.4026831849999999</v>
      </c>
      <c r="J8">
        <v>2.6132522800000002</v>
      </c>
      <c r="K8">
        <v>2.7274275700000001</v>
      </c>
      <c r="L8">
        <v>2.9943093799999998</v>
      </c>
      <c r="M8">
        <v>3.2187642849999998</v>
      </c>
      <c r="N8">
        <v>3.4976601399999998</v>
      </c>
      <c r="O8">
        <v>3.6750517450000002</v>
      </c>
      <c r="P8">
        <v>3.87120957</v>
      </c>
      <c r="Q8">
        <v>3.9760381950000001</v>
      </c>
      <c r="R8">
        <v>3.9371848699999998</v>
      </c>
      <c r="S8">
        <v>3.9886747599999999</v>
      </c>
      <c r="T8">
        <v>4.0051991200000003</v>
      </c>
      <c r="U8">
        <v>3.8433577099999998</v>
      </c>
      <c r="V8">
        <v>3.6598157649999998</v>
      </c>
      <c r="W8">
        <v>3.8943748</v>
      </c>
      <c r="X8">
        <v>4.0784516000000002</v>
      </c>
      <c r="Y8">
        <v>3.9721898000000002</v>
      </c>
      <c r="Z8">
        <v>3.6897646900000001</v>
      </c>
      <c r="AA8">
        <v>3.4518241500000002</v>
      </c>
      <c r="AB8">
        <v>3.1164139199999998</v>
      </c>
      <c r="AC8">
        <f t="shared" si="0"/>
        <v>3.3700507254166663</v>
      </c>
      <c r="AD8">
        <f t="shared" si="1"/>
        <v>3.5787379525</v>
      </c>
    </row>
    <row r="9" spans="1:30" x14ac:dyDescent="0.25">
      <c r="A9" t="s">
        <v>112</v>
      </c>
      <c r="B9" t="s">
        <v>116</v>
      </c>
      <c r="C9">
        <v>115</v>
      </c>
      <c r="D9" t="s">
        <v>3</v>
      </c>
      <c r="E9">
        <v>0.76190044729999995</v>
      </c>
      <c r="F9">
        <v>0.74297672859999997</v>
      </c>
      <c r="G9">
        <v>0.72731332250000003</v>
      </c>
      <c r="H9">
        <v>0.70009426419999998</v>
      </c>
      <c r="I9">
        <v>0.69048238240000004</v>
      </c>
      <c r="J9">
        <v>0.67747537920000001</v>
      </c>
      <c r="K9">
        <v>0.73110366469999999</v>
      </c>
      <c r="L9">
        <v>0.79891731460000004</v>
      </c>
      <c r="M9">
        <v>0.91614337950000002</v>
      </c>
      <c r="N9">
        <v>0.99137409610000005</v>
      </c>
      <c r="O9">
        <v>1.0460145655999999</v>
      </c>
      <c r="P9">
        <v>1.0630961178</v>
      </c>
      <c r="Q9">
        <v>1.1158966161999999</v>
      </c>
      <c r="R9">
        <v>1.1237305587999999</v>
      </c>
      <c r="S9">
        <v>1.093733174</v>
      </c>
      <c r="T9">
        <v>1.0868180374</v>
      </c>
      <c r="U9">
        <v>1.0694219679000001</v>
      </c>
      <c r="V9">
        <v>0.99009320909999998</v>
      </c>
      <c r="W9">
        <v>0.91483609769999996</v>
      </c>
      <c r="X9">
        <v>0.86787710699999998</v>
      </c>
      <c r="Y9">
        <v>0.81073496089999997</v>
      </c>
      <c r="Z9">
        <v>0.78145245389999995</v>
      </c>
      <c r="AA9">
        <v>0.79643244000000002</v>
      </c>
      <c r="AB9">
        <v>0.78240841729999999</v>
      </c>
      <c r="AC9">
        <f t="shared" si="0"/>
        <v>0.88668027927916693</v>
      </c>
      <c r="AD9">
        <f t="shared" si="1"/>
        <v>0.83930603395000003</v>
      </c>
    </row>
    <row r="10" spans="1:30" x14ac:dyDescent="0.25">
      <c r="A10" t="s">
        <v>112</v>
      </c>
      <c r="B10" t="s">
        <v>116</v>
      </c>
      <c r="C10">
        <v>115</v>
      </c>
      <c r="D10" t="s">
        <v>4</v>
      </c>
      <c r="E10">
        <v>4.2758310000000001E-2</v>
      </c>
      <c r="F10">
        <v>3.9532803999999998E-2</v>
      </c>
      <c r="G10">
        <v>3.8177613999999999E-2</v>
      </c>
      <c r="H10">
        <v>3.5890204000000002E-2</v>
      </c>
      <c r="I10">
        <v>3.6589084000000001E-2</v>
      </c>
      <c r="J10">
        <v>3.979572E-2</v>
      </c>
      <c r="K10">
        <v>4.1534429999999997E-2</v>
      </c>
      <c r="L10">
        <v>4.5598619999999999E-2</v>
      </c>
      <c r="M10">
        <v>4.9016715000000002E-2</v>
      </c>
      <c r="N10">
        <v>5.3263860000000003E-2</v>
      </c>
      <c r="O10">
        <v>5.5965254999999998E-2</v>
      </c>
      <c r="P10">
        <v>5.895243E-2</v>
      </c>
      <c r="Q10">
        <v>6.0548804999999997E-2</v>
      </c>
      <c r="R10">
        <v>5.9957129999999997E-2</v>
      </c>
      <c r="S10">
        <v>6.0741240000000002E-2</v>
      </c>
      <c r="T10">
        <v>6.0992879999999999E-2</v>
      </c>
      <c r="U10">
        <v>5.8528289999999997E-2</v>
      </c>
      <c r="V10">
        <v>5.5733234999999999E-2</v>
      </c>
      <c r="W10">
        <v>5.9305200000000002E-2</v>
      </c>
      <c r="X10">
        <v>6.2108400000000001E-2</v>
      </c>
      <c r="Y10">
        <v>6.0490200000000001E-2</v>
      </c>
      <c r="Z10">
        <v>5.6189309999999999E-2</v>
      </c>
      <c r="AA10">
        <v>5.2565849999999997E-2</v>
      </c>
      <c r="AB10">
        <v>4.745808E-2</v>
      </c>
      <c r="AC10">
        <f t="shared" si="0"/>
        <v>5.1320569416666677E-2</v>
      </c>
      <c r="AD10">
        <f t="shared" si="1"/>
        <v>5.4498547500000001E-2</v>
      </c>
    </row>
    <row r="11" spans="1:30" x14ac:dyDescent="0.25">
      <c r="A11" t="s">
        <v>112</v>
      </c>
      <c r="B11" t="s">
        <v>117</v>
      </c>
      <c r="C11">
        <v>115</v>
      </c>
      <c r="D11" t="s">
        <v>2</v>
      </c>
      <c r="E11">
        <v>18.695903805</v>
      </c>
      <c r="F11">
        <v>18.069102010000002</v>
      </c>
      <c r="G11">
        <v>18.019670444999999</v>
      </c>
      <c r="H11">
        <v>17.151316115</v>
      </c>
      <c r="I11">
        <v>17.596100745000001</v>
      </c>
      <c r="J11">
        <v>17.748176865000001</v>
      </c>
      <c r="K11">
        <v>19.912157180000001</v>
      </c>
      <c r="L11">
        <v>24.790403170000001</v>
      </c>
      <c r="M11">
        <v>29.059127220000001</v>
      </c>
      <c r="N11">
        <v>31.959114970000002</v>
      </c>
      <c r="O11">
        <v>33.419824660000003</v>
      </c>
      <c r="P11">
        <v>34.888170070000001</v>
      </c>
      <c r="Q11">
        <v>34.721676504999998</v>
      </c>
      <c r="R11">
        <v>34.860238424999999</v>
      </c>
      <c r="S11">
        <v>36.676201169999999</v>
      </c>
      <c r="T11">
        <v>36.828144315000003</v>
      </c>
      <c r="U11">
        <v>36.024753689999997</v>
      </c>
      <c r="V11">
        <v>32.091162099999998</v>
      </c>
      <c r="W11">
        <v>29.578840799999998</v>
      </c>
      <c r="X11">
        <v>27.323899999999998</v>
      </c>
      <c r="Y11">
        <v>25.731450500000001</v>
      </c>
      <c r="Z11">
        <v>23.215388170000001</v>
      </c>
      <c r="AA11">
        <v>21.680913799999999</v>
      </c>
      <c r="AB11">
        <v>20.260902340000001</v>
      </c>
      <c r="AC11">
        <f t="shared" si="0"/>
        <v>26.679276627916668</v>
      </c>
      <c r="AD11">
        <f t="shared" si="1"/>
        <v>26.527675250000001</v>
      </c>
    </row>
    <row r="12" spans="1:30" x14ac:dyDescent="0.25">
      <c r="A12" t="s">
        <v>112</v>
      </c>
      <c r="B12" t="s">
        <v>117</v>
      </c>
      <c r="C12">
        <v>115</v>
      </c>
      <c r="D12" t="s">
        <v>3</v>
      </c>
      <c r="E12">
        <v>8.4854028370000005</v>
      </c>
      <c r="F12">
        <v>8.6794902214</v>
      </c>
      <c r="G12">
        <v>8.6557457771999999</v>
      </c>
      <c r="H12">
        <v>7.9437406916000004</v>
      </c>
      <c r="I12">
        <v>8.3469609198000008</v>
      </c>
      <c r="J12">
        <v>7.9513537528000002</v>
      </c>
      <c r="K12">
        <v>6.9732026318999996</v>
      </c>
      <c r="L12">
        <v>5.1367531214</v>
      </c>
      <c r="M12">
        <v>6.4978285813000003</v>
      </c>
      <c r="N12">
        <v>7.3137658639999996</v>
      </c>
      <c r="O12">
        <v>7.9275091380999996</v>
      </c>
      <c r="P12">
        <v>8.5124819965</v>
      </c>
      <c r="Q12">
        <v>10.822383547899999</v>
      </c>
      <c r="R12">
        <v>10.8398432961</v>
      </c>
      <c r="S12">
        <v>13.103795850399999</v>
      </c>
      <c r="T12">
        <v>12.796815782299999</v>
      </c>
      <c r="U12">
        <v>13.051325326600001</v>
      </c>
      <c r="V12">
        <v>13.8923259447</v>
      </c>
      <c r="W12">
        <v>13.699627462900001</v>
      </c>
      <c r="X12">
        <v>12.6631324014</v>
      </c>
      <c r="Y12">
        <v>12.0807578178</v>
      </c>
      <c r="Z12">
        <v>10.939448889199999</v>
      </c>
      <c r="AA12">
        <v>8.9924406573999995</v>
      </c>
      <c r="AB12">
        <v>7.9884874373999999</v>
      </c>
      <c r="AC12">
        <f t="shared" si="0"/>
        <v>9.7206091644625001</v>
      </c>
      <c r="AD12">
        <f t="shared" si="1"/>
        <v>8.6676179992999991</v>
      </c>
    </row>
    <row r="13" spans="1:30" x14ac:dyDescent="0.25">
      <c r="A13" t="s">
        <v>112</v>
      </c>
      <c r="B13" t="s">
        <v>117</v>
      </c>
      <c r="C13">
        <v>115</v>
      </c>
      <c r="D13" t="s">
        <v>4</v>
      </c>
      <c r="E13">
        <v>0.28470919500000003</v>
      </c>
      <c r="F13">
        <v>0.27516399000000002</v>
      </c>
      <c r="G13">
        <v>0.27441122499999998</v>
      </c>
      <c r="H13">
        <v>0.26118755500000002</v>
      </c>
      <c r="I13">
        <v>0.26796092500000002</v>
      </c>
      <c r="J13">
        <v>0.27027680500000001</v>
      </c>
      <c r="K13">
        <v>0.30323082000000001</v>
      </c>
      <c r="L13">
        <v>0.37751883000000003</v>
      </c>
      <c r="M13">
        <v>0.44252478000000001</v>
      </c>
      <c r="N13">
        <v>0.48668703000000002</v>
      </c>
      <c r="O13">
        <v>0.50893133999999995</v>
      </c>
      <c r="P13">
        <v>0.53129192999999997</v>
      </c>
      <c r="Q13">
        <v>0.52875649499999999</v>
      </c>
      <c r="R13">
        <v>0.53086657500000001</v>
      </c>
      <c r="S13">
        <v>0.55852082999999997</v>
      </c>
      <c r="T13">
        <v>0.560834685</v>
      </c>
      <c r="U13">
        <v>0.54860030999999998</v>
      </c>
      <c r="V13">
        <v>0.48869790000000002</v>
      </c>
      <c r="W13">
        <v>0.45043919999999998</v>
      </c>
      <c r="X13">
        <v>0.41610000000000003</v>
      </c>
      <c r="Y13">
        <v>0.39184950000000002</v>
      </c>
      <c r="Z13">
        <v>0.35353382999999999</v>
      </c>
      <c r="AA13">
        <v>0.33016620000000002</v>
      </c>
      <c r="AB13">
        <v>0.30854166</v>
      </c>
      <c r="AC13">
        <f t="shared" si="0"/>
        <v>0.40628340041666661</v>
      </c>
      <c r="AD13">
        <f t="shared" si="1"/>
        <v>0.40397475000000005</v>
      </c>
    </row>
    <row r="14" spans="1:30" x14ac:dyDescent="0.25">
      <c r="A14" t="s">
        <v>112</v>
      </c>
      <c r="B14" t="s">
        <v>118</v>
      </c>
      <c r="C14">
        <v>115</v>
      </c>
      <c r="D14" t="s">
        <v>2</v>
      </c>
      <c r="E14">
        <v>19.54089492</v>
      </c>
      <c r="F14">
        <v>18.800792515000001</v>
      </c>
      <c r="G14">
        <v>18.204956689999999</v>
      </c>
      <c r="H14">
        <v>17.162985275</v>
      </c>
      <c r="I14">
        <v>17.761418084999999</v>
      </c>
      <c r="J14">
        <v>18.881770875000001</v>
      </c>
      <c r="K14">
        <v>22.419068859999999</v>
      </c>
      <c r="L14">
        <v>29.045241675</v>
      </c>
      <c r="M14">
        <v>35.436957075000002</v>
      </c>
      <c r="N14">
        <v>40.208598485000003</v>
      </c>
      <c r="O14">
        <v>43.061252060000001</v>
      </c>
      <c r="P14">
        <v>45.132020515000001</v>
      </c>
      <c r="Q14">
        <v>44.799081485000002</v>
      </c>
      <c r="R14">
        <v>44.745084769999998</v>
      </c>
      <c r="S14">
        <v>46.32009386</v>
      </c>
      <c r="T14">
        <v>46.511989589999999</v>
      </c>
      <c r="U14">
        <v>44.177692264999997</v>
      </c>
      <c r="V14">
        <v>38.902486349999997</v>
      </c>
      <c r="W14">
        <v>35.411774399999999</v>
      </c>
      <c r="X14">
        <v>32.690889200000001</v>
      </c>
      <c r="Y14">
        <v>29.067212099999999</v>
      </c>
      <c r="Z14">
        <v>25.191165195</v>
      </c>
      <c r="AA14">
        <v>22.887686550000002</v>
      </c>
      <c r="AB14">
        <v>21.3137452</v>
      </c>
      <c r="AC14">
        <f t="shared" si="0"/>
        <v>31.569785749791667</v>
      </c>
      <c r="AD14">
        <f t="shared" si="1"/>
        <v>30.87905065</v>
      </c>
    </row>
    <row r="15" spans="1:30" x14ac:dyDescent="0.25">
      <c r="A15" t="s">
        <v>112</v>
      </c>
      <c r="B15" t="s">
        <v>118</v>
      </c>
      <c r="C15">
        <v>115</v>
      </c>
      <c r="D15" t="s">
        <v>3</v>
      </c>
      <c r="E15">
        <v>6.2335667964999999</v>
      </c>
      <c r="F15">
        <v>5.6989370435</v>
      </c>
      <c r="G15">
        <v>5.5593261587000002</v>
      </c>
      <c r="H15">
        <v>5.2923454953000002</v>
      </c>
      <c r="I15">
        <v>5.3570883080999998</v>
      </c>
      <c r="J15">
        <v>5.3518345939999996</v>
      </c>
      <c r="K15">
        <v>6.2471563582999998</v>
      </c>
      <c r="L15">
        <v>8.0233603893000005</v>
      </c>
      <c r="M15">
        <v>10.0161152643</v>
      </c>
      <c r="N15">
        <v>11.4126149091</v>
      </c>
      <c r="O15">
        <v>12.542836057400001</v>
      </c>
      <c r="P15">
        <v>13.4066538925</v>
      </c>
      <c r="Q15">
        <v>14.0622543498</v>
      </c>
      <c r="R15">
        <v>14.354671571200001</v>
      </c>
      <c r="S15">
        <v>13.970778237699999</v>
      </c>
      <c r="T15">
        <v>14.046220890200001</v>
      </c>
      <c r="U15">
        <v>13.2744578335</v>
      </c>
      <c r="V15">
        <v>11.879820078</v>
      </c>
      <c r="W15">
        <v>10.519214466399999</v>
      </c>
      <c r="X15">
        <v>9.4713380036999997</v>
      </c>
      <c r="Y15">
        <v>8.3874523848999996</v>
      </c>
      <c r="Z15">
        <v>7.3278788841000004</v>
      </c>
      <c r="AA15">
        <v>6.8599037914999998</v>
      </c>
      <c r="AB15">
        <v>6.4123990136</v>
      </c>
      <c r="AC15">
        <f t="shared" si="0"/>
        <v>9.4045093654833334</v>
      </c>
      <c r="AD15">
        <f t="shared" si="1"/>
        <v>8.9293951942999996</v>
      </c>
    </row>
    <row r="16" spans="1:30" x14ac:dyDescent="0.25">
      <c r="A16" t="s">
        <v>112</v>
      </c>
      <c r="B16" t="s">
        <v>118</v>
      </c>
      <c r="C16">
        <v>115</v>
      </c>
      <c r="D16" t="s">
        <v>4</v>
      </c>
      <c r="E16">
        <v>0.29757707999999999</v>
      </c>
      <c r="F16">
        <v>0.286306485</v>
      </c>
      <c r="G16">
        <v>0.2772328429</v>
      </c>
      <c r="H16">
        <v>0.26136525789999998</v>
      </c>
      <c r="I16">
        <v>0.27047844789999997</v>
      </c>
      <c r="J16">
        <v>0.28753965790000002</v>
      </c>
      <c r="K16">
        <v>0.34140714</v>
      </c>
      <c r="L16">
        <v>0.44231332499999998</v>
      </c>
      <c r="M16">
        <v>0.53964909250000004</v>
      </c>
      <c r="N16">
        <v>0.61231368249999996</v>
      </c>
      <c r="O16">
        <v>0.65575510749999999</v>
      </c>
      <c r="P16">
        <v>0.68728965249999996</v>
      </c>
      <c r="Q16">
        <v>0.682219515</v>
      </c>
      <c r="R16">
        <v>0.68139722999999996</v>
      </c>
      <c r="S16">
        <v>0.70538213999999999</v>
      </c>
      <c r="T16">
        <v>0.70830441</v>
      </c>
      <c r="U16">
        <v>0.67275673499999999</v>
      </c>
      <c r="V16">
        <v>0.59242364999999997</v>
      </c>
      <c r="W16">
        <v>0.53926560000000001</v>
      </c>
      <c r="X16">
        <v>0.49783080000000002</v>
      </c>
      <c r="Y16">
        <v>0.44264789999999998</v>
      </c>
      <c r="Z16">
        <v>0.38362180499999998</v>
      </c>
      <c r="AA16">
        <v>0.34854344999999998</v>
      </c>
      <c r="AB16">
        <v>0.3245748</v>
      </c>
      <c r="AC16">
        <f t="shared" si="0"/>
        <v>0.48075815860833343</v>
      </c>
      <c r="AD16">
        <f t="shared" si="1"/>
        <v>0.47023935</v>
      </c>
    </row>
    <row r="17" spans="1:30" x14ac:dyDescent="0.25">
      <c r="A17" t="s">
        <v>112</v>
      </c>
      <c r="B17" t="s">
        <v>121</v>
      </c>
      <c r="C17">
        <v>115</v>
      </c>
      <c r="D17" t="s">
        <v>2</v>
      </c>
      <c r="E17">
        <v>26.009056990000001</v>
      </c>
      <c r="F17">
        <v>25.938435445</v>
      </c>
      <c r="G17">
        <v>25.568126665000001</v>
      </c>
      <c r="H17">
        <v>24.232892185000001</v>
      </c>
      <c r="I17">
        <v>25.121752245</v>
      </c>
      <c r="J17">
        <v>25.99037745</v>
      </c>
      <c r="K17">
        <v>27.092448640000001</v>
      </c>
      <c r="L17">
        <v>29.093893779999998</v>
      </c>
      <c r="M17">
        <v>29.95657057</v>
      </c>
      <c r="N17">
        <v>30.86780195</v>
      </c>
      <c r="O17">
        <v>30.766561679999999</v>
      </c>
      <c r="P17">
        <v>31.696639064999999</v>
      </c>
      <c r="Q17">
        <v>31.730692484999999</v>
      </c>
      <c r="R17">
        <v>31.994112019999999</v>
      </c>
      <c r="S17">
        <v>32.895844060000002</v>
      </c>
      <c r="T17">
        <v>33.032125704999999</v>
      </c>
      <c r="U17">
        <v>32.731300795000003</v>
      </c>
      <c r="V17">
        <v>32.514752485000002</v>
      </c>
      <c r="W17">
        <v>33.864378799999997</v>
      </c>
      <c r="X17">
        <v>34.180760800000002</v>
      </c>
      <c r="Y17">
        <v>33.149130900000003</v>
      </c>
      <c r="Z17">
        <v>30.170125465000002</v>
      </c>
      <c r="AA17">
        <v>28.206591005</v>
      </c>
      <c r="AB17">
        <v>27.550783915</v>
      </c>
      <c r="AC17">
        <f t="shared" si="0"/>
        <v>29.764798129166667</v>
      </c>
      <c r="AD17">
        <f t="shared" si="1"/>
        <v>30.4683435725</v>
      </c>
    </row>
    <row r="18" spans="1:30" x14ac:dyDescent="0.25">
      <c r="A18" t="s">
        <v>112</v>
      </c>
      <c r="B18" t="s">
        <v>121</v>
      </c>
      <c r="C18">
        <v>115</v>
      </c>
      <c r="D18" t="s">
        <v>3</v>
      </c>
      <c r="E18">
        <v>9.8148831499</v>
      </c>
      <c r="F18">
        <v>9.8133916335000002</v>
      </c>
      <c r="G18">
        <v>9.8212665428000001</v>
      </c>
      <c r="H18">
        <v>9.1994072851999995</v>
      </c>
      <c r="I18">
        <v>9.3903642605000002</v>
      </c>
      <c r="J18">
        <v>9.4848843188000007</v>
      </c>
      <c r="K18">
        <v>10.544957266999999</v>
      </c>
      <c r="L18">
        <v>11.888315091200001</v>
      </c>
      <c r="M18">
        <v>12.452352730499999</v>
      </c>
      <c r="N18">
        <v>13.205397293600001</v>
      </c>
      <c r="O18">
        <v>13.2636688855</v>
      </c>
      <c r="P18">
        <v>13.6361319772</v>
      </c>
      <c r="Q18">
        <v>13.6793120728</v>
      </c>
      <c r="R18">
        <v>13.9552935189</v>
      </c>
      <c r="S18">
        <v>14.3094124263</v>
      </c>
      <c r="T18">
        <v>14.2897962039</v>
      </c>
      <c r="U18">
        <v>14.0124541343</v>
      </c>
      <c r="V18">
        <v>13.5851813985</v>
      </c>
      <c r="W18">
        <v>13.105350427799999</v>
      </c>
      <c r="X18">
        <v>12.7320146725</v>
      </c>
      <c r="Y18">
        <v>12.26103387</v>
      </c>
      <c r="Z18">
        <v>11.069965103299999</v>
      </c>
      <c r="AA18">
        <v>10.5342748799</v>
      </c>
      <c r="AB18">
        <v>10.5475434115</v>
      </c>
      <c r="AC18">
        <f t="shared" si="0"/>
        <v>11.941527189808331</v>
      </c>
      <c r="AD18">
        <f t="shared" si="1"/>
        <v>12.356693300250001</v>
      </c>
    </row>
    <row r="19" spans="1:30" x14ac:dyDescent="0.25">
      <c r="A19" t="s">
        <v>112</v>
      </c>
      <c r="B19" t="s">
        <v>121</v>
      </c>
      <c r="C19">
        <v>115</v>
      </c>
      <c r="D19" t="s">
        <v>4</v>
      </c>
      <c r="E19">
        <v>0.39607701000000001</v>
      </c>
      <c r="F19">
        <v>0.395001555</v>
      </c>
      <c r="G19">
        <v>0.389362335</v>
      </c>
      <c r="H19">
        <v>0.36902881500000001</v>
      </c>
      <c r="I19">
        <v>0.38256475499999998</v>
      </c>
      <c r="J19">
        <v>0.39579255000000002</v>
      </c>
      <c r="K19">
        <v>0.41257536</v>
      </c>
      <c r="L19">
        <v>0.44305422</v>
      </c>
      <c r="M19">
        <v>0.45619143000000001</v>
      </c>
      <c r="N19">
        <v>0.47006805000000002</v>
      </c>
      <c r="O19">
        <v>0.46852632</v>
      </c>
      <c r="P19">
        <v>0.48268993500000001</v>
      </c>
      <c r="Q19">
        <v>0.48320851500000001</v>
      </c>
      <c r="R19">
        <v>0.48721998</v>
      </c>
      <c r="S19">
        <v>0.50095193999999998</v>
      </c>
      <c r="T19">
        <v>0.50302729499999999</v>
      </c>
      <c r="U19">
        <v>0.49844620499999998</v>
      </c>
      <c r="V19">
        <v>0.49514851500000001</v>
      </c>
      <c r="W19">
        <v>0.51570119999999997</v>
      </c>
      <c r="X19">
        <v>0.52051919999999996</v>
      </c>
      <c r="Y19">
        <v>0.50480910000000001</v>
      </c>
      <c r="Z19">
        <v>0.45944353500000001</v>
      </c>
      <c r="AA19">
        <v>0.42954199500000001</v>
      </c>
      <c r="AB19">
        <v>0.41955508499999999</v>
      </c>
      <c r="AC19">
        <f t="shared" si="0"/>
        <v>0.45327103749999997</v>
      </c>
      <c r="AD19">
        <f t="shared" si="1"/>
        <v>0.46398492749999998</v>
      </c>
    </row>
    <row r="20" spans="1:30" x14ac:dyDescent="0.25">
      <c r="A20" t="s">
        <v>112</v>
      </c>
      <c r="B20" t="s">
        <v>122</v>
      </c>
      <c r="C20">
        <v>115</v>
      </c>
      <c r="D20" t="s">
        <v>2</v>
      </c>
      <c r="E20">
        <v>31.730745675000001</v>
      </c>
      <c r="F20">
        <v>30.321261894999999</v>
      </c>
      <c r="G20">
        <v>29.483805045</v>
      </c>
      <c r="H20">
        <v>27.811850284999998</v>
      </c>
      <c r="I20">
        <v>29.221132140000002</v>
      </c>
      <c r="J20">
        <v>29.63872486</v>
      </c>
      <c r="K20">
        <v>29.90498809</v>
      </c>
      <c r="L20">
        <v>32.083779524999997</v>
      </c>
      <c r="M20">
        <v>33.511250390000001</v>
      </c>
      <c r="N20">
        <v>35.980605990000001</v>
      </c>
      <c r="O20">
        <v>37.230362169999999</v>
      </c>
      <c r="P20">
        <v>39.403597220000002</v>
      </c>
      <c r="Q20">
        <v>40.488722469999999</v>
      </c>
      <c r="R20">
        <v>41.017324690000002</v>
      </c>
      <c r="S20">
        <v>40.873193579999999</v>
      </c>
      <c r="T20">
        <v>41.042523944999999</v>
      </c>
      <c r="U20">
        <v>40.716877035000003</v>
      </c>
      <c r="V20">
        <v>40.834055589999998</v>
      </c>
      <c r="W20">
        <v>45.173597200000003</v>
      </c>
      <c r="X20">
        <v>48.360426799999999</v>
      </c>
      <c r="Y20">
        <v>47.161524200000002</v>
      </c>
      <c r="Z20">
        <v>43.017619349999997</v>
      </c>
      <c r="AA20">
        <v>39.6959728</v>
      </c>
      <c r="AB20">
        <v>35.316551494999999</v>
      </c>
      <c r="AC20">
        <f t="shared" si="0"/>
        <v>37.084187185000012</v>
      </c>
      <c r="AD20">
        <f t="shared" si="1"/>
        <v>38.316979695000001</v>
      </c>
    </row>
    <row r="21" spans="1:30" x14ac:dyDescent="0.25">
      <c r="A21" t="s">
        <v>112</v>
      </c>
      <c r="B21" t="s">
        <v>122</v>
      </c>
      <c r="C21">
        <v>115</v>
      </c>
      <c r="D21" t="s">
        <v>3</v>
      </c>
      <c r="E21">
        <v>7.5123098750999997</v>
      </c>
      <c r="F21">
        <v>7.3438076417999998</v>
      </c>
      <c r="G21">
        <v>7.3116626962</v>
      </c>
      <c r="H21">
        <v>6.9824568631000004</v>
      </c>
      <c r="I21">
        <v>7.0642041918</v>
      </c>
      <c r="J21">
        <v>6.7547371479000002</v>
      </c>
      <c r="K21">
        <v>6.7585878090999998</v>
      </c>
      <c r="L21">
        <v>7.0340464338000004</v>
      </c>
      <c r="M21">
        <v>7.3960651059</v>
      </c>
      <c r="N21">
        <v>8.1659395301999993</v>
      </c>
      <c r="O21">
        <v>8.2890805073999996</v>
      </c>
      <c r="P21">
        <v>8.4833603294</v>
      </c>
      <c r="Q21">
        <v>9.0535677859000003</v>
      </c>
      <c r="R21">
        <v>9.1322213036999997</v>
      </c>
      <c r="S21">
        <v>9.1395382744999996</v>
      </c>
      <c r="T21">
        <v>9.1576350801000004</v>
      </c>
      <c r="U21">
        <v>9.2408548042999996</v>
      </c>
      <c r="V21">
        <v>9.1111204668999992</v>
      </c>
      <c r="W21">
        <v>9.1017369378000001</v>
      </c>
      <c r="X21">
        <v>9.3017939435999999</v>
      </c>
      <c r="Y21">
        <v>8.9408929632999996</v>
      </c>
      <c r="Z21">
        <v>8.3212572907000002</v>
      </c>
      <c r="AA21">
        <v>8.0189752719000005</v>
      </c>
      <c r="AB21">
        <v>7.6384886848000004</v>
      </c>
      <c r="AC21">
        <f t="shared" si="0"/>
        <v>8.1355975391333342</v>
      </c>
      <c r="AD21">
        <f t="shared" si="1"/>
        <v>8.2275100188000003</v>
      </c>
    </row>
    <row r="22" spans="1:30" x14ac:dyDescent="0.25">
      <c r="A22" t="s">
        <v>112</v>
      </c>
      <c r="B22" t="s">
        <v>122</v>
      </c>
      <c r="C22">
        <v>115</v>
      </c>
      <c r="D22" t="s">
        <v>4</v>
      </c>
      <c r="E22">
        <v>0.48320932500000002</v>
      </c>
      <c r="F22">
        <v>0.46174510499999999</v>
      </c>
      <c r="G22">
        <v>0.448991955</v>
      </c>
      <c r="H22">
        <v>0.423530715</v>
      </c>
      <c r="I22">
        <v>0.44499186000000002</v>
      </c>
      <c r="J22">
        <v>0.45135113999999998</v>
      </c>
      <c r="K22">
        <v>0.45540591000000002</v>
      </c>
      <c r="L22">
        <v>0.48858547499999999</v>
      </c>
      <c r="M22">
        <v>0.51032361000000004</v>
      </c>
      <c r="N22">
        <v>0.54792801000000002</v>
      </c>
      <c r="O22">
        <v>0.56695983000000005</v>
      </c>
      <c r="P22">
        <v>0.60005478000000001</v>
      </c>
      <c r="Q22">
        <v>0.61657952999999999</v>
      </c>
      <c r="R22">
        <v>0.62462930999999999</v>
      </c>
      <c r="S22">
        <v>0.62243442000000004</v>
      </c>
      <c r="T22">
        <v>0.62501305500000004</v>
      </c>
      <c r="U22">
        <v>0.62005396499999998</v>
      </c>
      <c r="V22">
        <v>0.62183840999999995</v>
      </c>
      <c r="W22">
        <v>0.68792279999999995</v>
      </c>
      <c r="X22">
        <v>0.73645320000000003</v>
      </c>
      <c r="Y22">
        <v>0.71819580000000005</v>
      </c>
      <c r="Z22">
        <v>0.65509065</v>
      </c>
      <c r="AA22">
        <v>0.60450720000000002</v>
      </c>
      <c r="AB22">
        <v>0.53781550499999997</v>
      </c>
      <c r="AC22">
        <f t="shared" si="0"/>
        <v>0.56473381499999997</v>
      </c>
      <c r="AD22">
        <f t="shared" si="1"/>
        <v>0.58350730500000003</v>
      </c>
    </row>
    <row r="23" spans="1:30" x14ac:dyDescent="0.25">
      <c r="A23" t="s">
        <v>112</v>
      </c>
      <c r="B23" t="s">
        <v>123</v>
      </c>
      <c r="C23">
        <v>115</v>
      </c>
      <c r="D23" t="s">
        <v>2</v>
      </c>
      <c r="E23">
        <v>8.2604523099999998</v>
      </c>
      <c r="F23">
        <v>7.792505405</v>
      </c>
      <c r="G23">
        <v>7.5488558049999996</v>
      </c>
      <c r="H23">
        <v>7.1579171849999996</v>
      </c>
      <c r="I23">
        <v>7.6419678549999999</v>
      </c>
      <c r="J23">
        <v>8.2552524950000006</v>
      </c>
      <c r="K23">
        <v>8.6426579199999995</v>
      </c>
      <c r="L23">
        <v>9.5313682600000007</v>
      </c>
      <c r="M23">
        <v>10.313081990000001</v>
      </c>
      <c r="N23">
        <v>11.846207894999999</v>
      </c>
      <c r="O23">
        <v>13.000989390000001</v>
      </c>
      <c r="P23">
        <v>14.007278195</v>
      </c>
      <c r="Q23">
        <v>14.548955305</v>
      </c>
      <c r="R23">
        <v>14.408419445</v>
      </c>
      <c r="S23">
        <v>14.11660039</v>
      </c>
      <c r="T23">
        <v>14.175082795</v>
      </c>
      <c r="U23">
        <v>14.05844008</v>
      </c>
      <c r="V23">
        <v>14.1930817</v>
      </c>
      <c r="W23">
        <v>15.537232400000001</v>
      </c>
      <c r="X23">
        <v>16.003176799999999</v>
      </c>
      <c r="Y23">
        <v>14.8353608</v>
      </c>
      <c r="Z23">
        <v>12.6449769</v>
      </c>
      <c r="AA23">
        <v>10.7971957</v>
      </c>
      <c r="AB23">
        <v>9.3913554349999995</v>
      </c>
      <c r="AC23">
        <f t="shared" si="0"/>
        <v>11.61285051895833</v>
      </c>
      <c r="AD23">
        <f t="shared" si="1"/>
        <v>12.245592397499999</v>
      </c>
    </row>
    <row r="24" spans="1:30" x14ac:dyDescent="0.25">
      <c r="A24" t="s">
        <v>112</v>
      </c>
      <c r="B24" t="s">
        <v>123</v>
      </c>
      <c r="C24">
        <v>115</v>
      </c>
      <c r="D24" t="s">
        <v>3</v>
      </c>
      <c r="E24">
        <v>3.8971875551999999</v>
      </c>
      <c r="F24">
        <v>3.5730318646999999</v>
      </c>
      <c r="G24">
        <v>3.4591209876</v>
      </c>
      <c r="H24">
        <v>3.2779013521000002</v>
      </c>
      <c r="I24">
        <v>3.6599500851000002</v>
      </c>
      <c r="J24">
        <v>3.4441436255000002</v>
      </c>
      <c r="K24">
        <v>3.4726101721</v>
      </c>
      <c r="L24">
        <v>3.8445223995000002</v>
      </c>
      <c r="M24">
        <v>4.1790378504000003</v>
      </c>
      <c r="N24">
        <v>4.7376206651999997</v>
      </c>
      <c r="O24">
        <v>5.0849892558000001</v>
      </c>
      <c r="P24">
        <v>5.2813097062000001</v>
      </c>
      <c r="Q24">
        <v>5.6118169207999999</v>
      </c>
      <c r="R24">
        <v>5.6536930661999998</v>
      </c>
      <c r="S24">
        <v>5.6235387897000004</v>
      </c>
      <c r="T24">
        <v>5.5531738557999999</v>
      </c>
      <c r="U24">
        <v>5.4001487481000003</v>
      </c>
      <c r="V24">
        <v>5.3926202247999999</v>
      </c>
      <c r="W24">
        <v>5.3775319672000004</v>
      </c>
      <c r="X24">
        <v>5.2429338545000004</v>
      </c>
      <c r="Y24">
        <v>4.8814096770999997</v>
      </c>
      <c r="Z24">
        <v>4.3591641111000001</v>
      </c>
      <c r="AA24">
        <v>4.0779662417000004</v>
      </c>
      <c r="AB24">
        <v>4.0402315808000004</v>
      </c>
      <c r="AC24">
        <f t="shared" si="0"/>
        <v>4.5469022732166655</v>
      </c>
      <c r="AD24">
        <f t="shared" si="1"/>
        <v>4.5483923881499999</v>
      </c>
    </row>
    <row r="25" spans="1:30" x14ac:dyDescent="0.25">
      <c r="A25" t="s">
        <v>112</v>
      </c>
      <c r="B25" t="s">
        <v>123</v>
      </c>
      <c r="C25">
        <v>115</v>
      </c>
      <c r="D25" t="s">
        <v>4</v>
      </c>
      <c r="E25">
        <v>0.12579369000000001</v>
      </c>
      <c r="F25">
        <v>0.118667595</v>
      </c>
      <c r="G25">
        <v>0.114957195</v>
      </c>
      <c r="H25">
        <v>0.109003815</v>
      </c>
      <c r="I25">
        <v>0.116375145</v>
      </c>
      <c r="J25">
        <v>0.125714505</v>
      </c>
      <c r="K25">
        <v>0.13161407999999999</v>
      </c>
      <c r="L25">
        <v>0.14514774</v>
      </c>
      <c r="M25">
        <v>0.15705200999999999</v>
      </c>
      <c r="N25">
        <v>0.180399105</v>
      </c>
      <c r="O25">
        <v>0.19798461000000001</v>
      </c>
      <c r="P25">
        <v>0.21330880499999999</v>
      </c>
      <c r="Q25">
        <v>0.221557695</v>
      </c>
      <c r="R25">
        <v>0.21941755499999999</v>
      </c>
      <c r="S25">
        <v>0.21497361000000001</v>
      </c>
      <c r="T25">
        <v>0.215864205</v>
      </c>
      <c r="U25">
        <v>0.21408791999999999</v>
      </c>
      <c r="V25">
        <v>0.21613830000000001</v>
      </c>
      <c r="W25">
        <v>0.2366076</v>
      </c>
      <c r="X25">
        <v>0.24370320000000001</v>
      </c>
      <c r="Y25">
        <v>0.22591919999999999</v>
      </c>
      <c r="Z25">
        <v>0.19256309999999999</v>
      </c>
      <c r="AA25">
        <v>0.1644243</v>
      </c>
      <c r="AB25">
        <v>0.14301556500000001</v>
      </c>
      <c r="AC25">
        <f t="shared" si="0"/>
        <v>0.176845439375</v>
      </c>
      <c r="AD25">
        <f t="shared" si="1"/>
        <v>0.1864811025</v>
      </c>
    </row>
    <row r="26" spans="1:30" x14ac:dyDescent="0.25">
      <c r="A26" t="s">
        <v>112</v>
      </c>
      <c r="B26" t="s">
        <v>124</v>
      </c>
      <c r="C26">
        <v>115</v>
      </c>
      <c r="D26" t="s">
        <v>2</v>
      </c>
      <c r="E26">
        <v>35.917810269999997</v>
      </c>
      <c r="F26">
        <v>34.161906074999997</v>
      </c>
      <c r="G26">
        <v>32.829513319999997</v>
      </c>
      <c r="H26">
        <v>30.754556645000001</v>
      </c>
      <c r="I26">
        <v>31.310420709999999</v>
      </c>
      <c r="J26">
        <v>32.230109155000001</v>
      </c>
      <c r="K26">
        <v>33.92842744</v>
      </c>
      <c r="L26">
        <v>37.17897078</v>
      </c>
      <c r="M26">
        <v>40.284694494999997</v>
      </c>
      <c r="N26">
        <v>43.903541154999999</v>
      </c>
      <c r="O26">
        <v>46.358715709999998</v>
      </c>
      <c r="P26">
        <v>48.718141369999998</v>
      </c>
      <c r="Q26">
        <v>50.739258929999998</v>
      </c>
      <c r="R26">
        <v>51.267168695000002</v>
      </c>
      <c r="S26">
        <v>52.34293152</v>
      </c>
      <c r="T26">
        <v>52.559778285</v>
      </c>
      <c r="U26">
        <v>51.469910259999999</v>
      </c>
      <c r="V26">
        <v>51.011506034999996</v>
      </c>
      <c r="W26">
        <v>53.951759600000003</v>
      </c>
      <c r="X26">
        <v>55.660222400000002</v>
      </c>
      <c r="Y26">
        <v>52.576650350000001</v>
      </c>
      <c r="Z26">
        <v>47.255662620000003</v>
      </c>
      <c r="AA26">
        <v>43.507551454999998</v>
      </c>
      <c r="AB26">
        <v>39.607937440000001</v>
      </c>
      <c r="AC26">
        <f t="shared" si="0"/>
        <v>43.730297696458329</v>
      </c>
      <c r="AD26">
        <f t="shared" si="1"/>
        <v>45.131128432499999</v>
      </c>
    </row>
    <row r="27" spans="1:30" x14ac:dyDescent="0.25">
      <c r="A27" t="s">
        <v>112</v>
      </c>
      <c r="B27" t="s">
        <v>124</v>
      </c>
      <c r="C27">
        <v>115</v>
      </c>
      <c r="D27" t="s">
        <v>3</v>
      </c>
      <c r="E27">
        <v>11.5745823052</v>
      </c>
      <c r="F27">
        <v>11.325161977800001</v>
      </c>
      <c r="G27">
        <v>11.136157794200001</v>
      </c>
      <c r="H27">
        <v>10.5386900576</v>
      </c>
      <c r="I27">
        <v>10.456958570799999</v>
      </c>
      <c r="J27">
        <v>9.9384151571999997</v>
      </c>
      <c r="K27">
        <v>10.6872865282</v>
      </c>
      <c r="L27">
        <v>11.6975832153</v>
      </c>
      <c r="M27">
        <v>12.9382725862</v>
      </c>
      <c r="N27">
        <v>14.1479991894</v>
      </c>
      <c r="O27">
        <v>14.7379997891</v>
      </c>
      <c r="P27">
        <v>15.2745541501</v>
      </c>
      <c r="Q27">
        <v>17.1761044398</v>
      </c>
      <c r="R27">
        <v>17.1040564702</v>
      </c>
      <c r="S27">
        <v>17.204289604900001</v>
      </c>
      <c r="T27">
        <v>16.880672599</v>
      </c>
      <c r="U27">
        <v>16.1939275274</v>
      </c>
      <c r="V27">
        <v>15.824389308600001</v>
      </c>
      <c r="W27">
        <v>15.4410999256</v>
      </c>
      <c r="X27">
        <v>15.397879914500001</v>
      </c>
      <c r="Y27">
        <v>14.4810433294</v>
      </c>
      <c r="Z27">
        <v>12.9579594682</v>
      </c>
      <c r="AA27">
        <v>12.503187258800001</v>
      </c>
      <c r="AB27">
        <v>12.065567122699999</v>
      </c>
      <c r="AC27">
        <f t="shared" si="0"/>
        <v>13.653493262091663</v>
      </c>
      <c r="AD27">
        <f t="shared" si="1"/>
        <v>13.552979328799999</v>
      </c>
    </row>
    <row r="28" spans="1:30" x14ac:dyDescent="0.25">
      <c r="A28" t="s">
        <v>112</v>
      </c>
      <c r="B28" t="s">
        <v>124</v>
      </c>
      <c r="C28">
        <v>115</v>
      </c>
      <c r="D28" t="s">
        <v>4</v>
      </c>
      <c r="E28">
        <v>0.54697172999999999</v>
      </c>
      <c r="F28">
        <v>0.52023207220000001</v>
      </c>
      <c r="G28">
        <v>0.49994182720000002</v>
      </c>
      <c r="H28">
        <v>0.46834350219999998</v>
      </c>
      <c r="I28">
        <v>0.47680843719999999</v>
      </c>
      <c r="J28">
        <v>0.49081384500000003</v>
      </c>
      <c r="K28">
        <v>0.51667655999999995</v>
      </c>
      <c r="L28">
        <v>0.56617722000000004</v>
      </c>
      <c r="M28">
        <v>0.61347250499999995</v>
      </c>
      <c r="N28">
        <v>0.66858184499999995</v>
      </c>
      <c r="O28">
        <v>0.70597029</v>
      </c>
      <c r="P28">
        <v>0.74190062999999995</v>
      </c>
      <c r="Q28">
        <v>0.77267907000000002</v>
      </c>
      <c r="R28">
        <v>0.78071830499999995</v>
      </c>
      <c r="S28">
        <v>0.79710048</v>
      </c>
      <c r="T28">
        <v>0.80040271500000004</v>
      </c>
      <c r="U28">
        <v>0.78380574000000003</v>
      </c>
      <c r="V28">
        <v>0.77682496499999998</v>
      </c>
      <c r="W28">
        <v>0.82160040000000001</v>
      </c>
      <c r="X28">
        <v>0.84761759999999997</v>
      </c>
      <c r="Y28">
        <v>0.80065964999999995</v>
      </c>
      <c r="Z28">
        <v>0.71962937999999999</v>
      </c>
      <c r="AA28">
        <v>0.66255154500000002</v>
      </c>
      <c r="AB28">
        <v>0.60316656000000002</v>
      </c>
      <c r="AC28">
        <f t="shared" si="0"/>
        <v>0.6659436197416666</v>
      </c>
      <c r="AD28">
        <f t="shared" si="1"/>
        <v>0.68727606750000003</v>
      </c>
    </row>
    <row r="29" spans="1:30" x14ac:dyDescent="0.25">
      <c r="A29" t="s">
        <v>112</v>
      </c>
      <c r="B29" t="s">
        <v>125</v>
      </c>
      <c r="C29">
        <v>115</v>
      </c>
      <c r="D29" t="s">
        <v>2</v>
      </c>
      <c r="E29">
        <v>17.710712715</v>
      </c>
      <c r="F29">
        <v>16.989858195</v>
      </c>
      <c r="G29">
        <v>16.467303874999999</v>
      </c>
      <c r="H29">
        <v>15.462892480000001</v>
      </c>
      <c r="I29">
        <v>15.945125825</v>
      </c>
      <c r="J29">
        <v>16.510504990000001</v>
      </c>
      <c r="K29">
        <v>17.478750139999999</v>
      </c>
      <c r="L29">
        <v>20.314419359999999</v>
      </c>
      <c r="M29">
        <v>22.937458599999999</v>
      </c>
      <c r="N29">
        <v>25.296646875</v>
      </c>
      <c r="O29">
        <v>26.950378149999999</v>
      </c>
      <c r="P29">
        <v>28.18595427</v>
      </c>
      <c r="Q29">
        <v>28.835229824999999</v>
      </c>
      <c r="R29">
        <v>29.133968504999999</v>
      </c>
      <c r="S29">
        <v>30.61047464</v>
      </c>
      <c r="T29">
        <v>30.737288464999999</v>
      </c>
      <c r="U29">
        <v>29.838322304999998</v>
      </c>
      <c r="V29">
        <v>28.589487099999999</v>
      </c>
      <c r="W29">
        <v>29.958499199999999</v>
      </c>
      <c r="X29">
        <v>29.0553724</v>
      </c>
      <c r="Y29">
        <v>27.2457107</v>
      </c>
      <c r="Z29">
        <v>23.625361914999999</v>
      </c>
      <c r="AA29">
        <v>21.448667544999999</v>
      </c>
      <c r="AB29">
        <v>19.56602621</v>
      </c>
      <c r="AC29">
        <f t="shared" si="0"/>
        <v>23.703933928541673</v>
      </c>
      <c r="AD29">
        <f t="shared" si="1"/>
        <v>24.461004395</v>
      </c>
    </row>
    <row r="30" spans="1:30" x14ac:dyDescent="0.25">
      <c r="A30" t="s">
        <v>112</v>
      </c>
      <c r="B30" t="s">
        <v>125</v>
      </c>
      <c r="C30">
        <v>115</v>
      </c>
      <c r="D30" t="s">
        <v>3</v>
      </c>
      <c r="E30">
        <v>6.0383671406000001</v>
      </c>
      <c r="F30">
        <v>5.9267052171000003</v>
      </c>
      <c r="G30">
        <v>5.9822940680999999</v>
      </c>
      <c r="H30">
        <v>5.4203283486</v>
      </c>
      <c r="I30">
        <v>5.4584315305000004</v>
      </c>
      <c r="J30">
        <v>5.2788302704000003</v>
      </c>
      <c r="K30">
        <v>5.5312562210999996</v>
      </c>
      <c r="L30">
        <v>6.6191796023</v>
      </c>
      <c r="M30">
        <v>7.9230791484000003</v>
      </c>
      <c r="N30">
        <v>8.7119483862999996</v>
      </c>
      <c r="O30">
        <v>9.4196553464000008</v>
      </c>
      <c r="P30">
        <v>9.9470632229000007</v>
      </c>
      <c r="Q30">
        <v>10.5040061186</v>
      </c>
      <c r="R30">
        <v>10.6224682375</v>
      </c>
      <c r="S30">
        <v>11.1608136921</v>
      </c>
      <c r="T30">
        <v>10.669903959199999</v>
      </c>
      <c r="U30">
        <v>10.690709471</v>
      </c>
      <c r="V30">
        <v>10.1953717104</v>
      </c>
      <c r="W30">
        <v>9.4038543141000002</v>
      </c>
      <c r="X30">
        <v>8.7744726117000003</v>
      </c>
      <c r="Y30">
        <v>8.0934513731000006</v>
      </c>
      <c r="Z30">
        <v>7.0450587873000003</v>
      </c>
      <c r="AA30">
        <v>6.4611062864999997</v>
      </c>
      <c r="AB30">
        <v>6.1846498661</v>
      </c>
      <c r="AC30">
        <f t="shared" si="0"/>
        <v>8.0026252054291671</v>
      </c>
      <c r="AD30">
        <f t="shared" si="1"/>
        <v>8.0082652607500009</v>
      </c>
    </row>
    <row r="31" spans="1:30" x14ac:dyDescent="0.25">
      <c r="A31" t="s">
        <v>112</v>
      </c>
      <c r="B31" t="s">
        <v>125</v>
      </c>
      <c r="C31">
        <v>115</v>
      </c>
      <c r="D31" t="s">
        <v>4</v>
      </c>
      <c r="E31">
        <v>0.26970628499999999</v>
      </c>
      <c r="F31">
        <v>0.25872880500000001</v>
      </c>
      <c r="G31">
        <v>0.25077112499999998</v>
      </c>
      <c r="H31">
        <v>0.23547551999999999</v>
      </c>
      <c r="I31">
        <v>0.242819175</v>
      </c>
      <c r="J31">
        <v>0.25142901000000001</v>
      </c>
      <c r="K31">
        <v>0.26617385999999998</v>
      </c>
      <c r="L31">
        <v>0.30935664000000002</v>
      </c>
      <c r="M31">
        <v>0.34930139999999998</v>
      </c>
      <c r="N31">
        <v>0.38522812499999998</v>
      </c>
      <c r="O31">
        <v>0.41041185000000002</v>
      </c>
      <c r="P31">
        <v>0.42922772999999997</v>
      </c>
      <c r="Q31">
        <v>0.43911517500000002</v>
      </c>
      <c r="R31">
        <v>0.44366449499999999</v>
      </c>
      <c r="S31">
        <v>0.46614936000000001</v>
      </c>
      <c r="T31">
        <v>0.46808053500000002</v>
      </c>
      <c r="U31">
        <v>0.45439069500000001</v>
      </c>
      <c r="V31">
        <v>0.43537290000000001</v>
      </c>
      <c r="W31">
        <v>0.45622079999999998</v>
      </c>
      <c r="X31">
        <v>0.44246760000000002</v>
      </c>
      <c r="Y31">
        <v>0.41490929999999998</v>
      </c>
      <c r="Z31">
        <v>0.359777085</v>
      </c>
      <c r="AA31">
        <v>0.32662945500000001</v>
      </c>
      <c r="AB31">
        <v>0.29795979</v>
      </c>
      <c r="AC31">
        <f t="shared" si="0"/>
        <v>0.36097361312500004</v>
      </c>
      <c r="AD31">
        <f t="shared" si="1"/>
        <v>0.37250260499999999</v>
      </c>
    </row>
    <row r="32" spans="1:30" x14ac:dyDescent="0.25">
      <c r="A32" t="s">
        <v>112</v>
      </c>
      <c r="B32" t="s">
        <v>126</v>
      </c>
      <c r="C32">
        <v>115</v>
      </c>
      <c r="D32" t="s">
        <v>2</v>
      </c>
      <c r="E32">
        <v>31.204047460000002</v>
      </c>
      <c r="F32">
        <v>30.21516656</v>
      </c>
      <c r="G32">
        <v>29.355070470000001</v>
      </c>
      <c r="H32">
        <v>27.612062734999999</v>
      </c>
      <c r="I32">
        <v>28.361584695000001</v>
      </c>
      <c r="J32">
        <v>29.241452689999999</v>
      </c>
      <c r="K32">
        <v>31.47954605</v>
      </c>
      <c r="L32">
        <v>35.710565285000001</v>
      </c>
      <c r="M32">
        <v>39.61286441</v>
      </c>
      <c r="N32">
        <v>43.014120630000001</v>
      </c>
      <c r="O32">
        <v>44.337719305</v>
      </c>
      <c r="P32">
        <v>46.034891049999999</v>
      </c>
      <c r="Q32">
        <v>46.691580700000003</v>
      </c>
      <c r="R32">
        <v>47.19834547</v>
      </c>
      <c r="S32">
        <v>47.913112689999998</v>
      </c>
      <c r="T32">
        <v>48.111607919999997</v>
      </c>
      <c r="U32">
        <v>46.640310464999999</v>
      </c>
      <c r="V32">
        <v>44.652011135000002</v>
      </c>
      <c r="W32">
        <v>45.961675999999997</v>
      </c>
      <c r="X32">
        <v>46.168762399999999</v>
      </c>
      <c r="Y32">
        <v>44.308570199999998</v>
      </c>
      <c r="Z32">
        <v>40.088528789999998</v>
      </c>
      <c r="AA32">
        <v>36.749627009999998</v>
      </c>
      <c r="AB32">
        <v>34.284764979999999</v>
      </c>
      <c r="AC32">
        <f t="shared" si="0"/>
        <v>39.372832879166658</v>
      </c>
      <c r="AD32">
        <f t="shared" si="1"/>
        <v>41.551324710000003</v>
      </c>
    </row>
    <row r="33" spans="1:30" x14ac:dyDescent="0.25">
      <c r="A33" t="s">
        <v>112</v>
      </c>
      <c r="B33" t="s">
        <v>126</v>
      </c>
      <c r="C33">
        <v>115</v>
      </c>
      <c r="D33" t="s">
        <v>3</v>
      </c>
      <c r="E33">
        <v>7.9154907404000001</v>
      </c>
      <c r="F33">
        <v>7.8844253360999996</v>
      </c>
      <c r="G33">
        <v>7.6971705887999997</v>
      </c>
      <c r="H33">
        <v>7.3901446680999996</v>
      </c>
      <c r="I33">
        <v>7.3646825623999996</v>
      </c>
      <c r="J33">
        <v>6.5806921472999997</v>
      </c>
      <c r="K33">
        <v>8.0397312048000007</v>
      </c>
      <c r="L33">
        <v>10.7302660863</v>
      </c>
      <c r="M33">
        <v>12.2002194429</v>
      </c>
      <c r="N33">
        <v>12.7610763991</v>
      </c>
      <c r="O33">
        <v>13.221462601300001</v>
      </c>
      <c r="P33">
        <v>13.988818847799999</v>
      </c>
      <c r="Q33">
        <v>13.381571875700001</v>
      </c>
      <c r="R33">
        <v>14.002417895100001</v>
      </c>
      <c r="S33">
        <v>13.731656792000001</v>
      </c>
      <c r="T33">
        <v>14.162603636</v>
      </c>
      <c r="U33">
        <v>13.275035967399999</v>
      </c>
      <c r="V33">
        <v>11.801943311400001</v>
      </c>
      <c r="W33">
        <v>10.8181474146</v>
      </c>
      <c r="X33">
        <v>11.0149153227</v>
      </c>
      <c r="Y33">
        <v>10.6916162151</v>
      </c>
      <c r="Z33">
        <v>9.9591851453999993</v>
      </c>
      <c r="AA33">
        <v>8.7844275634999995</v>
      </c>
      <c r="AB33">
        <v>9.3453245483000007</v>
      </c>
      <c r="AC33">
        <f t="shared" si="0"/>
        <v>10.697626096354169</v>
      </c>
      <c r="AD33">
        <f t="shared" si="1"/>
        <v>10.77420675045</v>
      </c>
    </row>
    <row r="34" spans="1:30" x14ac:dyDescent="0.25">
      <c r="A34" t="s">
        <v>112</v>
      </c>
      <c r="B34" t="s">
        <v>126</v>
      </c>
      <c r="C34">
        <v>115</v>
      </c>
      <c r="D34" t="s">
        <v>4</v>
      </c>
      <c r="E34">
        <v>0.47518853999999999</v>
      </c>
      <c r="F34">
        <v>0.46012944</v>
      </c>
      <c r="G34">
        <v>0.44703153000000001</v>
      </c>
      <c r="H34">
        <v>0.42048826500000003</v>
      </c>
      <c r="I34">
        <v>0.43190230499999999</v>
      </c>
      <c r="J34">
        <v>0.44530131000000001</v>
      </c>
      <c r="K34">
        <v>0.47938395</v>
      </c>
      <c r="L34">
        <v>0.54381571500000003</v>
      </c>
      <c r="M34">
        <v>0.60324158999999999</v>
      </c>
      <c r="N34">
        <v>0.65503736999999995</v>
      </c>
      <c r="O34">
        <v>0.67519369500000004</v>
      </c>
      <c r="P34">
        <v>0.70103895000000005</v>
      </c>
      <c r="Q34">
        <v>0.71103930000000004</v>
      </c>
      <c r="R34">
        <v>0.71875652999999995</v>
      </c>
      <c r="S34">
        <v>0.72964130999999999</v>
      </c>
      <c r="T34">
        <v>0.73266408000000005</v>
      </c>
      <c r="U34">
        <v>0.71025853500000002</v>
      </c>
      <c r="V34">
        <v>0.67997986499999996</v>
      </c>
      <c r="W34">
        <v>0.69992399999999999</v>
      </c>
      <c r="X34">
        <v>0.70307759999999997</v>
      </c>
      <c r="Y34">
        <v>0.67474979999999996</v>
      </c>
      <c r="Z34">
        <v>0.61048521</v>
      </c>
      <c r="AA34">
        <v>0.55963898999999995</v>
      </c>
      <c r="AB34">
        <v>0.52210301999999997</v>
      </c>
      <c r="AC34">
        <f t="shared" si="0"/>
        <v>0.59958628749999998</v>
      </c>
      <c r="AD34">
        <f t="shared" si="1"/>
        <v>0.63276128999999992</v>
      </c>
    </row>
    <row r="35" spans="1:30" x14ac:dyDescent="0.25">
      <c r="A35" t="s">
        <v>112</v>
      </c>
      <c r="B35" t="s">
        <v>127</v>
      </c>
      <c r="C35">
        <v>115</v>
      </c>
      <c r="D35" t="s">
        <v>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f t="shared" si="0"/>
        <v>0</v>
      </c>
      <c r="AD35">
        <f t="shared" si="1"/>
        <v>0</v>
      </c>
    </row>
    <row r="36" spans="1:30" x14ac:dyDescent="0.25">
      <c r="A36" t="s">
        <v>112</v>
      </c>
      <c r="B36" t="s">
        <v>127</v>
      </c>
      <c r="C36">
        <v>115</v>
      </c>
      <c r="D36" t="s">
        <v>3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f t="shared" si="0"/>
        <v>0</v>
      </c>
      <c r="AD36">
        <f t="shared" si="1"/>
        <v>0</v>
      </c>
    </row>
    <row r="37" spans="1:30" x14ac:dyDescent="0.25">
      <c r="A37" t="s">
        <v>112</v>
      </c>
      <c r="B37" t="s">
        <v>127</v>
      </c>
      <c r="C37">
        <v>115</v>
      </c>
      <c r="D37" t="s">
        <v>4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f t="shared" si="0"/>
        <v>0</v>
      </c>
      <c r="AD37">
        <f t="shared" si="1"/>
        <v>0</v>
      </c>
    </row>
    <row r="38" spans="1:30" x14ac:dyDescent="0.25">
      <c r="A38" t="s">
        <v>112</v>
      </c>
      <c r="B38" t="s">
        <v>129</v>
      </c>
      <c r="C38">
        <v>115</v>
      </c>
      <c r="D38" t="s">
        <v>2</v>
      </c>
      <c r="E38">
        <v>4.1756967100000004</v>
      </c>
      <c r="F38">
        <v>4.0425907050000003</v>
      </c>
      <c r="G38">
        <v>3.9657419900000002</v>
      </c>
      <c r="H38">
        <v>3.771857545</v>
      </c>
      <c r="I38">
        <v>4.0123807549999997</v>
      </c>
      <c r="J38">
        <v>4.3408418099999997</v>
      </c>
      <c r="K38">
        <v>4.8706831599999996</v>
      </c>
      <c r="L38">
        <v>5.1128828400000002</v>
      </c>
      <c r="M38">
        <v>5.3495665199999998</v>
      </c>
      <c r="N38">
        <v>5.8167007999999996</v>
      </c>
      <c r="O38">
        <v>6.0121809449999999</v>
      </c>
      <c r="P38">
        <v>6.2766790549999998</v>
      </c>
      <c r="Q38">
        <v>6.3640485550000001</v>
      </c>
      <c r="R38">
        <v>6.2288888250000003</v>
      </c>
      <c r="S38">
        <v>6.1698853549999999</v>
      </c>
      <c r="T38">
        <v>6.1954461050000003</v>
      </c>
      <c r="U38">
        <v>6.1505675350000004</v>
      </c>
      <c r="V38">
        <v>6.2465370699999996</v>
      </c>
      <c r="W38">
        <v>6.7878319999999999</v>
      </c>
      <c r="X38">
        <v>6.9776612</v>
      </c>
      <c r="Y38">
        <v>6.4410923000000002</v>
      </c>
      <c r="Z38">
        <v>5.6408448099999999</v>
      </c>
      <c r="AA38">
        <v>5.0593352850000004</v>
      </c>
      <c r="AB38">
        <v>4.5819707950000002</v>
      </c>
      <c r="AC38">
        <f t="shared" si="0"/>
        <v>5.4413296945833336</v>
      </c>
      <c r="AD38">
        <f t="shared" si="1"/>
        <v>5.7287728050000002</v>
      </c>
    </row>
    <row r="39" spans="1:30" x14ac:dyDescent="0.25">
      <c r="A39" t="s">
        <v>112</v>
      </c>
      <c r="B39" t="s">
        <v>129</v>
      </c>
      <c r="C39">
        <v>115</v>
      </c>
      <c r="D39" t="s">
        <v>3</v>
      </c>
      <c r="E39">
        <v>1.4222352395</v>
      </c>
      <c r="F39">
        <v>1.4726221277</v>
      </c>
      <c r="G39">
        <v>1.4681279114000001</v>
      </c>
      <c r="H39">
        <v>1.4000542678000001</v>
      </c>
      <c r="I39">
        <v>1.4416106013000001</v>
      </c>
      <c r="J39">
        <v>1.3497912555</v>
      </c>
      <c r="K39">
        <v>1.3136621073999999</v>
      </c>
      <c r="L39">
        <v>1.0854292683</v>
      </c>
      <c r="M39">
        <v>0.82558859289999997</v>
      </c>
      <c r="N39">
        <v>0.70670976699999999</v>
      </c>
      <c r="O39">
        <v>0.65599637779999997</v>
      </c>
      <c r="P39">
        <v>1.2613369380999999</v>
      </c>
      <c r="Q39">
        <v>1.7059221929999999</v>
      </c>
      <c r="R39">
        <v>1.6953214527</v>
      </c>
      <c r="S39">
        <v>1.6893321813</v>
      </c>
      <c r="T39">
        <v>1.299579265</v>
      </c>
      <c r="U39">
        <v>1.699012199</v>
      </c>
      <c r="V39">
        <v>1.6536316600000001</v>
      </c>
      <c r="W39">
        <v>1.5210708533999999</v>
      </c>
      <c r="X39">
        <v>1.5669574735</v>
      </c>
      <c r="Y39">
        <v>1.513091073</v>
      </c>
      <c r="Z39">
        <v>1.4038361400999999</v>
      </c>
      <c r="AA39">
        <v>1.3893744585000001</v>
      </c>
      <c r="AB39">
        <v>1.3041471313999999</v>
      </c>
      <c r="AC39">
        <f t="shared" si="0"/>
        <v>1.3685183556499998</v>
      </c>
      <c r="AD39">
        <f t="shared" si="1"/>
        <v>1.4130356898</v>
      </c>
    </row>
    <row r="40" spans="1:30" x14ac:dyDescent="0.25">
      <c r="A40" t="s">
        <v>112</v>
      </c>
      <c r="B40" t="s">
        <v>129</v>
      </c>
      <c r="C40">
        <v>115</v>
      </c>
      <c r="D40" t="s">
        <v>4</v>
      </c>
      <c r="E40">
        <v>6.3589290000000007E-2</v>
      </c>
      <c r="F40">
        <v>6.1562295000000003E-2</v>
      </c>
      <c r="G40">
        <v>6.0392010000000003E-2</v>
      </c>
      <c r="H40">
        <v>5.7439455E-2</v>
      </c>
      <c r="I40">
        <v>6.1102244999999999E-2</v>
      </c>
      <c r="J40">
        <v>6.6104189999999993E-2</v>
      </c>
      <c r="K40">
        <v>7.4172840000000004E-2</v>
      </c>
      <c r="L40">
        <v>7.7861159999999999E-2</v>
      </c>
      <c r="M40">
        <v>8.1465480000000007E-2</v>
      </c>
      <c r="N40">
        <v>8.8579199999999997E-2</v>
      </c>
      <c r="O40">
        <v>9.1556054999999997E-2</v>
      </c>
      <c r="P40">
        <v>9.5583945000000003E-2</v>
      </c>
      <c r="Q40">
        <v>9.6914445000000002E-2</v>
      </c>
      <c r="R40">
        <v>9.4856175000000001E-2</v>
      </c>
      <c r="S40">
        <v>9.3957645000000006E-2</v>
      </c>
      <c r="T40">
        <v>9.4346895E-2</v>
      </c>
      <c r="U40">
        <v>9.3663465000000001E-2</v>
      </c>
      <c r="V40">
        <v>9.5124929999999996E-2</v>
      </c>
      <c r="W40">
        <v>0.103368</v>
      </c>
      <c r="X40">
        <v>0.1062588</v>
      </c>
      <c r="Y40">
        <v>9.80877E-2</v>
      </c>
      <c r="Z40">
        <v>8.5901190000000002E-2</v>
      </c>
      <c r="AA40">
        <v>7.7045715000000001E-2</v>
      </c>
      <c r="AB40">
        <v>6.9776204999999994E-2</v>
      </c>
      <c r="AC40">
        <f t="shared" si="0"/>
        <v>8.2862888749999974E-2</v>
      </c>
      <c r="AD40">
        <f t="shared" si="1"/>
        <v>8.7240194999999993E-2</v>
      </c>
    </row>
    <row r="41" spans="1:30" x14ac:dyDescent="0.25">
      <c r="A41" t="s">
        <v>112</v>
      </c>
      <c r="B41" t="s">
        <v>130</v>
      </c>
      <c r="C41">
        <v>115</v>
      </c>
      <c r="D41" t="s">
        <v>2</v>
      </c>
      <c r="E41">
        <v>23.610494325000001</v>
      </c>
      <c r="F41">
        <v>22.261266955</v>
      </c>
      <c r="G41">
        <v>21.594373690000001</v>
      </c>
      <c r="H41">
        <v>20.372046805</v>
      </c>
      <c r="I41">
        <v>20.918528745</v>
      </c>
      <c r="J41">
        <v>22.819486134999998</v>
      </c>
      <c r="K41">
        <v>24.995618069999999</v>
      </c>
      <c r="L41">
        <v>28.492377919999999</v>
      </c>
      <c r="M41">
        <v>32.172604855000003</v>
      </c>
      <c r="N41">
        <v>35.173033054999998</v>
      </c>
      <c r="O41">
        <v>36.744871430000003</v>
      </c>
      <c r="P41">
        <v>38.121074030000003</v>
      </c>
      <c r="Q41">
        <v>38.417122675000002</v>
      </c>
      <c r="R41">
        <v>38.300787280000002</v>
      </c>
      <c r="S41">
        <v>38.796141810000002</v>
      </c>
      <c r="T41">
        <v>38.956867215000003</v>
      </c>
      <c r="U41">
        <v>37.058813585000003</v>
      </c>
      <c r="V41">
        <v>34.847320150000002</v>
      </c>
      <c r="W41">
        <v>36.544997199999997</v>
      </c>
      <c r="X41">
        <v>37.287056800000002</v>
      </c>
      <c r="Y41">
        <v>35.371143150000002</v>
      </c>
      <c r="Z41">
        <v>31.706292065</v>
      </c>
      <c r="AA41">
        <v>29.012624384999999</v>
      </c>
      <c r="AB41">
        <v>26.22420266</v>
      </c>
      <c r="AC41">
        <f t="shared" si="0"/>
        <v>31.241631041249992</v>
      </c>
      <c r="AD41">
        <f t="shared" si="1"/>
        <v>33.509962502500002</v>
      </c>
    </row>
    <row r="42" spans="1:30" x14ac:dyDescent="0.25">
      <c r="A42" t="s">
        <v>112</v>
      </c>
      <c r="B42" t="s">
        <v>130</v>
      </c>
      <c r="C42">
        <v>115</v>
      </c>
      <c r="D42" t="s">
        <v>3</v>
      </c>
      <c r="E42">
        <v>7.9514453008999997</v>
      </c>
      <c r="F42">
        <v>7.7958567681000002</v>
      </c>
      <c r="G42">
        <v>7.6499890842999996</v>
      </c>
      <c r="H42">
        <v>7.2580903829999999</v>
      </c>
      <c r="I42">
        <v>6.9789634581</v>
      </c>
      <c r="J42">
        <v>6.8912885833999997</v>
      </c>
      <c r="K42">
        <v>7.5767260148000002</v>
      </c>
      <c r="L42">
        <v>8.7646590284000006</v>
      </c>
      <c r="M42">
        <v>10.004119616200001</v>
      </c>
      <c r="N42">
        <v>11.4480949584</v>
      </c>
      <c r="O42">
        <v>12.220290027100001</v>
      </c>
      <c r="P42">
        <v>12.637682956200001</v>
      </c>
      <c r="Q42">
        <v>12.735827329499999</v>
      </c>
      <c r="R42">
        <v>13.0584363878</v>
      </c>
      <c r="S42">
        <v>13.3076755561</v>
      </c>
      <c r="T42">
        <v>13.201100970400001</v>
      </c>
      <c r="U42">
        <v>12.428727521900001</v>
      </c>
      <c r="V42">
        <v>11.8085211859</v>
      </c>
      <c r="W42">
        <v>11.1462174947</v>
      </c>
      <c r="X42">
        <v>10.817474813</v>
      </c>
      <c r="Y42">
        <v>10.1093754997</v>
      </c>
      <c r="Z42">
        <v>9.2599492577000007</v>
      </c>
      <c r="AA42">
        <v>8.7396407915999994</v>
      </c>
      <c r="AB42">
        <v>8.1738097924000002</v>
      </c>
      <c r="AC42">
        <f t="shared" si="0"/>
        <v>10.081831782483333</v>
      </c>
      <c r="AD42">
        <f t="shared" si="1"/>
        <v>10.056747557950001</v>
      </c>
    </row>
    <row r="43" spans="1:30" x14ac:dyDescent="0.25">
      <c r="A43" t="s">
        <v>112</v>
      </c>
      <c r="B43" t="s">
        <v>130</v>
      </c>
      <c r="C43">
        <v>115</v>
      </c>
      <c r="D43" t="s">
        <v>4</v>
      </c>
      <c r="E43">
        <v>0.35955067499999999</v>
      </c>
      <c r="F43">
        <v>0.33900406529999999</v>
      </c>
      <c r="G43">
        <v>0.32884833029999999</v>
      </c>
      <c r="H43">
        <v>0.3102342153</v>
      </c>
      <c r="I43">
        <v>0.31855627530000002</v>
      </c>
      <c r="J43">
        <v>0.347504865</v>
      </c>
      <c r="K43">
        <v>0.38064393000000002</v>
      </c>
      <c r="L43">
        <v>0.43389408000000002</v>
      </c>
      <c r="M43">
        <v>0.48993814499999999</v>
      </c>
      <c r="N43">
        <v>0.53562994500000005</v>
      </c>
      <c r="O43">
        <v>0.55956656999999999</v>
      </c>
      <c r="P43">
        <v>0.58052397</v>
      </c>
      <c r="Q43">
        <v>0.58503232500000002</v>
      </c>
      <c r="R43">
        <v>0.58326071999999995</v>
      </c>
      <c r="S43">
        <v>0.59080418999999995</v>
      </c>
      <c r="T43">
        <v>0.59325178499999998</v>
      </c>
      <c r="U43">
        <v>0.56434741499999996</v>
      </c>
      <c r="V43">
        <v>0.53066985</v>
      </c>
      <c r="W43">
        <v>0.55652279999999998</v>
      </c>
      <c r="X43">
        <v>0.56782319999999997</v>
      </c>
      <c r="Y43">
        <v>0.53864685000000001</v>
      </c>
      <c r="Z43">
        <v>0.48283693500000002</v>
      </c>
      <c r="AA43">
        <v>0.44181661500000002</v>
      </c>
      <c r="AB43">
        <v>0.39935334</v>
      </c>
      <c r="AC43">
        <f t="shared" si="0"/>
        <v>0.4757608787999999</v>
      </c>
      <c r="AD43">
        <f t="shared" si="1"/>
        <v>0.5103039975</v>
      </c>
    </row>
    <row r="44" spans="1:30" x14ac:dyDescent="0.25">
      <c r="A44" t="s">
        <v>112</v>
      </c>
      <c r="B44" t="s">
        <v>132</v>
      </c>
      <c r="C44">
        <v>115</v>
      </c>
      <c r="D44" t="s">
        <v>2</v>
      </c>
      <c r="E44">
        <v>2.7623251350000002</v>
      </c>
      <c r="F44">
        <v>2.7145723350000002</v>
      </c>
      <c r="G44">
        <v>2.7177312300000001</v>
      </c>
      <c r="H44">
        <v>2.5800193650000001</v>
      </c>
      <c r="I44">
        <v>2.6238814150000001</v>
      </c>
      <c r="J44">
        <v>2.6096077800000002</v>
      </c>
      <c r="K44">
        <v>2.5610738749999999</v>
      </c>
      <c r="L44">
        <v>3.0252699000000001</v>
      </c>
      <c r="M44">
        <v>3.2237779350000002</v>
      </c>
      <c r="N44">
        <v>3.350332705</v>
      </c>
      <c r="O44">
        <v>3.206497095</v>
      </c>
      <c r="P44">
        <v>3.4279418399999999</v>
      </c>
      <c r="Q44">
        <v>3.3073945849999999</v>
      </c>
      <c r="R44">
        <v>3.302926625</v>
      </c>
      <c r="S44">
        <v>3.431118465</v>
      </c>
      <c r="T44">
        <v>3.4453330000000002</v>
      </c>
      <c r="U44">
        <v>3.3173618</v>
      </c>
      <c r="V44">
        <v>3.3040002749999999</v>
      </c>
      <c r="W44">
        <v>3.7563171999999998</v>
      </c>
      <c r="X44">
        <v>4.1359756000000001</v>
      </c>
      <c r="Y44">
        <v>3.9447575499999998</v>
      </c>
      <c r="Z44">
        <v>3.427974345</v>
      </c>
      <c r="AA44">
        <v>3.0829613500000002</v>
      </c>
      <c r="AB44">
        <v>2.8932109499999998</v>
      </c>
      <c r="AC44">
        <f t="shared" si="0"/>
        <v>3.1730150981249996</v>
      </c>
      <c r="AD44">
        <f t="shared" si="1"/>
        <v>3.2633522800000003</v>
      </c>
    </row>
    <row r="45" spans="1:30" x14ac:dyDescent="0.25">
      <c r="A45" t="s">
        <v>112</v>
      </c>
      <c r="B45" t="s">
        <v>132</v>
      </c>
      <c r="C45">
        <v>115</v>
      </c>
      <c r="D45" t="s">
        <v>3</v>
      </c>
      <c r="E45">
        <v>1.2689908556</v>
      </c>
      <c r="F45">
        <v>1.2462659588</v>
      </c>
      <c r="G45">
        <v>1.2469274306</v>
      </c>
      <c r="H45">
        <v>1.1829945471000001</v>
      </c>
      <c r="I45">
        <v>1.2023442366999999</v>
      </c>
      <c r="J45">
        <v>1.1950455207999999</v>
      </c>
      <c r="K45">
        <v>1.1765375793999999</v>
      </c>
      <c r="L45">
        <v>1.3889078748000001</v>
      </c>
      <c r="M45">
        <v>1.4791076810999999</v>
      </c>
      <c r="N45">
        <v>1.5361998342000001</v>
      </c>
      <c r="O45">
        <v>1.4693168983</v>
      </c>
      <c r="P45">
        <v>1.569793964</v>
      </c>
      <c r="Q45">
        <v>1.5136293824</v>
      </c>
      <c r="R45">
        <v>1.5106245344</v>
      </c>
      <c r="S45">
        <v>1.568256624</v>
      </c>
      <c r="T45">
        <v>1.5677324991999999</v>
      </c>
      <c r="U45">
        <v>1.4735177064</v>
      </c>
      <c r="V45">
        <v>1.5321777110999999</v>
      </c>
      <c r="W45">
        <v>1.7516837381999999</v>
      </c>
      <c r="X45">
        <v>1.829805804</v>
      </c>
      <c r="Y45">
        <v>1.6204087579999999</v>
      </c>
      <c r="Z45">
        <v>1.4301726078000001</v>
      </c>
      <c r="AA45">
        <v>1.3198331097</v>
      </c>
      <c r="AB45">
        <v>1.3063625671000001</v>
      </c>
      <c r="AC45">
        <f t="shared" si="0"/>
        <v>1.4327765593208337</v>
      </c>
      <c r="AD45">
        <f t="shared" si="1"/>
        <v>1.4714173023499999</v>
      </c>
    </row>
    <row r="46" spans="1:30" x14ac:dyDescent="0.25">
      <c r="A46" t="s">
        <v>112</v>
      </c>
      <c r="B46" t="s">
        <v>132</v>
      </c>
      <c r="C46">
        <v>115</v>
      </c>
      <c r="D46" t="s">
        <v>4</v>
      </c>
      <c r="E46">
        <v>4.2065865000000001E-2</v>
      </c>
      <c r="F46">
        <v>4.1338664999999997E-2</v>
      </c>
      <c r="G46">
        <v>4.1386770000000003E-2</v>
      </c>
      <c r="H46">
        <v>3.9289635000000003E-2</v>
      </c>
      <c r="I46">
        <v>3.9957584999999997E-2</v>
      </c>
      <c r="J46">
        <v>3.974022E-2</v>
      </c>
      <c r="K46">
        <v>3.9001124999999998E-2</v>
      </c>
      <c r="L46">
        <v>4.6070100000000003E-2</v>
      </c>
      <c r="M46">
        <v>4.9093064999999998E-2</v>
      </c>
      <c r="N46">
        <v>5.1020295E-2</v>
      </c>
      <c r="O46">
        <v>4.8829905E-2</v>
      </c>
      <c r="P46">
        <v>5.2202159999999997E-2</v>
      </c>
      <c r="Q46">
        <v>5.0366414999999998E-2</v>
      </c>
      <c r="R46">
        <v>5.0298374999999999E-2</v>
      </c>
      <c r="S46">
        <v>5.2250535000000001E-2</v>
      </c>
      <c r="T46">
        <v>5.2467E-2</v>
      </c>
      <c r="U46">
        <v>5.0518199999999999E-2</v>
      </c>
      <c r="V46">
        <v>5.0314724999999998E-2</v>
      </c>
      <c r="W46">
        <v>5.7202799999999998E-2</v>
      </c>
      <c r="X46">
        <v>6.2984399999999996E-2</v>
      </c>
      <c r="Y46">
        <v>6.0072449999999999E-2</v>
      </c>
      <c r="Z46">
        <v>5.2202655000000001E-2</v>
      </c>
      <c r="AA46">
        <v>4.6948650000000001E-2</v>
      </c>
      <c r="AB46">
        <v>4.4059050000000002E-2</v>
      </c>
      <c r="AC46">
        <f t="shared" si="0"/>
        <v>4.8320026875000005E-2</v>
      </c>
      <c r="AD46">
        <f t="shared" si="1"/>
        <v>4.9695719999999999E-2</v>
      </c>
    </row>
    <row r="47" spans="1:30" x14ac:dyDescent="0.25">
      <c r="A47" t="s">
        <v>112</v>
      </c>
      <c r="B47" t="s">
        <v>133</v>
      </c>
      <c r="C47">
        <v>115</v>
      </c>
      <c r="D47" t="s">
        <v>2</v>
      </c>
      <c r="E47">
        <v>7.5139799099999998</v>
      </c>
      <c r="F47">
        <v>7.5839740100000004</v>
      </c>
      <c r="G47">
        <v>7.4022405249999998</v>
      </c>
      <c r="H47">
        <v>7.151028095</v>
      </c>
      <c r="I47">
        <v>7.2382941699999996</v>
      </c>
      <c r="J47">
        <v>7.2347353649999997</v>
      </c>
      <c r="K47">
        <v>7.4975244999999999</v>
      </c>
      <c r="L47">
        <v>9.6640556400000008</v>
      </c>
      <c r="M47">
        <v>11.030034925000001</v>
      </c>
      <c r="N47">
        <v>11.80255565</v>
      </c>
      <c r="O47">
        <v>12.14291255</v>
      </c>
      <c r="P47">
        <v>11.708193635000001</v>
      </c>
      <c r="Q47">
        <v>12.01766389</v>
      </c>
      <c r="R47">
        <v>12.009010665</v>
      </c>
      <c r="S47">
        <v>11.684182290000001</v>
      </c>
      <c r="T47">
        <v>11.732588144999999</v>
      </c>
      <c r="U47">
        <v>11.990319305</v>
      </c>
      <c r="V47">
        <v>11.764500175</v>
      </c>
      <c r="W47">
        <v>11.3724948</v>
      </c>
      <c r="X47">
        <v>11.79242</v>
      </c>
      <c r="Y47">
        <v>11.6861385</v>
      </c>
      <c r="Z47">
        <v>10.530895040000001</v>
      </c>
      <c r="AA47">
        <v>9.4128225249999993</v>
      </c>
      <c r="AB47">
        <v>7.9257985599999996</v>
      </c>
      <c r="AC47">
        <f t="shared" si="0"/>
        <v>10.07868178625</v>
      </c>
      <c r="AD47">
        <f t="shared" si="1"/>
        <v>11.2012648625</v>
      </c>
    </row>
    <row r="48" spans="1:30" x14ac:dyDescent="0.25">
      <c r="A48" t="s">
        <v>112</v>
      </c>
      <c r="B48" t="s">
        <v>133</v>
      </c>
      <c r="C48">
        <v>115</v>
      </c>
      <c r="D48" t="s">
        <v>3</v>
      </c>
      <c r="E48">
        <v>2.4321937453000002</v>
      </c>
      <c r="F48">
        <v>2.433014859</v>
      </c>
      <c r="G48">
        <v>2.3370809955</v>
      </c>
      <c r="H48">
        <v>2.3478907243</v>
      </c>
      <c r="I48">
        <v>2.3037712726000001</v>
      </c>
      <c r="J48">
        <v>2.2789057917000002</v>
      </c>
      <c r="K48">
        <v>2.3506919751000002</v>
      </c>
      <c r="L48">
        <v>3.0511952023000002</v>
      </c>
      <c r="M48">
        <v>3.9519279145000001</v>
      </c>
      <c r="N48">
        <v>3.9459213328999998</v>
      </c>
      <c r="O48">
        <v>3.9609382777</v>
      </c>
      <c r="P48">
        <v>3.5753815981999999</v>
      </c>
      <c r="Q48">
        <v>3.3342677027000001</v>
      </c>
      <c r="R48">
        <v>3.5764963892999999</v>
      </c>
      <c r="S48">
        <v>3.4529386577999999</v>
      </c>
      <c r="T48">
        <v>3.5475671411</v>
      </c>
      <c r="U48">
        <v>4.0797306421000004</v>
      </c>
      <c r="V48">
        <v>3.9988187165000002</v>
      </c>
      <c r="W48">
        <v>3.1735508027999999</v>
      </c>
      <c r="X48">
        <v>3.2479540602000001</v>
      </c>
      <c r="Y48">
        <v>3.4084570617000001</v>
      </c>
      <c r="Z48">
        <v>2.972332293</v>
      </c>
      <c r="AA48">
        <v>2.4201552791999998</v>
      </c>
      <c r="AB48">
        <v>2.4965872739999999</v>
      </c>
      <c r="AC48">
        <f t="shared" si="0"/>
        <v>3.1115737378958337</v>
      </c>
      <c r="AD48">
        <f t="shared" si="1"/>
        <v>3.2107524315</v>
      </c>
    </row>
    <row r="49" spans="1:30" x14ac:dyDescent="0.25">
      <c r="A49" t="s">
        <v>112</v>
      </c>
      <c r="B49" t="s">
        <v>133</v>
      </c>
      <c r="C49">
        <v>115</v>
      </c>
      <c r="D49" t="s">
        <v>4</v>
      </c>
      <c r="E49">
        <v>0.11442608999999999</v>
      </c>
      <c r="F49">
        <v>0.11549199</v>
      </c>
      <c r="G49">
        <v>0.112724475</v>
      </c>
      <c r="H49">
        <v>0.108898905</v>
      </c>
      <c r="I49">
        <v>0.11022783</v>
      </c>
      <c r="J49">
        <v>0.11017363500000001</v>
      </c>
      <c r="K49">
        <v>0.1141755</v>
      </c>
      <c r="L49">
        <v>0.14716836</v>
      </c>
      <c r="M49">
        <v>0.167970075</v>
      </c>
      <c r="N49">
        <v>0.17973434999999999</v>
      </c>
      <c r="O49">
        <v>0.18491745000000001</v>
      </c>
      <c r="P49">
        <v>0.17829736500000001</v>
      </c>
      <c r="Q49">
        <v>0.18301011</v>
      </c>
      <c r="R49">
        <v>0.182878335</v>
      </c>
      <c r="S49">
        <v>0.17793170999999999</v>
      </c>
      <c r="T49">
        <v>0.17866885499999999</v>
      </c>
      <c r="U49">
        <v>0.182593695</v>
      </c>
      <c r="V49">
        <v>0.17915482499999999</v>
      </c>
      <c r="W49">
        <v>0.17318520000000001</v>
      </c>
      <c r="X49">
        <v>0.17957999999999999</v>
      </c>
      <c r="Y49">
        <v>0.17796149999999999</v>
      </c>
      <c r="Z49">
        <v>0.16036896</v>
      </c>
      <c r="AA49">
        <v>0.143342475</v>
      </c>
      <c r="AB49">
        <v>0.12069744</v>
      </c>
      <c r="AC49">
        <f t="shared" si="0"/>
        <v>0.15348246374999996</v>
      </c>
      <c r="AD49">
        <f t="shared" si="1"/>
        <v>0.17057763749999999</v>
      </c>
    </row>
    <row r="50" spans="1:30" x14ac:dyDescent="0.25">
      <c r="A50" t="s">
        <v>408</v>
      </c>
      <c r="B50" t="s">
        <v>409</v>
      </c>
      <c r="C50">
        <v>115</v>
      </c>
      <c r="D50" t="s">
        <v>2</v>
      </c>
      <c r="E50">
        <v>2.1532464450000002</v>
      </c>
      <c r="F50">
        <v>2.0478071199999999</v>
      </c>
      <c r="G50">
        <v>1.9985108250000001</v>
      </c>
      <c r="H50">
        <v>1.9699172599999999</v>
      </c>
      <c r="I50">
        <v>2.0600063450000001</v>
      </c>
      <c r="J50">
        <v>2.1823975199999999</v>
      </c>
      <c r="K50">
        <v>1.945117915</v>
      </c>
      <c r="L50">
        <v>1.721625355</v>
      </c>
      <c r="M50">
        <v>1.6535717050000001</v>
      </c>
      <c r="N50">
        <v>1.7109696249999999</v>
      </c>
      <c r="O50">
        <v>1.835241165</v>
      </c>
      <c r="P50">
        <v>2.0052738350000001</v>
      </c>
      <c r="Q50">
        <v>2.1555464199999999</v>
      </c>
      <c r="R50">
        <v>2.1951069749999998</v>
      </c>
      <c r="S50">
        <v>2.2008613449999999</v>
      </c>
      <c r="T50">
        <v>2.264405665</v>
      </c>
      <c r="U50">
        <v>2.4525209650000002</v>
      </c>
      <c r="V50">
        <v>2.777789635</v>
      </c>
      <c r="W50">
        <v>3.4411763</v>
      </c>
      <c r="X50">
        <v>3.7903312200000001</v>
      </c>
      <c r="Y50">
        <v>3.8552811349999998</v>
      </c>
      <c r="Z50">
        <v>3.4691345400000002</v>
      </c>
      <c r="AA50">
        <v>3.0996374000000002</v>
      </c>
      <c r="AB50">
        <v>2.7028478800000002</v>
      </c>
      <c r="AC50">
        <f t="shared" si="0"/>
        <v>2.4036801914583332</v>
      </c>
      <c r="AD50">
        <f t="shared" si="1"/>
        <v>2.1689719699999999</v>
      </c>
    </row>
    <row r="51" spans="1:30" x14ac:dyDescent="0.25">
      <c r="A51" t="s">
        <v>408</v>
      </c>
      <c r="B51" t="s">
        <v>409</v>
      </c>
      <c r="C51">
        <v>115</v>
      </c>
      <c r="D51" t="s">
        <v>3</v>
      </c>
      <c r="E51">
        <v>0.75727659179999995</v>
      </c>
      <c r="F51">
        <v>0.74101085960000002</v>
      </c>
      <c r="G51">
        <v>0.72781274969999998</v>
      </c>
      <c r="H51">
        <v>0.69333505289999997</v>
      </c>
      <c r="I51">
        <v>0.68343013119999996</v>
      </c>
      <c r="J51">
        <v>0.68472568300000003</v>
      </c>
      <c r="K51">
        <v>0.76090397300000001</v>
      </c>
      <c r="L51">
        <v>0.73693398300000001</v>
      </c>
      <c r="M51">
        <v>0.74057318760000002</v>
      </c>
      <c r="N51">
        <v>0.79496621629999997</v>
      </c>
      <c r="O51">
        <v>0.8623721405</v>
      </c>
      <c r="P51">
        <v>0.91473911669999997</v>
      </c>
      <c r="Q51">
        <v>0.99111668870000003</v>
      </c>
      <c r="R51">
        <v>0.98510439230000002</v>
      </c>
      <c r="S51">
        <v>1.0134835686999999</v>
      </c>
      <c r="T51">
        <v>0.96087437959999999</v>
      </c>
      <c r="U51">
        <v>0.98587847819999996</v>
      </c>
      <c r="V51">
        <v>1.0549655692</v>
      </c>
      <c r="W51">
        <v>1.0483972894</v>
      </c>
      <c r="X51">
        <v>1.0474879568</v>
      </c>
      <c r="Y51">
        <v>1.0011049118999999</v>
      </c>
      <c r="Z51">
        <v>0.94788029340000002</v>
      </c>
      <c r="AA51">
        <v>0.86135850140000003</v>
      </c>
      <c r="AB51">
        <v>0.79636456119999999</v>
      </c>
      <c r="AC51">
        <f t="shared" si="0"/>
        <v>0.86633734483750013</v>
      </c>
      <c r="AD51">
        <f t="shared" si="1"/>
        <v>0.86186532095000001</v>
      </c>
    </row>
    <row r="52" spans="1:30" x14ac:dyDescent="0.25">
      <c r="A52" t="s">
        <v>408</v>
      </c>
      <c r="B52" t="s">
        <v>409</v>
      </c>
      <c r="C52">
        <v>115</v>
      </c>
      <c r="D52" t="s">
        <v>4</v>
      </c>
      <c r="E52">
        <v>3.2790554999999999E-2</v>
      </c>
      <c r="F52">
        <v>3.1184880000000002E-2</v>
      </c>
      <c r="G52">
        <v>3.0434175000000001E-2</v>
      </c>
      <c r="H52">
        <v>2.9998739999999999E-2</v>
      </c>
      <c r="I52">
        <v>3.1370654999999997E-2</v>
      </c>
      <c r="J52">
        <v>3.3234479999999997E-2</v>
      </c>
      <c r="K52">
        <v>2.9621084999999998E-2</v>
      </c>
      <c r="L52">
        <v>2.6217645000000001E-2</v>
      </c>
      <c r="M52">
        <v>2.5181294999999999E-2</v>
      </c>
      <c r="N52">
        <v>2.6055374999999999E-2</v>
      </c>
      <c r="O52">
        <v>2.7947835000000001E-2</v>
      </c>
      <c r="P52">
        <v>3.0537165000000002E-2</v>
      </c>
      <c r="Q52">
        <v>3.282558E-2</v>
      </c>
      <c r="R52">
        <v>3.3428025E-2</v>
      </c>
      <c r="S52">
        <v>3.3515654999999998E-2</v>
      </c>
      <c r="T52">
        <v>3.4483334999999997E-2</v>
      </c>
      <c r="U52">
        <v>3.7348035000000002E-2</v>
      </c>
      <c r="V52">
        <v>4.2301365E-2</v>
      </c>
      <c r="W52">
        <v>5.2403699999999998E-2</v>
      </c>
      <c r="X52">
        <v>5.7720779999999999E-2</v>
      </c>
      <c r="Y52">
        <v>5.8709865E-2</v>
      </c>
      <c r="Z52">
        <v>5.2829460000000002E-2</v>
      </c>
      <c r="AA52">
        <v>4.7202599999999997E-2</v>
      </c>
      <c r="AB52">
        <v>4.1160120000000001E-2</v>
      </c>
      <c r="AC52">
        <f t="shared" si="0"/>
        <v>3.6604266874999999E-2</v>
      </c>
      <c r="AD52">
        <f t="shared" si="1"/>
        <v>3.3030030000000002E-2</v>
      </c>
    </row>
    <row r="53" spans="1:30" x14ac:dyDescent="0.25">
      <c r="A53" t="s">
        <v>408</v>
      </c>
      <c r="B53" t="s">
        <v>411</v>
      </c>
      <c r="C53">
        <v>115</v>
      </c>
      <c r="D53" t="s">
        <v>2</v>
      </c>
      <c r="E53">
        <v>0.49650697999999999</v>
      </c>
      <c r="F53">
        <v>0.50812210000000002</v>
      </c>
      <c r="G53">
        <v>0.51426653</v>
      </c>
      <c r="H53">
        <v>0.51880442500000001</v>
      </c>
      <c r="I53">
        <v>0.52479224000000002</v>
      </c>
      <c r="J53">
        <v>0.554983475</v>
      </c>
      <c r="K53">
        <v>0.54288669000000001</v>
      </c>
      <c r="L53">
        <v>0.511537095</v>
      </c>
      <c r="M53">
        <v>0.49302500500000002</v>
      </c>
      <c r="N53">
        <v>0.50056518000000005</v>
      </c>
      <c r="O53">
        <v>0.51935306999999997</v>
      </c>
      <c r="P53">
        <v>0.55017273499999997</v>
      </c>
      <c r="Q53">
        <v>0.54574614499999996</v>
      </c>
      <c r="R53">
        <v>0.55738785999999996</v>
      </c>
      <c r="S53">
        <v>0.54540336499999997</v>
      </c>
      <c r="T53">
        <v>0.53648024999999999</v>
      </c>
      <c r="U53">
        <v>0.55846150999999999</v>
      </c>
      <c r="V53">
        <v>0.60249691999999999</v>
      </c>
      <c r="W53">
        <v>0.67097017999999997</v>
      </c>
      <c r="X53">
        <v>0.66934788499999998</v>
      </c>
      <c r="Y53">
        <v>0.65033541510000004</v>
      </c>
      <c r="Z53">
        <v>0.61594808000000001</v>
      </c>
      <c r="AA53">
        <v>0.58808636999999997</v>
      </c>
      <c r="AB53">
        <v>0.55196937499999998</v>
      </c>
      <c r="AC53">
        <f t="shared" si="0"/>
        <v>0.55531870333750011</v>
      </c>
      <c r="AD53">
        <f t="shared" si="1"/>
        <v>0.54557475499999997</v>
      </c>
    </row>
    <row r="54" spans="1:30" x14ac:dyDescent="0.25">
      <c r="A54" t="s">
        <v>408</v>
      </c>
      <c r="B54" t="s">
        <v>411</v>
      </c>
      <c r="C54">
        <v>115</v>
      </c>
      <c r="D54" t="s">
        <v>3</v>
      </c>
      <c r="E54">
        <v>0.1207666338</v>
      </c>
      <c r="F54">
        <v>0.1128842122</v>
      </c>
      <c r="G54">
        <v>0.10658621829999999</v>
      </c>
      <c r="H54">
        <v>0.10645558369999999</v>
      </c>
      <c r="I54">
        <v>0.11595134159999999</v>
      </c>
      <c r="J54">
        <v>0.13205335209999999</v>
      </c>
      <c r="K54">
        <v>0.13865076239999999</v>
      </c>
      <c r="L54">
        <v>0.1315226327</v>
      </c>
      <c r="M54">
        <v>0.13658970570000001</v>
      </c>
      <c r="N54">
        <v>0.1254972214</v>
      </c>
      <c r="O54">
        <v>0.1352355103</v>
      </c>
      <c r="P54">
        <v>0.1421850066</v>
      </c>
      <c r="Q54">
        <v>0.16373685700000001</v>
      </c>
      <c r="R54">
        <v>0.1493881514</v>
      </c>
      <c r="S54">
        <v>0.15099081659999999</v>
      </c>
      <c r="T54">
        <v>0.1931282611</v>
      </c>
      <c r="U54">
        <v>0.21519555409999999</v>
      </c>
      <c r="V54">
        <v>0.24440348849999999</v>
      </c>
      <c r="W54">
        <v>0.267689016</v>
      </c>
      <c r="X54">
        <v>0.29589019779999998</v>
      </c>
      <c r="Y54">
        <v>0.29705876510000001</v>
      </c>
      <c r="Z54">
        <v>0.25392470449999999</v>
      </c>
      <c r="AA54">
        <v>0.20174296250000001</v>
      </c>
      <c r="AB54">
        <v>0.19251019859999999</v>
      </c>
      <c r="AC54">
        <f t="shared" si="0"/>
        <v>0.17208488141666667</v>
      </c>
      <c r="AD54">
        <f t="shared" si="1"/>
        <v>0.145786579</v>
      </c>
    </row>
    <row r="55" spans="1:30" x14ac:dyDescent="0.25">
      <c r="A55" t="s">
        <v>408</v>
      </c>
      <c r="B55" t="s">
        <v>411</v>
      </c>
      <c r="C55">
        <v>115</v>
      </c>
      <c r="D55" t="s">
        <v>4</v>
      </c>
      <c r="E55">
        <v>7.5610199999999999E-3</v>
      </c>
      <c r="F55">
        <v>7.7378999999999998E-3</v>
      </c>
      <c r="G55">
        <v>7.8314700000000001E-3</v>
      </c>
      <c r="H55">
        <v>7.900575E-3</v>
      </c>
      <c r="I55">
        <v>7.9917600000000005E-3</v>
      </c>
      <c r="J55">
        <v>8.4515249999999997E-3</v>
      </c>
      <c r="K55">
        <v>8.2673099999999999E-3</v>
      </c>
      <c r="L55">
        <v>7.7899049999999997E-3</v>
      </c>
      <c r="M55">
        <v>7.5079949999999999E-3</v>
      </c>
      <c r="N55">
        <v>7.6228199999999998E-3</v>
      </c>
      <c r="O55">
        <v>7.9089299999999998E-3</v>
      </c>
      <c r="P55">
        <v>8.3782648999999997E-3</v>
      </c>
      <c r="Q55">
        <v>8.3108550000000007E-3</v>
      </c>
      <c r="R55">
        <v>8.4881399999999999E-3</v>
      </c>
      <c r="S55">
        <v>8.3056350000000004E-3</v>
      </c>
      <c r="T55">
        <v>8.1697499999999999E-3</v>
      </c>
      <c r="U55">
        <v>8.50449E-3</v>
      </c>
      <c r="V55">
        <v>9.1750800000000004E-3</v>
      </c>
      <c r="W55">
        <v>1.0217820000000001E-2</v>
      </c>
      <c r="X55">
        <v>1.0193115000000001E-2</v>
      </c>
      <c r="Y55">
        <v>9.9035848999999999E-3</v>
      </c>
      <c r="Z55">
        <v>9.3799199999999999E-3</v>
      </c>
      <c r="AA55">
        <v>8.9556298999999995E-3</v>
      </c>
      <c r="AB55">
        <v>8.4056249999999999E-3</v>
      </c>
      <c r="AC55">
        <f t="shared" si="0"/>
        <v>8.4566299875000004E-3</v>
      </c>
      <c r="AD55">
        <f t="shared" si="1"/>
        <v>8.3082450000000006E-3</v>
      </c>
    </row>
    <row r="56" spans="1:30" x14ac:dyDescent="0.25">
      <c r="A56" t="s">
        <v>408</v>
      </c>
      <c r="B56" t="s">
        <v>427</v>
      </c>
      <c r="C56">
        <v>115</v>
      </c>
      <c r="D56" t="s">
        <v>2</v>
      </c>
      <c r="E56">
        <v>1.91399684</v>
      </c>
      <c r="F56">
        <v>1.884390695</v>
      </c>
      <c r="G56">
        <v>1.8763087700000001</v>
      </c>
      <c r="H56">
        <v>1.8081122949999999</v>
      </c>
      <c r="I56">
        <v>1.80413782</v>
      </c>
      <c r="J56">
        <v>1.8767539900000001</v>
      </c>
      <c r="K56">
        <v>1.74869611</v>
      </c>
      <c r="L56">
        <v>1.7683793649999999</v>
      </c>
      <c r="M56">
        <v>1.82252974</v>
      </c>
      <c r="N56">
        <v>1.99094701</v>
      </c>
      <c r="O56">
        <v>2.13284808</v>
      </c>
      <c r="P56">
        <v>2.260818295</v>
      </c>
      <c r="Q56">
        <v>2.2500611099999999</v>
      </c>
      <c r="R56">
        <v>2.2639978749999998</v>
      </c>
      <c r="S56">
        <v>2.2778587950000002</v>
      </c>
      <c r="T56">
        <v>2.2512411399999999</v>
      </c>
      <c r="U56">
        <v>2.3213160099999999</v>
      </c>
      <c r="V56">
        <v>2.4520205850000001</v>
      </c>
      <c r="W56">
        <v>2.8957680099999998</v>
      </c>
      <c r="X56">
        <v>3.113061965</v>
      </c>
      <c r="Y56">
        <v>3.0024464649999998</v>
      </c>
      <c r="Z56">
        <v>2.7045085900000001</v>
      </c>
      <c r="AA56">
        <v>2.4758112900000002</v>
      </c>
      <c r="AB56">
        <v>2.2618722450000002</v>
      </c>
      <c r="AC56">
        <f t="shared" si="0"/>
        <v>2.2149117954166666</v>
      </c>
      <c r="AD56">
        <f t="shared" si="1"/>
        <v>2.2506511250000001</v>
      </c>
    </row>
    <row r="57" spans="1:30" x14ac:dyDescent="0.25">
      <c r="A57" t="s">
        <v>408</v>
      </c>
      <c r="B57" t="s">
        <v>427</v>
      </c>
      <c r="C57">
        <v>115</v>
      </c>
      <c r="D57" t="s">
        <v>3</v>
      </c>
      <c r="E57">
        <v>0.22082776700000001</v>
      </c>
      <c r="F57">
        <v>0.37044069940000002</v>
      </c>
      <c r="G57">
        <v>0.23831787209999999</v>
      </c>
      <c r="H57">
        <v>0.37853997589999999</v>
      </c>
      <c r="I57">
        <v>3.3270845799999997E-2</v>
      </c>
      <c r="J57">
        <v>0.27186770240000002</v>
      </c>
      <c r="K57">
        <v>0.2257474877</v>
      </c>
      <c r="L57">
        <v>1.11844367E-2</v>
      </c>
      <c r="M57">
        <v>0.1673650022</v>
      </c>
      <c r="N57">
        <v>0.12767923989999999</v>
      </c>
      <c r="O57">
        <v>9.4010641199999995E-2</v>
      </c>
      <c r="P57">
        <v>0.1227209222</v>
      </c>
      <c r="Q57">
        <v>0.34739875850000002</v>
      </c>
      <c r="R57">
        <v>0.1341160599</v>
      </c>
      <c r="S57">
        <v>7.41912349E-2</v>
      </c>
      <c r="T57">
        <v>9.7158800500000003E-2</v>
      </c>
      <c r="U57">
        <v>0.21368059319999999</v>
      </c>
      <c r="V57">
        <v>0.28246855059999998</v>
      </c>
      <c r="W57">
        <v>0.18017189389999999</v>
      </c>
      <c r="X57">
        <v>4.6178200699999998E-2</v>
      </c>
      <c r="Y57">
        <v>0.2235348063</v>
      </c>
      <c r="Z57">
        <v>0.2329812305</v>
      </c>
      <c r="AA57">
        <v>5.07472733E-2</v>
      </c>
      <c r="AB57">
        <v>0.43256549999999999</v>
      </c>
      <c r="AC57">
        <f t="shared" si="0"/>
        <v>0.19071522894999995</v>
      </c>
      <c r="AD57">
        <f t="shared" si="1"/>
        <v>0.19692624354999999</v>
      </c>
    </row>
    <row r="58" spans="1:30" x14ac:dyDescent="0.25">
      <c r="A58" t="s">
        <v>408</v>
      </c>
      <c r="B58" t="s">
        <v>427</v>
      </c>
      <c r="C58">
        <v>115</v>
      </c>
      <c r="D58" t="s">
        <v>4</v>
      </c>
      <c r="E58">
        <v>2.9147159999999998E-2</v>
      </c>
      <c r="F58">
        <v>2.8696304999999998E-2</v>
      </c>
      <c r="G58">
        <v>2.8573230000000002E-2</v>
      </c>
      <c r="H58">
        <v>2.7534705E-2</v>
      </c>
      <c r="I58">
        <v>2.7474180000000001E-2</v>
      </c>
      <c r="J58">
        <v>2.8580009999999999E-2</v>
      </c>
      <c r="K58">
        <v>2.662989E-2</v>
      </c>
      <c r="L58">
        <v>2.6929635E-2</v>
      </c>
      <c r="M58">
        <v>2.7754259999999999E-2</v>
      </c>
      <c r="N58">
        <v>3.0318990000000001E-2</v>
      </c>
      <c r="O58">
        <v>3.2479920000000002E-2</v>
      </c>
      <c r="P58">
        <v>3.4428704999999997E-2</v>
      </c>
      <c r="Q58">
        <v>3.4264889999999999E-2</v>
      </c>
      <c r="R58">
        <v>3.4477124999999997E-2</v>
      </c>
      <c r="S58">
        <v>3.4688205E-2</v>
      </c>
      <c r="T58">
        <v>3.4282859999999998E-2</v>
      </c>
      <c r="U58">
        <v>3.5349989999999998E-2</v>
      </c>
      <c r="V58">
        <v>3.7340415000000002E-2</v>
      </c>
      <c r="W58">
        <v>4.4097989999999997E-2</v>
      </c>
      <c r="X58">
        <v>4.7407035E-2</v>
      </c>
      <c r="Y58">
        <v>4.5722535000000002E-2</v>
      </c>
      <c r="Z58">
        <v>4.1185409999999999E-2</v>
      </c>
      <c r="AA58">
        <v>3.770271E-2</v>
      </c>
      <c r="AB58">
        <v>3.4444755000000001E-2</v>
      </c>
      <c r="AC58">
        <f t="shared" si="0"/>
        <v>3.3729621250000001E-2</v>
      </c>
      <c r="AD58">
        <f t="shared" si="1"/>
        <v>3.4273874999999995E-2</v>
      </c>
    </row>
    <row r="59" spans="1:30" x14ac:dyDescent="0.25">
      <c r="A59" t="s">
        <v>408</v>
      </c>
      <c r="B59" t="s">
        <v>428</v>
      </c>
      <c r="C59">
        <v>115</v>
      </c>
      <c r="D59" t="s">
        <v>2</v>
      </c>
      <c r="E59">
        <v>8.9885820400000007</v>
      </c>
      <c r="F59">
        <v>8.7453096949999996</v>
      </c>
      <c r="G59">
        <v>8.6101440549999992</v>
      </c>
      <c r="H59">
        <v>8.5243239600000003</v>
      </c>
      <c r="I59">
        <v>8.5324482400000008</v>
      </c>
      <c r="J59">
        <v>8.7698056599999994</v>
      </c>
      <c r="K59">
        <v>8.3506389100000007</v>
      </c>
      <c r="L59">
        <v>8.1790962349999994</v>
      </c>
      <c r="M59">
        <v>8.3703438349999999</v>
      </c>
      <c r="N59">
        <v>9.0045094900000002</v>
      </c>
      <c r="O59">
        <v>9.8005953550000005</v>
      </c>
      <c r="P59">
        <v>10.465304874999999</v>
      </c>
      <c r="Q59">
        <v>10.76553386</v>
      </c>
      <c r="R59">
        <v>10.78451875</v>
      </c>
      <c r="S59">
        <v>10.65781426</v>
      </c>
      <c r="T59">
        <v>10.502500445000001</v>
      </c>
      <c r="U59">
        <v>10.762160235</v>
      </c>
      <c r="V59">
        <v>11.331839909999999</v>
      </c>
      <c r="W59">
        <v>13.372326510000001</v>
      </c>
      <c r="X59">
        <v>14.19492956</v>
      </c>
      <c r="Y59">
        <v>13.929636555</v>
      </c>
      <c r="Z59">
        <v>12.910134960000001</v>
      </c>
      <c r="AA59">
        <v>11.781221535</v>
      </c>
      <c r="AB59">
        <v>10.742395224999999</v>
      </c>
      <c r="AC59">
        <f t="shared" si="0"/>
        <v>10.336504756458332</v>
      </c>
      <c r="AD59">
        <f t="shared" si="1"/>
        <v>10.48390266</v>
      </c>
    </row>
    <row r="60" spans="1:30" x14ac:dyDescent="0.25">
      <c r="A60" t="s">
        <v>408</v>
      </c>
      <c r="B60" t="s">
        <v>428</v>
      </c>
      <c r="C60">
        <v>115</v>
      </c>
      <c r="D60" t="s">
        <v>3</v>
      </c>
      <c r="E60">
        <v>1.7920206779000001</v>
      </c>
      <c r="F60">
        <v>1.7899465135999999</v>
      </c>
      <c r="G60">
        <v>1.8025892157000001</v>
      </c>
      <c r="H60">
        <v>1.7780985087000001</v>
      </c>
      <c r="I60">
        <v>1.7693010779</v>
      </c>
      <c r="J60">
        <v>1.3362545157000001</v>
      </c>
      <c r="K60">
        <v>0.98536612450000005</v>
      </c>
      <c r="L60">
        <v>1.0506703416000001</v>
      </c>
      <c r="M60">
        <v>1.1645477212999999</v>
      </c>
      <c r="N60">
        <v>1.3498292088999999</v>
      </c>
      <c r="O60">
        <v>1.5171062383</v>
      </c>
      <c r="P60">
        <v>1.6381205639</v>
      </c>
      <c r="Q60">
        <v>1.6396120751000001</v>
      </c>
      <c r="R60">
        <v>1.7206603402</v>
      </c>
      <c r="S60">
        <v>1.7327631893</v>
      </c>
      <c r="T60">
        <v>1.6838488149999999</v>
      </c>
      <c r="U60">
        <v>1.6803040435000001</v>
      </c>
      <c r="V60">
        <v>1.6212439448</v>
      </c>
      <c r="W60">
        <v>2.2365604646000001</v>
      </c>
      <c r="X60">
        <v>2.4049202921999999</v>
      </c>
      <c r="Y60">
        <v>2.3000849701999999</v>
      </c>
      <c r="Z60">
        <v>2.0989488164000001</v>
      </c>
      <c r="AA60">
        <v>2.0596327194000001</v>
      </c>
      <c r="AB60">
        <v>2.0131240593999999</v>
      </c>
      <c r="AC60">
        <f t="shared" si="0"/>
        <v>1.7152314349208335</v>
      </c>
      <c r="AD60">
        <f t="shared" si="1"/>
        <v>1.7267117647500001</v>
      </c>
    </row>
    <row r="61" spans="1:30" x14ac:dyDescent="0.25">
      <c r="A61" t="s">
        <v>408</v>
      </c>
      <c r="B61" t="s">
        <v>428</v>
      </c>
      <c r="C61">
        <v>115</v>
      </c>
      <c r="D61" t="s">
        <v>4</v>
      </c>
      <c r="E61">
        <v>0.13688196</v>
      </c>
      <c r="F61">
        <v>0.133177305</v>
      </c>
      <c r="G61">
        <v>0.13111894499999999</v>
      </c>
      <c r="H61">
        <v>0.12981203999999999</v>
      </c>
      <c r="I61">
        <v>0.12993576000000001</v>
      </c>
      <c r="J61">
        <v>0.13355033999999999</v>
      </c>
      <c r="K61">
        <v>0.12716709000000001</v>
      </c>
      <c r="L61">
        <v>0.124554765</v>
      </c>
      <c r="M61">
        <v>0.12746716499999999</v>
      </c>
      <c r="N61">
        <v>0.13712451000000001</v>
      </c>
      <c r="O61">
        <v>0.14924764500000001</v>
      </c>
      <c r="P61">
        <v>0.159370125</v>
      </c>
      <c r="Q61">
        <v>0.16394213999999999</v>
      </c>
      <c r="R61">
        <v>0.16423125</v>
      </c>
      <c r="S61">
        <v>0.16230174</v>
      </c>
      <c r="T61">
        <v>0.15993655500000001</v>
      </c>
      <c r="U61">
        <v>0.16389076499999999</v>
      </c>
      <c r="V61">
        <v>0.17256609000000001</v>
      </c>
      <c r="W61">
        <v>0.20363949000000001</v>
      </c>
      <c r="X61">
        <v>0.21616643999999999</v>
      </c>
      <c r="Y61">
        <v>0.212126445</v>
      </c>
      <c r="Z61">
        <v>0.19660104</v>
      </c>
      <c r="AA61">
        <v>0.17940946499999999</v>
      </c>
      <c r="AB61">
        <v>0.16358977499999999</v>
      </c>
      <c r="AC61">
        <f t="shared" si="0"/>
        <v>0.15740870187500003</v>
      </c>
      <c r="AD61">
        <f t="shared" si="1"/>
        <v>0.15965334</v>
      </c>
    </row>
    <row r="62" spans="1:30" x14ac:dyDescent="0.25">
      <c r="A62" t="s">
        <v>408</v>
      </c>
      <c r="B62" t="s">
        <v>429</v>
      </c>
      <c r="C62">
        <v>34</v>
      </c>
      <c r="D62" t="s">
        <v>2</v>
      </c>
      <c r="E62">
        <v>0.43321169999999998</v>
      </c>
      <c r="F62">
        <v>0.36963014</v>
      </c>
      <c r="G62">
        <v>0.35600842999999999</v>
      </c>
      <c r="H62">
        <v>0.32879993000000002</v>
      </c>
      <c r="I62">
        <v>0.32910741999999998</v>
      </c>
      <c r="J62">
        <v>0.55973267999999998</v>
      </c>
      <c r="K62">
        <v>0.55611166999999995</v>
      </c>
      <c r="L62">
        <v>0.44416397000000002</v>
      </c>
      <c r="M62">
        <v>0.65735736</v>
      </c>
      <c r="N62">
        <v>0.80207457000000004</v>
      </c>
      <c r="O62">
        <v>0.98553552</v>
      </c>
      <c r="P62">
        <v>1.13095889</v>
      </c>
      <c r="Q62">
        <v>1.21298306</v>
      </c>
      <c r="R62">
        <v>1.02070675</v>
      </c>
      <c r="S62">
        <v>0.86883385000000002</v>
      </c>
      <c r="T62">
        <v>0.74871001999999998</v>
      </c>
      <c r="U62">
        <v>0.78849263000000003</v>
      </c>
      <c r="V62">
        <v>0.73820200999999996</v>
      </c>
      <c r="W62">
        <v>0.88100347000000001</v>
      </c>
      <c r="X62">
        <v>0.91657628000000002</v>
      </c>
      <c r="Y62">
        <v>0.90120663000000001</v>
      </c>
      <c r="Z62">
        <v>0.79132793999999995</v>
      </c>
      <c r="AA62">
        <v>0.82230197999999999</v>
      </c>
      <c r="AB62">
        <v>0.71194992999999995</v>
      </c>
      <c r="AC62">
        <f t="shared" si="0"/>
        <v>0.72312445125000002</v>
      </c>
      <c r="AD62">
        <f t="shared" si="1"/>
        <v>0.768601325</v>
      </c>
    </row>
    <row r="63" spans="1:30" x14ac:dyDescent="0.25">
      <c r="A63" t="s">
        <v>408</v>
      </c>
      <c r="B63" t="s">
        <v>429</v>
      </c>
      <c r="C63">
        <v>34</v>
      </c>
      <c r="D63" t="s">
        <v>3</v>
      </c>
      <c r="E63">
        <v>4.8898178799999997E-2</v>
      </c>
      <c r="F63">
        <v>9.3282586400000006E-2</v>
      </c>
      <c r="G63">
        <v>4.26507525E-2</v>
      </c>
      <c r="H63">
        <v>2.3386704299999998E-2</v>
      </c>
      <c r="I63">
        <v>2.65160051E-2</v>
      </c>
      <c r="J63">
        <v>4.25727521E-2</v>
      </c>
      <c r="K63">
        <v>6.2367412800000001E-2</v>
      </c>
      <c r="L63">
        <v>7.0952641499999997E-2</v>
      </c>
      <c r="M63">
        <v>0.12894237150000001</v>
      </c>
      <c r="N63">
        <v>0.15943686139999999</v>
      </c>
      <c r="O63">
        <v>0.19758049750000001</v>
      </c>
      <c r="P63">
        <v>0.21846174300000001</v>
      </c>
      <c r="Q63">
        <v>0.58151795309999998</v>
      </c>
      <c r="R63">
        <v>0.2182762231</v>
      </c>
      <c r="S63">
        <v>0.1663973078</v>
      </c>
      <c r="T63">
        <v>5.6946194499999998E-2</v>
      </c>
      <c r="U63">
        <v>8.8428724E-2</v>
      </c>
      <c r="V63">
        <v>0.1179235285</v>
      </c>
      <c r="W63">
        <v>0.172811143</v>
      </c>
      <c r="X63">
        <v>0.1821975797</v>
      </c>
      <c r="Y63">
        <v>0.18067421289999999</v>
      </c>
      <c r="Z63">
        <v>0.1528569098</v>
      </c>
      <c r="AA63">
        <v>0.17584773540000001</v>
      </c>
      <c r="AB63">
        <v>0.13635121559999999</v>
      </c>
      <c r="AC63">
        <f t="shared" si="0"/>
        <v>0.13938655142916667</v>
      </c>
      <c r="AD63">
        <f t="shared" si="1"/>
        <v>0.13264679355</v>
      </c>
    </row>
    <row r="64" spans="1:30" x14ac:dyDescent="0.25">
      <c r="A64" t="s">
        <v>408</v>
      </c>
      <c r="B64" t="s">
        <v>429</v>
      </c>
      <c r="C64">
        <v>34</v>
      </c>
      <c r="D64" t="s">
        <v>4</v>
      </c>
      <c r="E64">
        <v>1.33983E-2</v>
      </c>
      <c r="F64">
        <v>1.143186E-2</v>
      </c>
      <c r="G64">
        <v>1.1010570000000001E-2</v>
      </c>
      <c r="H64">
        <v>1.0169070000000001E-2</v>
      </c>
      <c r="I64">
        <v>1.017858E-2</v>
      </c>
      <c r="J64">
        <v>1.7311320000000002E-2</v>
      </c>
      <c r="K64">
        <v>1.7199329999999999E-2</v>
      </c>
      <c r="L64">
        <v>1.3737030000000001E-2</v>
      </c>
      <c r="M64">
        <v>2.0330640000000001E-2</v>
      </c>
      <c r="N64">
        <v>2.4806430000000001E-2</v>
      </c>
      <c r="O64">
        <v>3.0480480000000001E-2</v>
      </c>
      <c r="P64">
        <v>3.497811E-2</v>
      </c>
      <c r="Q64">
        <v>3.7514939999999997E-2</v>
      </c>
      <c r="R64">
        <v>3.1568249999999999E-2</v>
      </c>
      <c r="S64">
        <v>2.687115E-2</v>
      </c>
      <c r="T64">
        <v>2.315598E-2</v>
      </c>
      <c r="U64">
        <v>2.4386370000000001E-2</v>
      </c>
      <c r="V64">
        <v>2.2830989999999999E-2</v>
      </c>
      <c r="W64">
        <v>2.7247529999999999E-2</v>
      </c>
      <c r="X64">
        <v>2.834772E-2</v>
      </c>
      <c r="Y64">
        <v>2.787237E-2</v>
      </c>
      <c r="Z64">
        <v>2.4474059999999999E-2</v>
      </c>
      <c r="AA64">
        <v>2.543202E-2</v>
      </c>
      <c r="AB64">
        <v>2.2019070000000002E-2</v>
      </c>
      <c r="AC64">
        <f t="shared" si="0"/>
        <v>2.2364673750000008E-2</v>
      </c>
      <c r="AD64">
        <f t="shared" si="1"/>
        <v>2.3771174999999999E-2</v>
      </c>
    </row>
    <row r="65" spans="1:30" x14ac:dyDescent="0.25">
      <c r="A65" t="s">
        <v>408</v>
      </c>
      <c r="B65" t="s">
        <v>430</v>
      </c>
      <c r="C65">
        <v>34</v>
      </c>
      <c r="D65" t="s">
        <v>2</v>
      </c>
      <c r="E65">
        <v>4.37518209</v>
      </c>
      <c r="F65">
        <v>4.4456205799999999</v>
      </c>
      <c r="G65">
        <v>4.45763015</v>
      </c>
      <c r="H65">
        <v>4.6133141799999997</v>
      </c>
      <c r="I65">
        <v>4.5226502200000001</v>
      </c>
      <c r="J65">
        <v>4.5808327599999998</v>
      </c>
      <c r="K65">
        <v>4.5241188000000001</v>
      </c>
      <c r="L65">
        <v>4.6149757899999999</v>
      </c>
      <c r="M65">
        <v>4.31237168</v>
      </c>
      <c r="N65">
        <v>4.2693783700000001</v>
      </c>
      <c r="O65">
        <v>4.3788787600000001</v>
      </c>
      <c r="P65">
        <v>4.3817247400000001</v>
      </c>
      <c r="Q65">
        <v>4.1043260799999999</v>
      </c>
      <c r="R65">
        <v>4.4960450600000001</v>
      </c>
      <c r="S65">
        <v>4.6221964699999996</v>
      </c>
      <c r="T65">
        <v>4.7029334499999997</v>
      </c>
      <c r="U65">
        <v>5.0357511199999996</v>
      </c>
      <c r="V65">
        <v>5.1777649400000003</v>
      </c>
      <c r="W65">
        <v>5.6608356100000004</v>
      </c>
      <c r="X65">
        <v>5.7256762300000004</v>
      </c>
      <c r="Y65">
        <v>5.6143231399999998</v>
      </c>
      <c r="Z65">
        <v>5.2952726800000001</v>
      </c>
      <c r="AA65">
        <v>5.0329982600000003</v>
      </c>
      <c r="AB65">
        <v>5.0427312400000002</v>
      </c>
      <c r="AC65">
        <f t="shared" si="0"/>
        <v>4.7494805166666669</v>
      </c>
      <c r="AD65">
        <f t="shared" si="1"/>
        <v>4.5970734699999998</v>
      </c>
    </row>
    <row r="66" spans="1:30" x14ac:dyDescent="0.25">
      <c r="A66" t="s">
        <v>408</v>
      </c>
      <c r="B66" t="s">
        <v>430</v>
      </c>
      <c r="C66">
        <v>34</v>
      </c>
      <c r="D66" t="s">
        <v>3</v>
      </c>
      <c r="E66">
        <v>0.1071937562</v>
      </c>
      <c r="F66">
        <v>1.9881618E-2</v>
      </c>
      <c r="G66">
        <v>0.1016691986</v>
      </c>
      <c r="H66">
        <v>6.1897955900000003E-2</v>
      </c>
      <c r="I66">
        <v>0.10894392210000001</v>
      </c>
      <c r="J66">
        <v>0.16651207600000001</v>
      </c>
      <c r="K66">
        <v>0.101181597</v>
      </c>
      <c r="L66">
        <v>0</v>
      </c>
      <c r="M66">
        <v>2.72743786E-2</v>
      </c>
      <c r="N66">
        <v>6.3330641500000007E-2</v>
      </c>
      <c r="O66">
        <v>0.17193908320000001</v>
      </c>
      <c r="P66">
        <v>0.31474962270000001</v>
      </c>
      <c r="Q66">
        <v>0.46178566650000002</v>
      </c>
      <c r="R66">
        <v>0.33534308730000001</v>
      </c>
      <c r="S66">
        <v>0.39271940259999999</v>
      </c>
      <c r="T66">
        <v>0.53633036320000005</v>
      </c>
      <c r="U66">
        <v>0.78790589069999994</v>
      </c>
      <c r="V66">
        <v>0.88421211980000003</v>
      </c>
      <c r="W66">
        <v>0.61288982690000005</v>
      </c>
      <c r="X66">
        <v>0.5130159809</v>
      </c>
      <c r="Y66">
        <v>0.39211042060000001</v>
      </c>
      <c r="Z66">
        <v>0.38480351899999998</v>
      </c>
      <c r="AA66">
        <v>0.26944885260000001</v>
      </c>
      <c r="AB66">
        <v>0.1992884254</v>
      </c>
      <c r="AC66">
        <f t="shared" si="0"/>
        <v>0.29226780855416667</v>
      </c>
      <c r="AD66">
        <f t="shared" si="1"/>
        <v>0.23436863899999999</v>
      </c>
    </row>
    <row r="67" spans="1:30" x14ac:dyDescent="0.25">
      <c r="A67" t="s">
        <v>408</v>
      </c>
      <c r="B67" t="s">
        <v>430</v>
      </c>
      <c r="C67">
        <v>34</v>
      </c>
      <c r="D67" t="s">
        <v>4</v>
      </c>
      <c r="E67">
        <v>0.13531491000000001</v>
      </c>
      <c r="F67">
        <v>0.13749342000000001</v>
      </c>
      <c r="G67">
        <v>0.13786485000000001</v>
      </c>
      <c r="H67">
        <v>0.14267982000000001</v>
      </c>
      <c r="I67">
        <v>0.13987578000000001</v>
      </c>
      <c r="J67">
        <v>0.14167524000000001</v>
      </c>
      <c r="K67">
        <v>0.1399212</v>
      </c>
      <c r="L67">
        <v>0.14273121</v>
      </c>
      <c r="M67">
        <v>0.13337231999999999</v>
      </c>
      <c r="N67">
        <v>0.13204262999999999</v>
      </c>
      <c r="O67">
        <v>0.13542924000000001</v>
      </c>
      <c r="P67">
        <v>0.13551726</v>
      </c>
      <c r="Q67">
        <v>0.12693792000000001</v>
      </c>
      <c r="R67">
        <v>0.13905294000000001</v>
      </c>
      <c r="S67">
        <v>0.14295453</v>
      </c>
      <c r="T67">
        <v>0.14545155000000001</v>
      </c>
      <c r="U67">
        <v>0.15574488</v>
      </c>
      <c r="V67">
        <v>0.16013706</v>
      </c>
      <c r="W67">
        <v>0.17507739</v>
      </c>
      <c r="X67">
        <v>0.17708277</v>
      </c>
      <c r="Y67">
        <v>0.17363886000000001</v>
      </c>
      <c r="Z67">
        <v>0.16377132</v>
      </c>
      <c r="AA67">
        <v>0.15565973999999999</v>
      </c>
      <c r="AB67">
        <v>0.15596076</v>
      </c>
      <c r="AC67">
        <f t="shared" ref="AC67:AC91" si="2">AVERAGE(E67:AB67)</f>
        <v>0.14689115</v>
      </c>
      <c r="AD67">
        <f t="shared" ref="AD67:AD91" si="3">MEDIAN(E67:AB67)</f>
        <v>0.14217753</v>
      </c>
    </row>
    <row r="68" spans="1:30" x14ac:dyDescent="0.25">
      <c r="A68" t="s">
        <v>408</v>
      </c>
      <c r="B68" t="s">
        <v>431</v>
      </c>
      <c r="C68">
        <v>34</v>
      </c>
      <c r="D68" t="s">
        <v>2</v>
      </c>
      <c r="E68">
        <v>12.3579261</v>
      </c>
      <c r="F68">
        <v>12.61268787</v>
      </c>
      <c r="G68">
        <v>12.75112918</v>
      </c>
      <c r="H68">
        <v>12.88136429</v>
      </c>
      <c r="I68">
        <v>12.850599770000001</v>
      </c>
      <c r="J68">
        <v>13.058672530000001</v>
      </c>
      <c r="K68">
        <v>14.15264629</v>
      </c>
      <c r="L68">
        <v>16.420540240000001</v>
      </c>
      <c r="M68">
        <v>18.324171060000001</v>
      </c>
      <c r="N68">
        <v>17.612230830000001</v>
      </c>
      <c r="O68">
        <v>17.274159640000001</v>
      </c>
      <c r="P68">
        <v>16.440348610000001</v>
      </c>
      <c r="Q68">
        <v>16.66050272</v>
      </c>
      <c r="R68">
        <v>18.058189299999999</v>
      </c>
      <c r="S68">
        <v>18.226554140000001</v>
      </c>
      <c r="T68">
        <v>19.968829339999999</v>
      </c>
      <c r="U68">
        <v>18.112140700000001</v>
      </c>
      <c r="V68">
        <v>15.66782703</v>
      </c>
      <c r="W68">
        <v>14.68339537</v>
      </c>
      <c r="X68">
        <v>14.458502810000001</v>
      </c>
      <c r="Y68">
        <v>14.47682417</v>
      </c>
      <c r="Z68">
        <v>13.978961</v>
      </c>
      <c r="AA68">
        <v>13.729557509999999</v>
      </c>
      <c r="AB68">
        <v>13.65407405</v>
      </c>
      <c r="AC68">
        <f t="shared" si="2"/>
        <v>15.350493106250005</v>
      </c>
      <c r="AD68">
        <f t="shared" si="3"/>
        <v>14.58010977</v>
      </c>
    </row>
    <row r="69" spans="1:30" x14ac:dyDescent="0.25">
      <c r="A69" t="s">
        <v>408</v>
      </c>
      <c r="B69" t="s">
        <v>431</v>
      </c>
      <c r="C69">
        <v>34</v>
      </c>
      <c r="D69" t="s">
        <v>3</v>
      </c>
      <c r="E69">
        <v>5.0011288401999998</v>
      </c>
      <c r="F69">
        <v>5.0775810236999996</v>
      </c>
      <c r="G69">
        <v>5.0935466243</v>
      </c>
      <c r="H69">
        <v>4.8954820553999996</v>
      </c>
      <c r="I69">
        <v>5.1957236781000002</v>
      </c>
      <c r="J69">
        <v>5.7072417187999998</v>
      </c>
      <c r="K69">
        <v>2.7592351565</v>
      </c>
      <c r="L69">
        <v>2.6177443113000001</v>
      </c>
      <c r="M69">
        <v>2.3081429443000001</v>
      </c>
      <c r="N69">
        <v>2.4241621857000002</v>
      </c>
      <c r="O69">
        <v>2.4224117890999999</v>
      </c>
      <c r="P69">
        <v>2.3603959051999999</v>
      </c>
      <c r="Q69">
        <v>2.2706512422</v>
      </c>
      <c r="R69">
        <v>2.3879199685999999</v>
      </c>
      <c r="S69">
        <v>2.4144239972000001</v>
      </c>
      <c r="T69">
        <v>2.3459109251000001</v>
      </c>
      <c r="U69">
        <v>2.2532972123000001</v>
      </c>
      <c r="V69">
        <v>2.3411241404999998</v>
      </c>
      <c r="W69">
        <v>4.9090658623000003</v>
      </c>
      <c r="X69">
        <v>5.8525567776000003</v>
      </c>
      <c r="Y69">
        <v>5.8801601493</v>
      </c>
      <c r="Z69">
        <v>5.6358726378000004</v>
      </c>
      <c r="AA69">
        <v>5.5353210800000001</v>
      </c>
      <c r="AB69">
        <v>5.4806602969</v>
      </c>
      <c r="AC69">
        <f t="shared" si="2"/>
        <v>3.8820733550999997</v>
      </c>
      <c r="AD69">
        <f t="shared" si="3"/>
        <v>3.8273586059499998</v>
      </c>
    </row>
    <row r="70" spans="1:30" x14ac:dyDescent="0.25">
      <c r="A70" t="s">
        <v>408</v>
      </c>
      <c r="B70" t="s">
        <v>431</v>
      </c>
      <c r="C70">
        <v>34</v>
      </c>
      <c r="D70" t="s">
        <v>4</v>
      </c>
      <c r="E70">
        <v>0.38220389999999999</v>
      </c>
      <c r="F70">
        <v>0.39008313</v>
      </c>
      <c r="G70">
        <v>0.39436482</v>
      </c>
      <c r="H70">
        <v>0.39839270999999998</v>
      </c>
      <c r="I70">
        <v>0.39744122999999998</v>
      </c>
      <c r="J70">
        <v>0.40387646999999999</v>
      </c>
      <c r="K70">
        <v>0.43771071</v>
      </c>
      <c r="L70">
        <v>0.50785175999999999</v>
      </c>
      <c r="M70">
        <v>0.56672694000000001</v>
      </c>
      <c r="N70">
        <v>0.54470817000000005</v>
      </c>
      <c r="O70">
        <v>0.53425235999999998</v>
      </c>
      <c r="P70">
        <v>0.50846438999999999</v>
      </c>
      <c r="Q70">
        <v>0.51527327999999994</v>
      </c>
      <c r="R70">
        <v>0.55850069999999996</v>
      </c>
      <c r="S70">
        <v>0.56370785999999995</v>
      </c>
      <c r="T70">
        <v>0.61759266000000002</v>
      </c>
      <c r="U70">
        <v>0.56016929999999998</v>
      </c>
      <c r="V70">
        <v>0.48457197000000002</v>
      </c>
      <c r="W70">
        <v>0.45412563</v>
      </c>
      <c r="X70">
        <v>0.44717019000000002</v>
      </c>
      <c r="Y70">
        <v>0.44773682999999997</v>
      </c>
      <c r="Z70">
        <v>0.43233899999999997</v>
      </c>
      <c r="AA70">
        <v>0.42462548999999999</v>
      </c>
      <c r="AB70">
        <v>0.42229095</v>
      </c>
      <c r="AC70">
        <f t="shared" si="2"/>
        <v>0.47475751875</v>
      </c>
      <c r="AD70">
        <f t="shared" si="3"/>
        <v>0.45093123000000002</v>
      </c>
    </row>
    <row r="71" spans="1:30" x14ac:dyDescent="0.25">
      <c r="A71" t="s">
        <v>408</v>
      </c>
      <c r="B71" t="s">
        <v>434</v>
      </c>
      <c r="C71">
        <v>115</v>
      </c>
      <c r="D71" t="s">
        <v>2</v>
      </c>
      <c r="E71">
        <v>0.76920029000000001</v>
      </c>
      <c r="F71">
        <v>0.75069213999999995</v>
      </c>
      <c r="G71">
        <v>0.75867063999999995</v>
      </c>
      <c r="H71">
        <v>0.77050246</v>
      </c>
      <c r="I71">
        <v>0.78066175000000004</v>
      </c>
      <c r="J71">
        <v>0.78287504500000005</v>
      </c>
      <c r="K71">
        <v>0.97392268999999998</v>
      </c>
      <c r="L71">
        <v>1.2073381400000001</v>
      </c>
      <c r="M71">
        <v>1.2851885999999999</v>
      </c>
      <c r="N71">
        <v>1.329183625</v>
      </c>
      <c r="O71">
        <v>1.4705271849999999</v>
      </c>
      <c r="P71">
        <v>1.5242490849999999</v>
      </c>
      <c r="Q71">
        <v>1.347597215</v>
      </c>
      <c r="R71">
        <v>1.48428074</v>
      </c>
      <c r="S71">
        <v>1.5271282399999999</v>
      </c>
      <c r="T71">
        <v>1.4876622450000001</v>
      </c>
      <c r="U71">
        <v>1.38942524</v>
      </c>
      <c r="V71">
        <v>1.15945532</v>
      </c>
      <c r="W71">
        <v>1.2203036949999999</v>
      </c>
      <c r="X71">
        <v>1.1644276</v>
      </c>
      <c r="Y71">
        <v>1.0825937999999999</v>
      </c>
      <c r="Z71">
        <v>0.94870176500000003</v>
      </c>
      <c r="AA71">
        <v>0.88050529</v>
      </c>
      <c r="AB71">
        <v>0.87595065000000005</v>
      </c>
      <c r="AC71">
        <f t="shared" si="2"/>
        <v>1.1237934770833331</v>
      </c>
      <c r="AD71">
        <f t="shared" si="3"/>
        <v>1.16194146</v>
      </c>
    </row>
    <row r="72" spans="1:30" x14ac:dyDescent="0.25">
      <c r="A72" t="s">
        <v>408</v>
      </c>
      <c r="B72" t="s">
        <v>434</v>
      </c>
      <c r="C72">
        <v>115</v>
      </c>
      <c r="D72" t="s">
        <v>3</v>
      </c>
      <c r="E72">
        <v>0.15942346090000001</v>
      </c>
      <c r="F72">
        <v>0.1531401315</v>
      </c>
      <c r="G72">
        <v>0.16758921669999999</v>
      </c>
      <c r="H72">
        <v>0.17669077950000001</v>
      </c>
      <c r="I72">
        <v>0.16263954159999999</v>
      </c>
      <c r="J72">
        <v>0.1336444739</v>
      </c>
      <c r="K72">
        <v>0.22729928199999999</v>
      </c>
      <c r="L72">
        <v>0.33773595690000002</v>
      </c>
      <c r="M72">
        <v>0.40214132629999999</v>
      </c>
      <c r="N72">
        <v>0.41296788350000002</v>
      </c>
      <c r="O72">
        <v>0.48030557839999999</v>
      </c>
      <c r="P72">
        <v>0.50121277220000005</v>
      </c>
      <c r="Q72">
        <v>0.38948566299999998</v>
      </c>
      <c r="R72">
        <v>0.45370553949999998</v>
      </c>
      <c r="S72">
        <v>0.49431483679999999</v>
      </c>
      <c r="T72">
        <v>0.47445800259999998</v>
      </c>
      <c r="U72">
        <v>0.43055373650000001</v>
      </c>
      <c r="V72">
        <v>0.3070369469</v>
      </c>
      <c r="W72">
        <v>0.27608190249999998</v>
      </c>
      <c r="X72">
        <v>0.26729932439999998</v>
      </c>
      <c r="Y72">
        <v>0.23145650509999999</v>
      </c>
      <c r="Z72">
        <v>0.1885835028</v>
      </c>
      <c r="AA72">
        <v>0.17190416750000001</v>
      </c>
      <c r="AB72">
        <v>0.1889785457</v>
      </c>
      <c r="AC72">
        <f t="shared" si="2"/>
        <v>0.29952704486249998</v>
      </c>
      <c r="AD72">
        <f t="shared" si="3"/>
        <v>0.27169061345000001</v>
      </c>
    </row>
    <row r="73" spans="1:30" x14ac:dyDescent="0.25">
      <c r="A73" t="s">
        <v>408</v>
      </c>
      <c r="B73" t="s">
        <v>434</v>
      </c>
      <c r="C73">
        <v>115</v>
      </c>
      <c r="D73" t="s">
        <v>4</v>
      </c>
      <c r="E73">
        <v>1.171371E-2</v>
      </c>
      <c r="F73">
        <v>1.143186E-2</v>
      </c>
      <c r="G73">
        <v>1.155336E-2</v>
      </c>
      <c r="H73">
        <v>1.1733540000000001E-2</v>
      </c>
      <c r="I73">
        <v>1.188825E-2</v>
      </c>
      <c r="J73">
        <v>1.1921955E-2</v>
      </c>
      <c r="K73">
        <v>1.483131E-2</v>
      </c>
      <c r="L73">
        <v>1.838586E-2</v>
      </c>
      <c r="M73">
        <v>1.9571399999999999E-2</v>
      </c>
      <c r="N73">
        <v>2.0241374999999999E-2</v>
      </c>
      <c r="O73">
        <v>2.2393815000000001E-2</v>
      </c>
      <c r="P73">
        <v>2.3211915E-2</v>
      </c>
      <c r="Q73">
        <v>2.0521785000000001E-2</v>
      </c>
      <c r="R73">
        <v>2.260326E-2</v>
      </c>
      <c r="S73">
        <v>2.325576E-2</v>
      </c>
      <c r="T73">
        <v>2.2654754999999999E-2</v>
      </c>
      <c r="U73">
        <v>2.1158759999999999E-2</v>
      </c>
      <c r="V73">
        <v>1.7656680000000001E-2</v>
      </c>
      <c r="W73">
        <v>1.8583305000000001E-2</v>
      </c>
      <c r="X73">
        <v>1.7732399999999999E-2</v>
      </c>
      <c r="Y73">
        <v>1.6486199999999999E-2</v>
      </c>
      <c r="Z73">
        <v>1.4447234999999999E-2</v>
      </c>
      <c r="AA73">
        <v>1.3408710000000001E-2</v>
      </c>
      <c r="AB73">
        <v>1.333935E-2</v>
      </c>
      <c r="AC73">
        <f t="shared" si="2"/>
        <v>1.711360625E-2</v>
      </c>
      <c r="AD73">
        <f t="shared" si="3"/>
        <v>1.7694540000000002E-2</v>
      </c>
    </row>
    <row r="74" spans="1:30" x14ac:dyDescent="0.25">
      <c r="A74" t="s">
        <v>408</v>
      </c>
      <c r="B74" t="s">
        <v>435</v>
      </c>
      <c r="C74">
        <v>34</v>
      </c>
      <c r="D74" t="s">
        <v>2</v>
      </c>
      <c r="E74">
        <v>2.6144691299999998</v>
      </c>
      <c r="F74">
        <v>2.6276436699999999</v>
      </c>
      <c r="G74">
        <v>2.6299513000000001</v>
      </c>
      <c r="H74">
        <v>2.63545702</v>
      </c>
      <c r="I74">
        <v>2.6585672699999998</v>
      </c>
      <c r="J74">
        <v>2.7088957200000001</v>
      </c>
      <c r="K74">
        <v>2.7913059499999999</v>
      </c>
      <c r="L74">
        <v>3.0658178899999999</v>
      </c>
      <c r="M74">
        <v>3.1449495199999999</v>
      </c>
      <c r="N74">
        <v>3.1581706199999999</v>
      </c>
      <c r="O74">
        <v>3.3818506799999999</v>
      </c>
      <c r="P74">
        <v>3.47577384</v>
      </c>
      <c r="Q74">
        <v>3.2486328200000001</v>
      </c>
      <c r="R74">
        <v>3.5678491499999998</v>
      </c>
      <c r="S74">
        <v>3.6459428800000002</v>
      </c>
      <c r="T74">
        <v>3.6398299399999998</v>
      </c>
      <c r="U74">
        <v>3.5415912500000002</v>
      </c>
      <c r="V74">
        <v>3.3150118599999998</v>
      </c>
      <c r="W74">
        <v>3.59743221</v>
      </c>
      <c r="X74">
        <v>3.61560031</v>
      </c>
      <c r="Y74">
        <v>3.7275421899999999</v>
      </c>
      <c r="Z74">
        <v>3.5278579900000002</v>
      </c>
      <c r="AA74">
        <v>3.25721053</v>
      </c>
      <c r="AB74">
        <v>3.0634520599999999</v>
      </c>
      <c r="AC74">
        <f t="shared" si="2"/>
        <v>3.1933669083333331</v>
      </c>
      <c r="AD74">
        <f t="shared" si="3"/>
        <v>3.2529216750000001</v>
      </c>
    </row>
    <row r="75" spans="1:30" x14ac:dyDescent="0.25">
      <c r="A75" t="s">
        <v>408</v>
      </c>
      <c r="B75" t="s">
        <v>435</v>
      </c>
      <c r="C75">
        <v>34</v>
      </c>
      <c r="D75" t="s">
        <v>3</v>
      </c>
      <c r="E75">
        <v>0.34935813729999998</v>
      </c>
      <c r="F75">
        <v>0.60095789629999996</v>
      </c>
      <c r="G75">
        <v>0.46618896920000003</v>
      </c>
      <c r="H75">
        <v>0.4269568386</v>
      </c>
      <c r="I75">
        <v>0.42676022000000002</v>
      </c>
      <c r="J75">
        <v>0.34733041269999998</v>
      </c>
      <c r="K75">
        <v>0.41727665539999997</v>
      </c>
      <c r="L75">
        <v>0.45426925979999999</v>
      </c>
      <c r="M75">
        <v>0.44287029080000001</v>
      </c>
      <c r="N75">
        <v>0.40518798659999999</v>
      </c>
      <c r="O75">
        <v>0.40486615640000001</v>
      </c>
      <c r="P75">
        <v>0.26665915379999999</v>
      </c>
      <c r="Q75">
        <v>0.13002333960000001</v>
      </c>
      <c r="R75">
        <v>0.29321601000000003</v>
      </c>
      <c r="S75">
        <v>0.31279511380000002</v>
      </c>
      <c r="T75">
        <v>0.2685128054</v>
      </c>
      <c r="U75">
        <v>6.9047808099999997E-2</v>
      </c>
      <c r="V75">
        <v>0.12586376190000001</v>
      </c>
      <c r="W75">
        <v>0.1711649539</v>
      </c>
      <c r="X75">
        <v>0.2396798463</v>
      </c>
      <c r="Y75">
        <v>0.29561808420000002</v>
      </c>
      <c r="Z75">
        <v>0.28643980829999999</v>
      </c>
      <c r="AA75">
        <v>0.22321931980000001</v>
      </c>
      <c r="AB75">
        <v>0.36068789559999997</v>
      </c>
      <c r="AC75">
        <f t="shared" si="2"/>
        <v>0.32437294682499995</v>
      </c>
      <c r="AD75">
        <f t="shared" si="3"/>
        <v>0.33006276325</v>
      </c>
    </row>
    <row r="76" spans="1:30" x14ac:dyDescent="0.25">
      <c r="A76" t="s">
        <v>408</v>
      </c>
      <c r="B76" t="s">
        <v>435</v>
      </c>
      <c r="C76">
        <v>34</v>
      </c>
      <c r="D76" t="s">
        <v>4</v>
      </c>
      <c r="E76">
        <v>8.085987E-2</v>
      </c>
      <c r="F76">
        <v>8.1267329999999999E-2</v>
      </c>
      <c r="G76">
        <v>8.13387E-2</v>
      </c>
      <c r="H76">
        <v>8.1508979999999995E-2</v>
      </c>
      <c r="I76">
        <v>8.2223729999999995E-2</v>
      </c>
      <c r="J76">
        <v>8.3780279999999999E-2</v>
      </c>
      <c r="K76">
        <v>8.6329050000000004E-2</v>
      </c>
      <c r="L76">
        <v>9.4819109999999998E-2</v>
      </c>
      <c r="M76">
        <v>9.7266480000000002E-2</v>
      </c>
      <c r="N76">
        <v>9.7675380000000006E-2</v>
      </c>
      <c r="O76">
        <v>0.10459332</v>
      </c>
      <c r="P76">
        <v>0.10749816</v>
      </c>
      <c r="Q76">
        <v>0.10047318</v>
      </c>
      <c r="R76">
        <v>0.11034585</v>
      </c>
      <c r="S76">
        <v>0.11276112000000001</v>
      </c>
      <c r="T76">
        <v>0.11257206</v>
      </c>
      <c r="U76">
        <v>0.10953375</v>
      </c>
      <c r="V76">
        <v>0.10252614</v>
      </c>
      <c r="W76">
        <v>0.11126079</v>
      </c>
      <c r="X76">
        <v>0.11182269</v>
      </c>
      <c r="Y76">
        <v>0.11528481</v>
      </c>
      <c r="Z76">
        <v>0.10910901000000001</v>
      </c>
      <c r="AA76">
        <v>0.10073847</v>
      </c>
      <c r="AB76">
        <v>9.4745940000000001E-2</v>
      </c>
      <c r="AC76">
        <f t="shared" si="2"/>
        <v>9.8763925000000016E-2</v>
      </c>
      <c r="AD76">
        <f t="shared" si="3"/>
        <v>0.100605825</v>
      </c>
    </row>
    <row r="77" spans="1:30" x14ac:dyDescent="0.25">
      <c r="A77" t="s">
        <v>408</v>
      </c>
      <c r="B77" t="s">
        <v>436</v>
      </c>
      <c r="C77">
        <v>34</v>
      </c>
      <c r="D77" t="s">
        <v>2</v>
      </c>
      <c r="E77">
        <v>1.53017403</v>
      </c>
      <c r="F77">
        <v>1.5564697599999999</v>
      </c>
      <c r="G77">
        <v>1.59702546</v>
      </c>
      <c r="H77">
        <v>1.6541157799999999</v>
      </c>
      <c r="I77">
        <v>1.6815308899999999</v>
      </c>
      <c r="J77">
        <v>1.7795280499999999</v>
      </c>
      <c r="K77">
        <v>1.7032608300000001</v>
      </c>
      <c r="L77">
        <v>1.46790876</v>
      </c>
      <c r="M77">
        <v>1.25470664</v>
      </c>
      <c r="N77">
        <v>1.147413</v>
      </c>
      <c r="O77">
        <v>0.99415494000000004</v>
      </c>
      <c r="P77">
        <v>0.96812401999999997</v>
      </c>
      <c r="Q77">
        <v>1.0148227299999999</v>
      </c>
      <c r="R77">
        <v>0.98987044999999996</v>
      </c>
      <c r="S77">
        <v>1.0236439100000001</v>
      </c>
      <c r="T77">
        <v>1.0242084499999999</v>
      </c>
      <c r="U77">
        <v>1.09991404</v>
      </c>
      <c r="V77">
        <v>1.28323046</v>
      </c>
      <c r="W77">
        <v>1.5494847899999999</v>
      </c>
      <c r="X77">
        <v>1.5835317900000001</v>
      </c>
      <c r="Y77">
        <v>1.53013329</v>
      </c>
      <c r="Z77">
        <v>1.5408226899999999</v>
      </c>
      <c r="AA77">
        <v>1.6158066</v>
      </c>
      <c r="AB77">
        <v>1.69568125</v>
      </c>
      <c r="AC77">
        <f t="shared" si="2"/>
        <v>1.3868984420833332</v>
      </c>
      <c r="AD77">
        <f t="shared" si="3"/>
        <v>1.5301536599999999</v>
      </c>
    </row>
    <row r="78" spans="1:30" x14ac:dyDescent="0.25">
      <c r="A78" t="s">
        <v>408</v>
      </c>
      <c r="B78" t="s">
        <v>436</v>
      </c>
      <c r="C78">
        <v>34</v>
      </c>
      <c r="D78" t="s">
        <v>3</v>
      </c>
      <c r="E78">
        <v>3.8109767199999998E-2</v>
      </c>
      <c r="F78">
        <v>0.63138354169999999</v>
      </c>
      <c r="G78">
        <v>0.63714630949999995</v>
      </c>
      <c r="H78">
        <v>0.79478932219999998</v>
      </c>
      <c r="I78">
        <v>4.18793872E-2</v>
      </c>
      <c r="J78">
        <v>0.88551813560000003</v>
      </c>
      <c r="K78">
        <v>0.3642391324</v>
      </c>
      <c r="L78">
        <v>0.28113092719999999</v>
      </c>
      <c r="M78">
        <v>0.59486515019999997</v>
      </c>
      <c r="N78">
        <v>0.16945394489999999</v>
      </c>
      <c r="O78">
        <v>0.13014382129999999</v>
      </c>
      <c r="P78">
        <v>0.11762384269999999</v>
      </c>
      <c r="Q78">
        <v>0.46969892699999999</v>
      </c>
      <c r="R78">
        <v>0.40154195510000001</v>
      </c>
      <c r="S78">
        <v>0.40839107190000001</v>
      </c>
      <c r="T78">
        <v>0.28638499029999998</v>
      </c>
      <c r="U78">
        <v>0.24307632439999999</v>
      </c>
      <c r="V78">
        <v>0.42717193539999998</v>
      </c>
      <c r="W78">
        <v>0.72257138160000001</v>
      </c>
      <c r="X78">
        <v>0.7313163104</v>
      </c>
      <c r="Y78">
        <v>0.28014320050000002</v>
      </c>
      <c r="Z78">
        <v>0.29150912540000001</v>
      </c>
      <c r="AA78">
        <v>0.30225677210000002</v>
      </c>
      <c r="AB78">
        <v>0.32540702269999999</v>
      </c>
      <c r="AC78">
        <f t="shared" si="2"/>
        <v>0.39898967912083316</v>
      </c>
      <c r="AD78">
        <f t="shared" si="3"/>
        <v>0.34482307754999997</v>
      </c>
    </row>
    <row r="79" spans="1:30" x14ac:dyDescent="0.25">
      <c r="A79" t="s">
        <v>408</v>
      </c>
      <c r="B79" t="s">
        <v>436</v>
      </c>
      <c r="C79">
        <v>34</v>
      </c>
      <c r="D79" t="s">
        <v>4</v>
      </c>
      <c r="E79">
        <v>4.7324970000000001E-2</v>
      </c>
      <c r="F79">
        <v>4.8138239999999999E-2</v>
      </c>
      <c r="G79">
        <v>4.9392539999999999E-2</v>
      </c>
      <c r="H79">
        <v>5.1158219999999997E-2</v>
      </c>
      <c r="I79">
        <v>5.2006110000000001E-2</v>
      </c>
      <c r="J79">
        <v>5.5036950000000001E-2</v>
      </c>
      <c r="K79">
        <v>5.2678170000000003E-2</v>
      </c>
      <c r="L79">
        <v>4.539924E-2</v>
      </c>
      <c r="M79">
        <v>3.8805359999999997E-2</v>
      </c>
      <c r="N79">
        <v>3.5486999999999998E-2</v>
      </c>
      <c r="O79">
        <v>3.074706E-2</v>
      </c>
      <c r="P79">
        <v>2.994198E-2</v>
      </c>
      <c r="Q79">
        <v>3.1386270000000001E-2</v>
      </c>
      <c r="R79">
        <v>3.0614550000000001E-2</v>
      </c>
      <c r="S79">
        <v>3.1659090000000001E-2</v>
      </c>
      <c r="T79">
        <v>3.1676549999999998E-2</v>
      </c>
      <c r="U79">
        <v>3.401796E-2</v>
      </c>
      <c r="V79">
        <v>3.968754E-2</v>
      </c>
      <c r="W79">
        <v>4.792221E-2</v>
      </c>
      <c r="X79">
        <v>4.8975209999999998E-2</v>
      </c>
      <c r="Y79">
        <v>4.7323709999999998E-2</v>
      </c>
      <c r="Z79">
        <v>4.7654309999999998E-2</v>
      </c>
      <c r="AA79">
        <v>4.9973400000000001E-2</v>
      </c>
      <c r="AB79">
        <v>5.2443749999999997E-2</v>
      </c>
      <c r="AC79">
        <f t="shared" si="2"/>
        <v>4.289376625E-2</v>
      </c>
      <c r="AD79">
        <f t="shared" si="3"/>
        <v>4.7324339999999999E-2</v>
      </c>
    </row>
    <row r="80" spans="1:30" x14ac:dyDescent="0.25">
      <c r="A80" t="s">
        <v>408</v>
      </c>
      <c r="B80" t="s">
        <v>444</v>
      </c>
      <c r="C80">
        <v>115</v>
      </c>
      <c r="D80" t="s">
        <v>2</v>
      </c>
      <c r="E80">
        <v>15.19878246</v>
      </c>
      <c r="F80">
        <v>15.218115055</v>
      </c>
      <c r="G80">
        <v>15.92698311</v>
      </c>
      <c r="H80">
        <v>15.936556325</v>
      </c>
      <c r="I80">
        <v>15.918708125</v>
      </c>
      <c r="J80">
        <v>15.75937551</v>
      </c>
      <c r="K80">
        <v>16.387549409999998</v>
      </c>
      <c r="L80">
        <v>15.211359925</v>
      </c>
      <c r="M80">
        <v>14.17031047</v>
      </c>
      <c r="N80">
        <v>14.31841507</v>
      </c>
      <c r="O80">
        <v>14.74320026</v>
      </c>
      <c r="P80">
        <v>15.25751801</v>
      </c>
      <c r="Q80">
        <v>15.83274422</v>
      </c>
      <c r="R80">
        <v>15.966975095</v>
      </c>
      <c r="S80">
        <v>15.556816169999999</v>
      </c>
      <c r="T80">
        <v>16.255671700000001</v>
      </c>
      <c r="U80">
        <v>17.117183234999999</v>
      </c>
      <c r="V80">
        <v>17.745626040000001</v>
      </c>
      <c r="W80">
        <v>19.057919869999999</v>
      </c>
      <c r="X80">
        <v>19.605161245000001</v>
      </c>
      <c r="Y80">
        <v>20.0669322</v>
      </c>
      <c r="Z80">
        <v>19.717425635000001</v>
      </c>
      <c r="AA80">
        <v>18.19818626</v>
      </c>
      <c r="AB80">
        <v>16.787054574999999</v>
      </c>
      <c r="AC80">
        <f t="shared" si="2"/>
        <v>16.498107082291664</v>
      </c>
      <c r="AD80">
        <f t="shared" si="3"/>
        <v>15.9317697175</v>
      </c>
    </row>
    <row r="81" spans="1:30" x14ac:dyDescent="0.25">
      <c r="A81" t="s">
        <v>408</v>
      </c>
      <c r="B81" t="s">
        <v>444</v>
      </c>
      <c r="C81">
        <v>115</v>
      </c>
      <c r="D81" t="s">
        <v>3</v>
      </c>
      <c r="E81">
        <v>4.5778424400000004</v>
      </c>
      <c r="F81">
        <v>4.6898006612999996</v>
      </c>
      <c r="G81">
        <v>4.7585072107000004</v>
      </c>
      <c r="H81">
        <v>4.5817166246000003</v>
      </c>
      <c r="I81">
        <v>4.5565915934000003</v>
      </c>
      <c r="J81">
        <v>4.6632932763000001</v>
      </c>
      <c r="K81">
        <v>4.2983476320999996</v>
      </c>
      <c r="L81">
        <v>3.4028325580000001</v>
      </c>
      <c r="M81">
        <v>3.2827413614999998</v>
      </c>
      <c r="N81">
        <v>3.5828955924999999</v>
      </c>
      <c r="O81">
        <v>3.4803290882</v>
      </c>
      <c r="P81">
        <v>3.8762955282</v>
      </c>
      <c r="Q81">
        <v>4.4201098126999998</v>
      </c>
      <c r="R81">
        <v>4.2162080125000001</v>
      </c>
      <c r="S81">
        <v>4.2360189311000003</v>
      </c>
      <c r="T81">
        <v>4.2197463186000004</v>
      </c>
      <c r="U81">
        <v>4.8699639160999997</v>
      </c>
      <c r="V81">
        <v>6.1187540284999997</v>
      </c>
      <c r="W81">
        <v>6.8530569764999996</v>
      </c>
      <c r="X81">
        <v>6.6591445097999999</v>
      </c>
      <c r="Y81">
        <v>6.2442882579000001</v>
      </c>
      <c r="Z81">
        <v>5.9298949312999998</v>
      </c>
      <c r="AA81">
        <v>5.3562957138999998</v>
      </c>
      <c r="AB81">
        <v>4.8694961752000001</v>
      </c>
      <c r="AC81">
        <f t="shared" si="2"/>
        <v>4.7393404646208328</v>
      </c>
      <c r="AD81">
        <f t="shared" si="3"/>
        <v>4.5797795322999999</v>
      </c>
    </row>
    <row r="82" spans="1:30" x14ac:dyDescent="0.25">
      <c r="A82" t="s">
        <v>408</v>
      </c>
      <c r="B82" t="s">
        <v>444</v>
      </c>
      <c r="C82">
        <v>115</v>
      </c>
      <c r="D82" t="s">
        <v>4</v>
      </c>
      <c r="E82">
        <v>0.23145354000000001</v>
      </c>
      <c r="F82">
        <v>0.23174794500000001</v>
      </c>
      <c r="G82">
        <v>0.24254289000000001</v>
      </c>
      <c r="H82">
        <v>0.24268867499999999</v>
      </c>
      <c r="I82">
        <v>0.242416875</v>
      </c>
      <c r="J82">
        <v>0.23999049</v>
      </c>
      <c r="K82">
        <v>0.24955658999999999</v>
      </c>
      <c r="L82">
        <v>0.23164507500000001</v>
      </c>
      <c r="M82">
        <v>0.21579153000000001</v>
      </c>
      <c r="N82">
        <v>0.21804693</v>
      </c>
      <c r="O82">
        <v>0.22451573999999999</v>
      </c>
      <c r="P82">
        <v>0.23234799</v>
      </c>
      <c r="Q82">
        <v>0.24110777999999999</v>
      </c>
      <c r="R82">
        <v>0.243151905</v>
      </c>
      <c r="S82">
        <v>0.23690583000000001</v>
      </c>
      <c r="T82">
        <v>0.2475483</v>
      </c>
      <c r="U82">
        <v>0.260667765</v>
      </c>
      <c r="V82">
        <v>0.27023796</v>
      </c>
      <c r="W82">
        <v>0.29022213000000002</v>
      </c>
      <c r="X82">
        <v>0.29855575499999998</v>
      </c>
      <c r="Y82">
        <v>0.30558780000000002</v>
      </c>
      <c r="Z82">
        <v>0.30026536500000001</v>
      </c>
      <c r="AA82">
        <v>0.27712974000000001</v>
      </c>
      <c r="AB82">
        <v>0.255640425</v>
      </c>
      <c r="AC82">
        <f t="shared" si="2"/>
        <v>0.25124020937500008</v>
      </c>
      <c r="AD82">
        <f t="shared" si="3"/>
        <v>0.24261578249999999</v>
      </c>
    </row>
    <row r="83" spans="1:30" x14ac:dyDescent="0.25">
      <c r="A83" t="s">
        <v>408</v>
      </c>
      <c r="B83" t="s">
        <v>446</v>
      </c>
      <c r="C83">
        <v>220</v>
      </c>
      <c r="D83" t="s">
        <v>2</v>
      </c>
      <c r="E83">
        <v>1.3110999999999999</v>
      </c>
      <c r="F83">
        <v>1.2676149999999999</v>
      </c>
      <c r="G83">
        <v>1.248383</v>
      </c>
      <c r="H83">
        <v>1.233325</v>
      </c>
      <c r="I83">
        <v>1.3889499999999999</v>
      </c>
      <c r="J83">
        <v>1.859062</v>
      </c>
      <c r="K83">
        <v>2.2544710000000001</v>
      </c>
      <c r="L83">
        <v>2.1052300000000002</v>
      </c>
      <c r="M83">
        <v>1.9430799999999999</v>
      </c>
      <c r="N83">
        <v>1.9695860000000001</v>
      </c>
      <c r="O83">
        <v>2.1860629999999999</v>
      </c>
      <c r="P83">
        <v>2.4203869999999998</v>
      </c>
      <c r="Q83">
        <v>2.5752830000000002</v>
      </c>
      <c r="R83">
        <v>2.4637869999999999</v>
      </c>
      <c r="S83">
        <v>2.3158050000000001</v>
      </c>
      <c r="T83">
        <v>2.2220369999999998</v>
      </c>
      <c r="U83">
        <v>2.3874050000000002</v>
      </c>
      <c r="V83">
        <v>2.667173</v>
      </c>
      <c r="W83">
        <v>3.1669290000000001</v>
      </c>
      <c r="X83">
        <v>3.0559240000000001</v>
      </c>
      <c r="Y83">
        <v>2.7437469999999999</v>
      </c>
      <c r="Z83">
        <v>2.2497440000000002</v>
      </c>
      <c r="AA83">
        <v>1.7746329999999999</v>
      </c>
      <c r="AB83">
        <v>1.5440750000000001</v>
      </c>
      <c r="AC83">
        <f t="shared" si="2"/>
        <v>2.0980747499999999</v>
      </c>
      <c r="AD83">
        <f t="shared" si="3"/>
        <v>2.2040499999999996</v>
      </c>
    </row>
    <row r="84" spans="1:30" x14ac:dyDescent="0.25">
      <c r="A84" t="s">
        <v>408</v>
      </c>
      <c r="B84" t="s">
        <v>446</v>
      </c>
      <c r="C84">
        <v>220</v>
      </c>
      <c r="D84" t="s">
        <v>3</v>
      </c>
      <c r="E84">
        <v>0.40565091190000002</v>
      </c>
      <c r="F84">
        <v>0.40026551310000003</v>
      </c>
      <c r="G84">
        <v>0.39396475339999998</v>
      </c>
      <c r="H84">
        <v>0.32447907279999999</v>
      </c>
      <c r="I84">
        <v>0.32896366069999999</v>
      </c>
      <c r="J84">
        <v>0.30884177260000001</v>
      </c>
      <c r="K84">
        <v>0.31249018629999997</v>
      </c>
      <c r="L84">
        <v>0.3889237324</v>
      </c>
      <c r="M84">
        <v>0.50456162959999995</v>
      </c>
      <c r="N84">
        <v>0.45802517269999998</v>
      </c>
      <c r="O84">
        <v>0.54606068360000004</v>
      </c>
      <c r="P84">
        <v>0.49249275469999998</v>
      </c>
      <c r="Q84">
        <v>0.51410910590000003</v>
      </c>
      <c r="R84">
        <v>0.58724754410000002</v>
      </c>
      <c r="S84">
        <v>0.5724536643</v>
      </c>
      <c r="T84">
        <v>0.52871382239999998</v>
      </c>
      <c r="U84">
        <v>0.50910769359999997</v>
      </c>
      <c r="V84">
        <v>0.51724332969999998</v>
      </c>
      <c r="W84">
        <v>0.45831191160000001</v>
      </c>
      <c r="X84">
        <v>0.42876656169999999</v>
      </c>
      <c r="Y84">
        <v>0.4587286169</v>
      </c>
      <c r="Z84">
        <v>0.45824069509999998</v>
      </c>
      <c r="AA84">
        <v>0.49393783250000001</v>
      </c>
      <c r="AB84">
        <v>0.46752007509999999</v>
      </c>
      <c r="AC84">
        <f t="shared" si="2"/>
        <v>0.45246252902916667</v>
      </c>
      <c r="AD84">
        <f t="shared" si="3"/>
        <v>0.45852026425000003</v>
      </c>
    </row>
    <row r="85" spans="1:30" x14ac:dyDescent="0.25">
      <c r="A85" t="s">
        <v>408</v>
      </c>
      <c r="B85" t="s">
        <v>446</v>
      </c>
      <c r="C85">
        <v>220</v>
      </c>
      <c r="D85" t="s">
        <v>4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f t="shared" si="2"/>
        <v>0</v>
      </c>
      <c r="AD85">
        <f t="shared" si="3"/>
        <v>0</v>
      </c>
    </row>
    <row r="86" spans="1:30" x14ac:dyDescent="0.25">
      <c r="A86" t="s">
        <v>408</v>
      </c>
      <c r="B86" t="s">
        <v>448</v>
      </c>
      <c r="C86">
        <v>115</v>
      </c>
      <c r="D86" t="s">
        <v>2</v>
      </c>
      <c r="E86">
        <v>1.386618975</v>
      </c>
      <c r="F86">
        <v>1.3354147350000001</v>
      </c>
      <c r="G86">
        <v>1.3442206350000001</v>
      </c>
      <c r="H86">
        <v>1.3304010850000001</v>
      </c>
      <c r="I86">
        <v>1.362894265</v>
      </c>
      <c r="J86">
        <v>1.3968413049999999</v>
      </c>
      <c r="K86">
        <v>1.4131430549999999</v>
      </c>
      <c r="L86">
        <v>1.4823580199999999</v>
      </c>
      <c r="M86">
        <v>1.60648575</v>
      </c>
      <c r="N86">
        <v>1.8495443499999999</v>
      </c>
      <c r="O86">
        <v>1.9869616999999999</v>
      </c>
      <c r="P86">
        <v>2.0954663450000002</v>
      </c>
      <c r="Q86">
        <v>2.2256695550000001</v>
      </c>
      <c r="R86">
        <v>2.173186785</v>
      </c>
      <c r="S86">
        <v>2.1206547649999998</v>
      </c>
      <c r="T86">
        <v>2.0438897749999998</v>
      </c>
      <c r="U86">
        <v>2.0555423249999998</v>
      </c>
      <c r="V86">
        <v>2.09822927</v>
      </c>
      <c r="W86">
        <v>2.0953116999999999</v>
      </c>
      <c r="X86">
        <v>1.9961616</v>
      </c>
      <c r="Y86">
        <v>1.9237463699999999</v>
      </c>
      <c r="Z86">
        <v>1.805366115</v>
      </c>
      <c r="AA86">
        <v>1.69927669</v>
      </c>
      <c r="AB86">
        <v>1.610909385</v>
      </c>
      <c r="AC86">
        <f t="shared" si="2"/>
        <v>1.7682622731250002</v>
      </c>
      <c r="AD86">
        <f t="shared" si="3"/>
        <v>1.8274552325</v>
      </c>
    </row>
    <row r="87" spans="1:30" x14ac:dyDescent="0.25">
      <c r="A87" t="s">
        <v>408</v>
      </c>
      <c r="B87" t="s">
        <v>448</v>
      </c>
      <c r="C87">
        <v>115</v>
      </c>
      <c r="D87" t="s">
        <v>3</v>
      </c>
      <c r="E87">
        <v>4.47345751E-2</v>
      </c>
      <c r="F87">
        <v>0.14915770240000001</v>
      </c>
      <c r="G87">
        <v>0.28237848859999998</v>
      </c>
      <c r="H87">
        <v>5.4238412399999998E-2</v>
      </c>
      <c r="I87">
        <v>0.1905218125</v>
      </c>
      <c r="J87">
        <v>0.46292511660000002</v>
      </c>
      <c r="K87">
        <v>0.1001121115</v>
      </c>
      <c r="L87">
        <v>9.2946999099999997E-2</v>
      </c>
      <c r="M87">
        <v>0.41790782030000001</v>
      </c>
      <c r="N87">
        <v>0.4108045863</v>
      </c>
      <c r="O87">
        <v>0.373360205</v>
      </c>
      <c r="P87">
        <v>0.15052228979999999</v>
      </c>
      <c r="Q87">
        <v>7.3847657600000005E-2</v>
      </c>
      <c r="R87">
        <v>0.1609104052</v>
      </c>
      <c r="S87">
        <v>0.14841436399999999</v>
      </c>
      <c r="T87">
        <v>0.38060582809999999</v>
      </c>
      <c r="U87">
        <v>0.32311043849999999</v>
      </c>
      <c r="V87">
        <v>0.16905318690000001</v>
      </c>
      <c r="W87">
        <v>0.36505352260000001</v>
      </c>
      <c r="X87">
        <v>9.4555147699999995E-2</v>
      </c>
      <c r="Y87">
        <v>0.29207390849999998</v>
      </c>
      <c r="Z87">
        <v>0.23320656679999999</v>
      </c>
      <c r="AA87">
        <v>4.6238058700000001E-2</v>
      </c>
      <c r="AB87">
        <v>0.25931629449999999</v>
      </c>
      <c r="AC87">
        <f t="shared" si="2"/>
        <v>0.21983314577916668</v>
      </c>
      <c r="AD87">
        <f t="shared" si="3"/>
        <v>0.17978749970000002</v>
      </c>
    </row>
    <row r="88" spans="1:30" x14ac:dyDescent="0.25">
      <c r="A88" t="s">
        <v>408</v>
      </c>
      <c r="B88" t="s">
        <v>448</v>
      </c>
      <c r="C88">
        <v>115</v>
      </c>
      <c r="D88" t="s">
        <v>4</v>
      </c>
      <c r="E88">
        <v>2.1116025E-2</v>
      </c>
      <c r="F88">
        <v>2.0336264999999999E-2</v>
      </c>
      <c r="G88">
        <v>2.0470365000000001E-2</v>
      </c>
      <c r="H88">
        <v>2.0259915E-2</v>
      </c>
      <c r="I88">
        <v>2.0754735E-2</v>
      </c>
      <c r="J88">
        <v>2.1271695E-2</v>
      </c>
      <c r="K88">
        <v>2.1519944999999999E-2</v>
      </c>
      <c r="L88">
        <v>2.257398E-2</v>
      </c>
      <c r="M88">
        <v>2.446425E-2</v>
      </c>
      <c r="N88">
        <v>2.816565E-2</v>
      </c>
      <c r="O88">
        <v>3.0258299999999998E-2</v>
      </c>
      <c r="P88">
        <v>3.1910655000000003E-2</v>
      </c>
      <c r="Q88">
        <v>3.3893445000000001E-2</v>
      </c>
      <c r="R88">
        <v>3.3094215000000003E-2</v>
      </c>
      <c r="S88">
        <v>3.2294234999999998E-2</v>
      </c>
      <c r="T88">
        <v>3.1125224999999999E-2</v>
      </c>
      <c r="U88">
        <v>3.1302675000000002E-2</v>
      </c>
      <c r="V88">
        <v>3.1952729999999999E-2</v>
      </c>
      <c r="W88">
        <v>3.1908300000000001E-2</v>
      </c>
      <c r="X88">
        <v>3.0398399999999999E-2</v>
      </c>
      <c r="Y88">
        <v>2.929563E-2</v>
      </c>
      <c r="Z88">
        <v>2.7492885000000002E-2</v>
      </c>
      <c r="AA88">
        <v>2.5877310000000001E-2</v>
      </c>
      <c r="AB88">
        <v>2.4531615E-2</v>
      </c>
      <c r="AC88">
        <f t="shared" si="2"/>
        <v>2.6927851875000006E-2</v>
      </c>
      <c r="AD88">
        <f t="shared" si="3"/>
        <v>2.7829267500000001E-2</v>
      </c>
    </row>
    <row r="89" spans="1:30" x14ac:dyDescent="0.25">
      <c r="A89" t="s">
        <v>408</v>
      </c>
      <c r="B89" t="s">
        <v>452</v>
      </c>
      <c r="C89">
        <v>115</v>
      </c>
      <c r="D89" t="s">
        <v>2</v>
      </c>
      <c r="E89">
        <v>9.0683325650000004</v>
      </c>
      <c r="F89">
        <v>9.3019450149999994</v>
      </c>
      <c r="G89">
        <v>8.7578044199999994</v>
      </c>
      <c r="H89">
        <v>9.9497529199999999</v>
      </c>
      <c r="I89">
        <v>9.3757717500000002</v>
      </c>
      <c r="J89">
        <v>9.8261501950000003</v>
      </c>
      <c r="K89">
        <v>9.5646326950000002</v>
      </c>
      <c r="L89">
        <v>8.6548817699999994</v>
      </c>
      <c r="M89">
        <v>7.8385413499999999</v>
      </c>
      <c r="N89">
        <v>7.3529284700000002</v>
      </c>
      <c r="O89">
        <v>6.79826906</v>
      </c>
      <c r="P89">
        <v>7.32060274</v>
      </c>
      <c r="Q89">
        <v>7.0672636950000003</v>
      </c>
      <c r="R89">
        <v>7.5873663499999999</v>
      </c>
      <c r="S89">
        <v>8.0142141299999992</v>
      </c>
      <c r="T89">
        <v>8.84698238</v>
      </c>
      <c r="U89">
        <v>10.099406925</v>
      </c>
      <c r="V89">
        <v>11.499978425</v>
      </c>
      <c r="W89">
        <v>13.584211829999999</v>
      </c>
      <c r="X89">
        <v>12.06806634</v>
      </c>
      <c r="Y89">
        <v>13.637569279999999</v>
      </c>
      <c r="Z89">
        <v>12.46410332</v>
      </c>
      <c r="AA89">
        <v>11.66100524</v>
      </c>
      <c r="AB89">
        <v>10.823390789999999</v>
      </c>
      <c r="AC89">
        <f t="shared" si="2"/>
        <v>9.6317988189583321</v>
      </c>
      <c r="AD89">
        <f t="shared" si="3"/>
        <v>9.3388583824999998</v>
      </c>
    </row>
    <row r="90" spans="1:30" x14ac:dyDescent="0.25">
      <c r="A90" t="s">
        <v>408</v>
      </c>
      <c r="B90" t="s">
        <v>452</v>
      </c>
      <c r="C90">
        <v>115</v>
      </c>
      <c r="D90" t="s">
        <v>3</v>
      </c>
      <c r="E90">
        <v>1.1236900206</v>
      </c>
      <c r="F90">
        <v>1.0732137608000001</v>
      </c>
      <c r="G90">
        <v>1.0311354594</v>
      </c>
      <c r="H90">
        <v>1.1636853201999999</v>
      </c>
      <c r="I90">
        <v>1.1493363792</v>
      </c>
      <c r="J90">
        <v>0.66027310969999997</v>
      </c>
      <c r="K90">
        <v>0.86985365530000003</v>
      </c>
      <c r="L90">
        <v>0.81179022649999999</v>
      </c>
      <c r="M90">
        <v>0.81792142720000005</v>
      </c>
      <c r="N90">
        <v>0.70538477349999995</v>
      </c>
      <c r="O90">
        <v>0.71135706300000001</v>
      </c>
      <c r="P90">
        <v>0.67467708150000005</v>
      </c>
      <c r="Q90">
        <v>0.72284556180000004</v>
      </c>
      <c r="R90">
        <v>0.74059642930000003</v>
      </c>
      <c r="S90">
        <v>0.6596151656</v>
      </c>
      <c r="T90">
        <v>0.82405480040000001</v>
      </c>
      <c r="U90">
        <v>0.76546791000000003</v>
      </c>
      <c r="V90">
        <v>0.96052646100000005</v>
      </c>
      <c r="W90">
        <v>1.2032474664999999</v>
      </c>
      <c r="X90">
        <v>1.5240331079</v>
      </c>
      <c r="Y90">
        <v>1.1700032544000001</v>
      </c>
      <c r="Z90">
        <v>1.0304457896000001</v>
      </c>
      <c r="AA90">
        <v>1.1892181905000001</v>
      </c>
      <c r="AB90">
        <v>1.4421098637</v>
      </c>
      <c r="AC90">
        <f t="shared" si="2"/>
        <v>0.95935342823333347</v>
      </c>
      <c r="AD90">
        <f t="shared" si="3"/>
        <v>0.9151900581500001</v>
      </c>
    </row>
    <row r="91" spans="1:30" x14ac:dyDescent="0.25">
      <c r="A91" t="s">
        <v>408</v>
      </c>
      <c r="B91" t="s">
        <v>452</v>
      </c>
      <c r="C91">
        <v>115</v>
      </c>
      <c r="D91" t="s">
        <v>4</v>
      </c>
      <c r="E91">
        <v>0.13809643499999999</v>
      </c>
      <c r="F91">
        <v>0.14165398500000001</v>
      </c>
      <c r="G91">
        <v>0.13336758000000001</v>
      </c>
      <c r="H91">
        <v>0.15151908</v>
      </c>
      <c r="I91">
        <v>0.14277825</v>
      </c>
      <c r="J91">
        <v>0.14963680500000001</v>
      </c>
      <c r="K91">
        <v>0.14565430500000001</v>
      </c>
      <c r="L91">
        <v>0.13180022999999999</v>
      </c>
      <c r="M91">
        <v>0.11936865000000001</v>
      </c>
      <c r="N91">
        <v>0.11197353</v>
      </c>
      <c r="O91">
        <v>0.10352694</v>
      </c>
      <c r="P91">
        <v>0.11148126</v>
      </c>
      <c r="Q91">
        <v>0.107623305</v>
      </c>
      <c r="R91">
        <v>0.11554365</v>
      </c>
      <c r="S91">
        <v>0.12204387</v>
      </c>
      <c r="T91">
        <v>0.13472561999999999</v>
      </c>
      <c r="U91">
        <v>0.15379807500000001</v>
      </c>
      <c r="V91">
        <v>0.17512657500000001</v>
      </c>
      <c r="W91">
        <v>0.20686616999999999</v>
      </c>
      <c r="X91">
        <v>0.18377766000000001</v>
      </c>
      <c r="Y91">
        <v>0.20767872000000001</v>
      </c>
      <c r="Z91">
        <v>0.18980868000000001</v>
      </c>
      <c r="AA91">
        <v>0.17757876</v>
      </c>
      <c r="AB91">
        <v>0.16482321</v>
      </c>
      <c r="AC91">
        <f t="shared" si="2"/>
        <v>0.14667713937500002</v>
      </c>
      <c r="AD91">
        <f t="shared" si="3"/>
        <v>0.14221611750000002</v>
      </c>
    </row>
    <row r="92" spans="1:30" x14ac:dyDescent="0.25">
      <c r="A92" t="s">
        <v>408</v>
      </c>
      <c r="B92" t="s">
        <v>453</v>
      </c>
      <c r="C92">
        <v>115</v>
      </c>
      <c r="D92" t="s">
        <v>2</v>
      </c>
      <c r="E92">
        <v>7.3755765750000002</v>
      </c>
      <c r="F92">
        <v>7.3230800150000004</v>
      </c>
      <c r="G92">
        <v>7.3524822649999999</v>
      </c>
      <c r="H92">
        <v>7.4764405749999998</v>
      </c>
      <c r="I92">
        <v>7.6160199999999998</v>
      </c>
      <c r="J92">
        <v>7.8636017200000001</v>
      </c>
      <c r="K92">
        <v>7.9332431899999998</v>
      </c>
      <c r="L92">
        <v>7.5080472550000001</v>
      </c>
      <c r="M92">
        <v>7.2208754300000004</v>
      </c>
      <c r="N92">
        <v>6.6487440900000001</v>
      </c>
      <c r="O92">
        <v>6.2964233800000002</v>
      </c>
      <c r="P92">
        <v>6.4908338150000002</v>
      </c>
      <c r="Q92">
        <v>6.9270164400000001</v>
      </c>
      <c r="R92">
        <v>7.2523067799999996</v>
      </c>
      <c r="S92">
        <v>7.2570672849999998</v>
      </c>
      <c r="T92">
        <v>7.6226234399999999</v>
      </c>
      <c r="U92">
        <v>8.4341156900000005</v>
      </c>
      <c r="V92">
        <v>9.7135055950000009</v>
      </c>
      <c r="W92">
        <v>11.167147910000001</v>
      </c>
      <c r="X92">
        <v>10.99473351</v>
      </c>
      <c r="Y92">
        <v>10.763632810000001</v>
      </c>
      <c r="Z92">
        <v>10.20916646</v>
      </c>
      <c r="AA92">
        <v>9.2599229449999996</v>
      </c>
      <c r="AB92">
        <v>8.7475072300000001</v>
      </c>
    </row>
    <row r="93" spans="1:30" x14ac:dyDescent="0.25">
      <c r="A93" t="s">
        <v>408</v>
      </c>
      <c r="B93" t="s">
        <v>453</v>
      </c>
      <c r="C93">
        <v>115</v>
      </c>
      <c r="D93" t="s">
        <v>3</v>
      </c>
      <c r="E93">
        <v>0.70989193009999996</v>
      </c>
      <c r="F93">
        <v>0.6469808534</v>
      </c>
      <c r="G93">
        <v>0.68083951060000003</v>
      </c>
      <c r="H93">
        <v>0.68739428629999999</v>
      </c>
      <c r="I93">
        <v>0.70357503779999997</v>
      </c>
      <c r="J93">
        <v>0.67649052710000002</v>
      </c>
      <c r="K93">
        <v>0.60023061239999997</v>
      </c>
      <c r="L93">
        <v>0.69688547899999997</v>
      </c>
      <c r="M93">
        <v>0.7749774559</v>
      </c>
      <c r="N93">
        <v>0.85302270069999997</v>
      </c>
      <c r="O93">
        <v>0.95638710810000005</v>
      </c>
      <c r="P93">
        <v>1.0155716748000001</v>
      </c>
      <c r="Q93">
        <v>1.1083511246</v>
      </c>
      <c r="R93">
        <v>1.0588069603000001</v>
      </c>
      <c r="S93">
        <v>1.08286131</v>
      </c>
      <c r="T93">
        <v>0.99248014470000001</v>
      </c>
      <c r="U93">
        <v>1.0568770752000001</v>
      </c>
      <c r="V93">
        <v>1.0849394865999999</v>
      </c>
      <c r="W93">
        <v>1.2205427858</v>
      </c>
      <c r="X93">
        <v>1.4263302916</v>
      </c>
      <c r="Y93">
        <v>1.3293102805000001</v>
      </c>
      <c r="Z93">
        <v>1.2291647037</v>
      </c>
      <c r="AA93">
        <v>1.1014398711</v>
      </c>
      <c r="AB93">
        <v>0.98102489940000004</v>
      </c>
    </row>
    <row r="94" spans="1:30" x14ac:dyDescent="0.25">
      <c r="A94" t="s">
        <v>408</v>
      </c>
      <c r="B94" t="s">
        <v>453</v>
      </c>
      <c r="C94">
        <v>115</v>
      </c>
      <c r="D94" t="s">
        <v>4</v>
      </c>
      <c r="E94">
        <v>0.112318425</v>
      </c>
      <c r="F94">
        <v>0.111518985</v>
      </c>
      <c r="G94">
        <v>0.111966735</v>
      </c>
      <c r="H94">
        <v>0.113854425</v>
      </c>
      <c r="I94">
        <v>0.11598</v>
      </c>
      <c r="J94">
        <v>0.11975028</v>
      </c>
      <c r="K94">
        <v>0.12081081</v>
      </c>
      <c r="L94">
        <v>0.114335745</v>
      </c>
      <c r="M94">
        <v>0.10996257</v>
      </c>
      <c r="N94">
        <v>0.10124991</v>
      </c>
      <c r="O94">
        <v>9.5884620000000004E-2</v>
      </c>
      <c r="P94">
        <v>9.8845185000000002E-2</v>
      </c>
      <c r="Q94">
        <v>0.10548755999999999</v>
      </c>
      <c r="R94">
        <v>0.11044122000000001</v>
      </c>
      <c r="S94">
        <v>0.110513715</v>
      </c>
      <c r="T94">
        <v>0.11608056</v>
      </c>
      <c r="U94">
        <v>0.12843831</v>
      </c>
      <c r="V94">
        <v>0.14792140500000001</v>
      </c>
      <c r="W94">
        <v>0.17005809</v>
      </c>
      <c r="X94">
        <v>0.16743248999999999</v>
      </c>
      <c r="Y94">
        <v>0.16391318999999999</v>
      </c>
      <c r="Z94">
        <v>0.15546953999999999</v>
      </c>
      <c r="AA94">
        <v>0.141014055</v>
      </c>
      <c r="AB94">
        <v>0.13321077000000001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CF6A7-49B8-469F-97E9-A28C80083635}">
  <dimension ref="A1:AD94"/>
  <sheetViews>
    <sheetView topLeftCell="A88" workbookViewId="0">
      <selection activeCell="K114" sqref="K114"/>
    </sheetView>
  </sheetViews>
  <sheetFormatPr baseColWidth="10" defaultRowHeight="15" x14ac:dyDescent="0.25"/>
  <sheetData>
    <row r="1" spans="1:30" x14ac:dyDescent="0.25">
      <c r="A1" t="s">
        <v>569</v>
      </c>
      <c r="B1" t="s">
        <v>570</v>
      </c>
      <c r="C1" t="s">
        <v>571</v>
      </c>
      <c r="D1" t="s">
        <v>572</v>
      </c>
      <c r="E1" t="s">
        <v>573</v>
      </c>
      <c r="F1" t="s">
        <v>574</v>
      </c>
      <c r="G1" t="s">
        <v>575</v>
      </c>
      <c r="H1" t="s">
        <v>576</v>
      </c>
      <c r="I1" t="s">
        <v>577</v>
      </c>
      <c r="J1" t="s">
        <v>578</v>
      </c>
      <c r="K1" t="s">
        <v>579</v>
      </c>
      <c r="L1" t="s">
        <v>580</v>
      </c>
      <c r="M1" t="s">
        <v>581</v>
      </c>
      <c r="N1" t="s">
        <v>582</v>
      </c>
      <c r="O1" t="s">
        <v>583</v>
      </c>
      <c r="P1" t="s">
        <v>584</v>
      </c>
      <c r="Q1" t="s">
        <v>585</v>
      </c>
      <c r="R1" t="s">
        <v>586</v>
      </c>
      <c r="S1" t="s">
        <v>587</v>
      </c>
      <c r="T1" t="s">
        <v>588</v>
      </c>
      <c r="U1" t="s">
        <v>589</v>
      </c>
      <c r="V1" t="s">
        <v>590</v>
      </c>
      <c r="W1" t="s">
        <v>591</v>
      </c>
      <c r="X1" t="s">
        <v>592</v>
      </c>
      <c r="Y1" t="s">
        <v>593</v>
      </c>
      <c r="Z1" t="s">
        <v>594</v>
      </c>
      <c r="AA1" t="s">
        <v>595</v>
      </c>
      <c r="AB1" t="s">
        <v>596</v>
      </c>
      <c r="AC1" t="s">
        <v>597</v>
      </c>
      <c r="AD1" t="s">
        <v>599</v>
      </c>
    </row>
    <row r="2" spans="1:30" x14ac:dyDescent="0.25">
      <c r="A2" t="s">
        <v>112</v>
      </c>
      <c r="B2" t="s">
        <v>113</v>
      </c>
      <c r="C2">
        <v>115</v>
      </c>
      <c r="D2" t="s">
        <v>2</v>
      </c>
      <c r="E2">
        <v>26.649827070000001</v>
      </c>
      <c r="F2">
        <v>24.536329315</v>
      </c>
      <c r="G2">
        <v>23.659680300000002</v>
      </c>
      <c r="H2">
        <v>22.588388389999999</v>
      </c>
      <c r="I2">
        <v>23.70803986</v>
      </c>
      <c r="J2">
        <v>24.971805695</v>
      </c>
      <c r="K2">
        <v>25.162257414999999</v>
      </c>
      <c r="L2">
        <v>25.445933475</v>
      </c>
      <c r="M2">
        <v>26.365364979999999</v>
      </c>
      <c r="N2">
        <v>28.318699765000002</v>
      </c>
      <c r="O2">
        <v>30.59159219</v>
      </c>
      <c r="P2">
        <v>31.953135034999999</v>
      </c>
      <c r="Q2">
        <v>32.86666048</v>
      </c>
      <c r="R2">
        <v>33.547873674999998</v>
      </c>
      <c r="S2">
        <v>32.823935120000002</v>
      </c>
      <c r="T2">
        <v>32.858056505</v>
      </c>
      <c r="U2">
        <v>32.964136080000003</v>
      </c>
      <c r="V2">
        <v>34.13420773</v>
      </c>
      <c r="W2">
        <v>39.0252075</v>
      </c>
      <c r="X2">
        <v>42.696322199999997</v>
      </c>
      <c r="Y2">
        <v>41.516213399999998</v>
      </c>
      <c r="Z2">
        <v>37.586007254999998</v>
      </c>
      <c r="AA2">
        <v>33.000292475000002</v>
      </c>
      <c r="AB2">
        <v>29.216256390000002</v>
      </c>
      <c r="AC2">
        <f>AVERAGE(E2:AB2)</f>
        <v>30.674425929166663</v>
      </c>
      <c r="AD2">
        <f>MEDIAN(E2:AB2)</f>
        <v>31.272363612500001</v>
      </c>
    </row>
    <row r="3" spans="1:30" x14ac:dyDescent="0.25">
      <c r="A3" t="s">
        <v>112</v>
      </c>
      <c r="B3" t="s">
        <v>113</v>
      </c>
      <c r="C3">
        <v>115</v>
      </c>
      <c r="D3" t="s">
        <v>3</v>
      </c>
      <c r="E3">
        <v>12.740576751900001</v>
      </c>
      <c r="F3">
        <v>11.278917421699999</v>
      </c>
      <c r="G3">
        <v>10.869074595300001</v>
      </c>
      <c r="H3">
        <v>10.3703773721</v>
      </c>
      <c r="I3">
        <v>10.877530825199999</v>
      </c>
      <c r="J3">
        <v>11.486339395</v>
      </c>
      <c r="K3">
        <v>11.250753378700001</v>
      </c>
      <c r="L3">
        <v>11.637936828300001</v>
      </c>
      <c r="M3">
        <v>12.1807910116</v>
      </c>
      <c r="N3">
        <v>12.9682841881</v>
      </c>
      <c r="O3">
        <v>13.848701390800001</v>
      </c>
      <c r="P3">
        <v>14.079735380400001</v>
      </c>
      <c r="Q3">
        <v>14.4042926418</v>
      </c>
      <c r="R3">
        <v>14.6729399028</v>
      </c>
      <c r="S3">
        <v>14.550795209</v>
      </c>
      <c r="T3">
        <v>14.478477313799999</v>
      </c>
      <c r="U3">
        <v>14.4470127431</v>
      </c>
      <c r="V3">
        <v>14.4483407056</v>
      </c>
      <c r="W3">
        <v>14.852648734000001</v>
      </c>
      <c r="X3">
        <v>15.425774327599999</v>
      </c>
      <c r="Y3">
        <v>15.027021467899999</v>
      </c>
      <c r="Z3">
        <v>13.7414069106</v>
      </c>
      <c r="AA3">
        <v>12.7604375832</v>
      </c>
      <c r="AB3">
        <v>12.3047169313</v>
      </c>
      <c r="AC3">
        <f t="shared" ref="AC3:AC66" si="0">AVERAGE(E3:AB3)</f>
        <v>13.112620125408332</v>
      </c>
      <c r="AD3">
        <f t="shared" ref="AD3:AD66" si="1">MEDIAN(E3:AB3)</f>
        <v>13.354845549349999</v>
      </c>
    </row>
    <row r="4" spans="1:30" x14ac:dyDescent="0.25">
      <c r="A4" t="s">
        <v>112</v>
      </c>
      <c r="B4" t="s">
        <v>113</v>
      </c>
      <c r="C4">
        <v>115</v>
      </c>
      <c r="D4" t="s">
        <v>4</v>
      </c>
      <c r="E4">
        <v>0.40583492999999998</v>
      </c>
      <c r="F4">
        <v>0.37364968500000001</v>
      </c>
      <c r="G4">
        <v>0.3602997</v>
      </c>
      <c r="H4">
        <v>0.34398561</v>
      </c>
      <c r="I4">
        <v>0.36103614000000001</v>
      </c>
      <c r="J4">
        <v>0.38028130500000001</v>
      </c>
      <c r="K4">
        <v>0.38318158499999999</v>
      </c>
      <c r="L4">
        <v>0.38750152500000001</v>
      </c>
      <c r="M4">
        <v>0.40150301999999999</v>
      </c>
      <c r="N4">
        <v>0.43124923500000001</v>
      </c>
      <c r="O4">
        <v>0.46586180999999999</v>
      </c>
      <c r="P4">
        <v>0.48659596500000002</v>
      </c>
      <c r="Q4">
        <v>0.50050751999999998</v>
      </c>
      <c r="R4">
        <v>0.51088132500000005</v>
      </c>
      <c r="S4">
        <v>0.49985688</v>
      </c>
      <c r="T4">
        <v>0.50037649500000003</v>
      </c>
      <c r="U4">
        <v>0.50199192000000004</v>
      </c>
      <c r="V4">
        <v>0.51981027000000002</v>
      </c>
      <c r="W4">
        <v>0.5942925</v>
      </c>
      <c r="X4">
        <v>0.65019780000000005</v>
      </c>
      <c r="Y4">
        <v>0.63222659999999997</v>
      </c>
      <c r="Z4">
        <v>0.57237574499999999</v>
      </c>
      <c r="AA4">
        <v>0.50254252499999996</v>
      </c>
      <c r="AB4">
        <v>0.44491761000000002</v>
      </c>
      <c r="AC4">
        <f t="shared" si="0"/>
        <v>0.46712323750000001</v>
      </c>
      <c r="AD4">
        <f t="shared" si="1"/>
        <v>0.47622888750000003</v>
      </c>
    </row>
    <row r="5" spans="1:30" x14ac:dyDescent="0.25">
      <c r="A5" t="s">
        <v>112</v>
      </c>
      <c r="B5" t="s">
        <v>114</v>
      </c>
      <c r="C5">
        <v>115</v>
      </c>
      <c r="D5" t="s">
        <v>2</v>
      </c>
      <c r="E5">
        <v>16.400501174999999</v>
      </c>
      <c r="F5">
        <v>15.31980744</v>
      </c>
      <c r="G5">
        <v>14.670539764999999</v>
      </c>
      <c r="H5">
        <v>13.969276895</v>
      </c>
      <c r="I5">
        <v>14.519161025000001</v>
      </c>
      <c r="J5">
        <v>15.342714600000001</v>
      </c>
      <c r="K5">
        <v>16.310320484999998</v>
      </c>
      <c r="L5">
        <v>18.358398480000002</v>
      </c>
      <c r="M5">
        <v>19.946371155000001</v>
      </c>
      <c r="N5">
        <v>21.914198245000001</v>
      </c>
      <c r="O5">
        <v>24.005820135</v>
      </c>
      <c r="P5">
        <v>24.907965874999999</v>
      </c>
      <c r="Q5">
        <v>24.5198611</v>
      </c>
      <c r="R5">
        <v>24.179811520000001</v>
      </c>
      <c r="S5">
        <v>24.638105424999999</v>
      </c>
      <c r="T5">
        <v>24.663718379999999</v>
      </c>
      <c r="U5">
        <v>24.184681359999999</v>
      </c>
      <c r="V5">
        <v>23.239316774999999</v>
      </c>
      <c r="W5">
        <v>24.550730999999999</v>
      </c>
      <c r="X5">
        <v>25.810151999999999</v>
      </c>
      <c r="Y5">
        <v>24.679273500000001</v>
      </c>
      <c r="Z5">
        <v>21.783266135000002</v>
      </c>
      <c r="AA5">
        <v>19.245972129999998</v>
      </c>
      <c r="AB5">
        <v>17.480750674999999</v>
      </c>
      <c r="AC5">
        <f t="shared" si="0"/>
        <v>20.610029803125002</v>
      </c>
      <c r="AD5">
        <f t="shared" si="1"/>
        <v>21.84873219</v>
      </c>
    </row>
    <row r="6" spans="1:30" x14ac:dyDescent="0.25">
      <c r="A6" t="s">
        <v>112</v>
      </c>
      <c r="B6" t="s">
        <v>114</v>
      </c>
      <c r="C6">
        <v>115</v>
      </c>
      <c r="D6" t="s">
        <v>3</v>
      </c>
      <c r="E6">
        <v>3.8526775839999998</v>
      </c>
      <c r="F6">
        <v>3.7242149548999999</v>
      </c>
      <c r="G6">
        <v>3.6639379651000001</v>
      </c>
      <c r="H6">
        <v>3.5796994532999999</v>
      </c>
      <c r="I6">
        <v>3.5425789481000001</v>
      </c>
      <c r="J6">
        <v>3.4381163221</v>
      </c>
      <c r="K6">
        <v>3.9430174636999999</v>
      </c>
      <c r="L6">
        <v>4.9362624222999996</v>
      </c>
      <c r="M6">
        <v>5.8254173775</v>
      </c>
      <c r="N6">
        <v>6.5514765524999996</v>
      </c>
      <c r="O6">
        <v>7.3397427363999999</v>
      </c>
      <c r="P6">
        <v>7.6248833710000001</v>
      </c>
      <c r="Q6">
        <v>7.3769828651999996</v>
      </c>
      <c r="R6">
        <v>7.4739968237000003</v>
      </c>
      <c r="S6">
        <v>7.5053823550000001</v>
      </c>
      <c r="T6">
        <v>7.5131847008000001</v>
      </c>
      <c r="U6">
        <v>7.3944292820999999</v>
      </c>
      <c r="V6">
        <v>6.6053274557000003</v>
      </c>
      <c r="W6">
        <v>6.1207240452000002</v>
      </c>
      <c r="X6">
        <v>5.9913056384000001</v>
      </c>
      <c r="Y6">
        <v>5.4227492734</v>
      </c>
      <c r="Z6">
        <v>4.5582476636000004</v>
      </c>
      <c r="AA6">
        <v>4.1051164547000001</v>
      </c>
      <c r="AB6">
        <v>3.9004018324</v>
      </c>
      <c r="AC6">
        <f t="shared" si="0"/>
        <v>5.4995780642125007</v>
      </c>
      <c r="AD6">
        <f t="shared" si="1"/>
        <v>5.62408332545</v>
      </c>
    </row>
    <row r="7" spans="1:30" x14ac:dyDescent="0.25">
      <c r="A7" t="s">
        <v>112</v>
      </c>
      <c r="B7" t="s">
        <v>114</v>
      </c>
      <c r="C7">
        <v>115</v>
      </c>
      <c r="D7" t="s">
        <v>4</v>
      </c>
      <c r="E7">
        <v>0.24975382500000001</v>
      </c>
      <c r="F7">
        <v>0.23329655999999999</v>
      </c>
      <c r="G7">
        <v>0.22340923500000001</v>
      </c>
      <c r="H7">
        <v>0.212730105</v>
      </c>
      <c r="I7">
        <v>0.22110397500000001</v>
      </c>
      <c r="J7">
        <v>0.2336454</v>
      </c>
      <c r="K7">
        <v>0.248380515</v>
      </c>
      <c r="L7">
        <v>0.27956952000000002</v>
      </c>
      <c r="M7">
        <v>0.30375184500000002</v>
      </c>
      <c r="N7">
        <v>0.33371875499999998</v>
      </c>
      <c r="O7">
        <v>0.36557086500000002</v>
      </c>
      <c r="P7">
        <v>0.37930912500000002</v>
      </c>
      <c r="Q7">
        <v>0.37339889999999998</v>
      </c>
      <c r="R7">
        <v>0.36822048000000002</v>
      </c>
      <c r="S7">
        <v>0.37519957500000001</v>
      </c>
      <c r="T7">
        <v>0.37558962000000001</v>
      </c>
      <c r="U7">
        <v>0.36829464000000001</v>
      </c>
      <c r="V7">
        <v>0.35389822500000001</v>
      </c>
      <c r="W7">
        <v>0.37386900000000001</v>
      </c>
      <c r="X7">
        <v>0.39304800000000001</v>
      </c>
      <c r="Y7">
        <v>0.37582650000000001</v>
      </c>
      <c r="Z7">
        <v>0.33172486499999998</v>
      </c>
      <c r="AA7">
        <v>0.29308587000000003</v>
      </c>
      <c r="AB7">
        <v>0.26620432500000002</v>
      </c>
      <c r="AC7">
        <f t="shared" si="0"/>
        <v>0.31385832187500001</v>
      </c>
      <c r="AD7">
        <f t="shared" si="1"/>
        <v>0.33272181000000001</v>
      </c>
    </row>
    <row r="8" spans="1:30" x14ac:dyDescent="0.25">
      <c r="A8" t="s">
        <v>112</v>
      </c>
      <c r="B8" t="s">
        <v>116</v>
      </c>
      <c r="C8">
        <v>115</v>
      </c>
      <c r="D8" t="s">
        <v>2</v>
      </c>
      <c r="E8">
        <v>2.9255583500000002</v>
      </c>
      <c r="F8">
        <v>2.73248062</v>
      </c>
      <c r="G8">
        <v>2.652052415</v>
      </c>
      <c r="H8">
        <v>2.540520865</v>
      </c>
      <c r="I8">
        <v>2.6138885900000002</v>
      </c>
      <c r="J8">
        <v>2.7906458550000002</v>
      </c>
      <c r="K8">
        <v>2.9066670349999999</v>
      </c>
      <c r="L8">
        <v>3.081735025</v>
      </c>
      <c r="M8">
        <v>3.278435585</v>
      </c>
      <c r="N8">
        <v>3.5329477649999999</v>
      </c>
      <c r="O8">
        <v>3.8520552600000002</v>
      </c>
      <c r="P8">
        <v>3.9918563100000002</v>
      </c>
      <c r="Q8">
        <v>4.0311597800000003</v>
      </c>
      <c r="R8">
        <v>4.0473965200000004</v>
      </c>
      <c r="S8">
        <v>4.0371022849999996</v>
      </c>
      <c r="T8">
        <v>4.0412983850000002</v>
      </c>
      <c r="U8">
        <v>3.92299496</v>
      </c>
      <c r="V8">
        <v>3.7874944199999998</v>
      </c>
      <c r="W8">
        <v>4.0677545000000004</v>
      </c>
      <c r="X8">
        <v>4.3158956999999996</v>
      </c>
      <c r="Y8">
        <v>4.1504747999999996</v>
      </c>
      <c r="Z8">
        <v>3.8314342849999998</v>
      </c>
      <c r="AA8">
        <v>3.4717861600000002</v>
      </c>
      <c r="AB8">
        <v>3.1260885900000002</v>
      </c>
      <c r="AC8">
        <f t="shared" si="0"/>
        <v>3.4887385024999991</v>
      </c>
      <c r="AD8">
        <f t="shared" si="1"/>
        <v>3.6602210924999996</v>
      </c>
    </row>
    <row r="9" spans="1:30" x14ac:dyDescent="0.25">
      <c r="A9" t="s">
        <v>112</v>
      </c>
      <c r="B9" t="s">
        <v>116</v>
      </c>
      <c r="C9">
        <v>115</v>
      </c>
      <c r="D9" t="s">
        <v>3</v>
      </c>
      <c r="E9">
        <v>0.79385555839999999</v>
      </c>
      <c r="F9">
        <v>0.78204133850000002</v>
      </c>
      <c r="G9">
        <v>0.76939594219999996</v>
      </c>
      <c r="H9">
        <v>0.75467226040000002</v>
      </c>
      <c r="I9">
        <v>0.75117852919999994</v>
      </c>
      <c r="J9">
        <v>0.72346396609999997</v>
      </c>
      <c r="K9">
        <v>0.77914990110000004</v>
      </c>
      <c r="L9">
        <v>0.82224351529999995</v>
      </c>
      <c r="M9">
        <v>0.93312737140000002</v>
      </c>
      <c r="N9">
        <v>1.0013759932999999</v>
      </c>
      <c r="O9">
        <v>1.0963943338</v>
      </c>
      <c r="P9">
        <v>1.0962276439</v>
      </c>
      <c r="Q9">
        <v>1.1313667869999999</v>
      </c>
      <c r="R9">
        <v>1.1551865873</v>
      </c>
      <c r="S9">
        <v>1.1070124694000001</v>
      </c>
      <c r="T9">
        <v>1.0966136383</v>
      </c>
      <c r="U9">
        <v>1.0915811919</v>
      </c>
      <c r="V9">
        <v>1.0246342289999999</v>
      </c>
      <c r="W9">
        <v>0.955565102</v>
      </c>
      <c r="X9">
        <v>0.91840419890000002</v>
      </c>
      <c r="Y9">
        <v>0.84712342409999997</v>
      </c>
      <c r="Z9">
        <v>0.81145654950000001</v>
      </c>
      <c r="AA9">
        <v>0.80103823439999999</v>
      </c>
      <c r="AB9">
        <v>0.78483734459999999</v>
      </c>
      <c r="AC9">
        <f t="shared" si="0"/>
        <v>0.91783108791666657</v>
      </c>
      <c r="AD9">
        <f t="shared" si="1"/>
        <v>0.88276381150000005</v>
      </c>
    </row>
    <row r="10" spans="1:30" x14ac:dyDescent="0.25">
      <c r="A10" t="s">
        <v>112</v>
      </c>
      <c r="B10" t="s">
        <v>116</v>
      </c>
      <c r="C10">
        <v>115</v>
      </c>
      <c r="D10" t="s">
        <v>4</v>
      </c>
      <c r="E10">
        <v>4.4551649999999998E-2</v>
      </c>
      <c r="F10">
        <v>4.1611380000000003E-2</v>
      </c>
      <c r="G10">
        <v>4.0386585000000003E-2</v>
      </c>
      <c r="H10">
        <v>3.8688134999999998E-2</v>
      </c>
      <c r="I10">
        <v>3.9805409999999999E-2</v>
      </c>
      <c r="J10">
        <v>4.2497145E-2</v>
      </c>
      <c r="K10">
        <v>4.4263965000000002E-2</v>
      </c>
      <c r="L10">
        <v>4.6929974999999999E-2</v>
      </c>
      <c r="M10">
        <v>4.9925415000000001E-2</v>
      </c>
      <c r="N10">
        <v>5.3801235000000003E-2</v>
      </c>
      <c r="O10">
        <v>5.8660740000000003E-2</v>
      </c>
      <c r="P10">
        <v>6.078969E-2</v>
      </c>
      <c r="Q10">
        <v>6.138822E-2</v>
      </c>
      <c r="R10">
        <v>6.1635479999999999E-2</v>
      </c>
      <c r="S10">
        <v>6.1478715000000003E-2</v>
      </c>
      <c r="T10">
        <v>6.1542615000000002E-2</v>
      </c>
      <c r="U10">
        <v>5.9741040000000002E-2</v>
      </c>
      <c r="V10">
        <v>5.7677579999999999E-2</v>
      </c>
      <c r="W10">
        <v>6.1945500000000001E-2</v>
      </c>
      <c r="X10">
        <v>6.5724299999999999E-2</v>
      </c>
      <c r="Y10">
        <v>6.3205200000000003E-2</v>
      </c>
      <c r="Z10">
        <v>5.8346715E-2</v>
      </c>
      <c r="AA10">
        <v>5.2869840000000001E-2</v>
      </c>
      <c r="AB10">
        <v>4.7605410000000001E-2</v>
      </c>
      <c r="AC10">
        <f t="shared" si="0"/>
        <v>5.3127997500000017E-2</v>
      </c>
      <c r="AD10">
        <f t="shared" si="1"/>
        <v>5.5739407500000004E-2</v>
      </c>
    </row>
    <row r="11" spans="1:30" x14ac:dyDescent="0.25">
      <c r="A11" t="s">
        <v>112</v>
      </c>
      <c r="B11" t="s">
        <v>117</v>
      </c>
      <c r="C11">
        <v>115</v>
      </c>
      <c r="D11" t="s">
        <v>2</v>
      </c>
      <c r="E11">
        <v>19.480036694999999</v>
      </c>
      <c r="F11">
        <v>18.436775914999998</v>
      </c>
      <c r="G11">
        <v>18.549717000000001</v>
      </c>
      <c r="H11">
        <v>17.95947348</v>
      </c>
      <c r="I11">
        <v>18.604734175000001</v>
      </c>
      <c r="J11">
        <v>19.048007814999998</v>
      </c>
      <c r="K11">
        <v>21.220733620000001</v>
      </c>
      <c r="L11">
        <v>25.514213675000001</v>
      </c>
      <c r="M11">
        <v>29.597841450000001</v>
      </c>
      <c r="N11">
        <v>32.281553735000003</v>
      </c>
      <c r="O11">
        <v>35.029443694999998</v>
      </c>
      <c r="P11">
        <v>35.975464289999998</v>
      </c>
      <c r="Q11">
        <v>35.203039109999999</v>
      </c>
      <c r="R11">
        <v>35.83606709</v>
      </c>
      <c r="S11">
        <v>37.121495045000003</v>
      </c>
      <c r="T11">
        <v>37.160084390000002</v>
      </c>
      <c r="U11">
        <v>36.771209345000003</v>
      </c>
      <c r="V11">
        <v>33.210714084999999</v>
      </c>
      <c r="W11">
        <v>30.895707000000002</v>
      </c>
      <c r="X11">
        <v>28.914674999999999</v>
      </c>
      <c r="Y11">
        <v>26.886362999999999</v>
      </c>
      <c r="Z11">
        <v>24.106746189999999</v>
      </c>
      <c r="AA11">
        <v>21.806300360000002</v>
      </c>
      <c r="AB11">
        <v>20.323801485000001</v>
      </c>
      <c r="AC11">
        <f t="shared" si="0"/>
        <v>27.497258235208331</v>
      </c>
      <c r="AD11">
        <f t="shared" si="1"/>
        <v>27.900518999999999</v>
      </c>
    </row>
    <row r="12" spans="1:30" x14ac:dyDescent="0.25">
      <c r="A12" t="s">
        <v>112</v>
      </c>
      <c r="B12" t="s">
        <v>117</v>
      </c>
      <c r="C12">
        <v>115</v>
      </c>
      <c r="D12" t="s">
        <v>3</v>
      </c>
      <c r="E12">
        <v>8.8412927432000004</v>
      </c>
      <c r="F12">
        <v>8.8561023220999999</v>
      </c>
      <c r="G12">
        <v>8.9103535540000003</v>
      </c>
      <c r="H12">
        <v>8.3180438939000005</v>
      </c>
      <c r="I12">
        <v>8.8254205481000003</v>
      </c>
      <c r="J12">
        <v>8.5336905066999993</v>
      </c>
      <c r="K12">
        <v>7.4314638134999997</v>
      </c>
      <c r="L12">
        <v>5.2867319598</v>
      </c>
      <c r="M12">
        <v>6.6182889341999998</v>
      </c>
      <c r="N12">
        <v>7.3875551925999998</v>
      </c>
      <c r="O12">
        <v>8.3093265097</v>
      </c>
      <c r="P12">
        <v>8.7777745715000002</v>
      </c>
      <c r="Q12">
        <v>10.972419239200001</v>
      </c>
      <c r="R12">
        <v>11.1432786795</v>
      </c>
      <c r="S12">
        <v>13.262891935800001</v>
      </c>
      <c r="T12">
        <v>12.9121562663</v>
      </c>
      <c r="U12">
        <v>13.321757032500001</v>
      </c>
      <c r="V12">
        <v>14.376982157600001</v>
      </c>
      <c r="W12">
        <v>14.3095423842</v>
      </c>
      <c r="X12">
        <v>13.4003695617</v>
      </c>
      <c r="Y12">
        <v>12.622982136399999</v>
      </c>
      <c r="Z12">
        <v>11.359470533</v>
      </c>
      <c r="AA12">
        <v>9.0444463620000004</v>
      </c>
      <c r="AB12">
        <v>8.0132873708000005</v>
      </c>
      <c r="AC12">
        <f t="shared" si="0"/>
        <v>10.034817842012499</v>
      </c>
      <c r="AD12">
        <f t="shared" si="1"/>
        <v>8.8832279380500001</v>
      </c>
    </row>
    <row r="13" spans="1:30" x14ac:dyDescent="0.25">
      <c r="A13" t="s">
        <v>112</v>
      </c>
      <c r="B13" t="s">
        <v>117</v>
      </c>
      <c r="C13">
        <v>115</v>
      </c>
      <c r="D13" t="s">
        <v>4</v>
      </c>
      <c r="E13">
        <v>0.296650305</v>
      </c>
      <c r="F13">
        <v>0.28076308500000002</v>
      </c>
      <c r="G13">
        <v>0.28248299999999998</v>
      </c>
      <c r="H13">
        <v>0.27349452000000002</v>
      </c>
      <c r="I13">
        <v>0.283320825</v>
      </c>
      <c r="J13">
        <v>0.29007118500000001</v>
      </c>
      <c r="K13">
        <v>0.32315838000000002</v>
      </c>
      <c r="L13">
        <v>0.38854132499999999</v>
      </c>
      <c r="M13">
        <v>0.45072855000000001</v>
      </c>
      <c r="N13">
        <v>0.49159726500000001</v>
      </c>
      <c r="O13">
        <v>0.53344330500000003</v>
      </c>
      <c r="P13">
        <v>0.54784971000000005</v>
      </c>
      <c r="Q13">
        <v>0.53608688999999998</v>
      </c>
      <c r="R13">
        <v>0.54572690999999995</v>
      </c>
      <c r="S13">
        <v>0.56530195500000002</v>
      </c>
      <c r="T13">
        <v>0.56588961000000004</v>
      </c>
      <c r="U13">
        <v>0.55996765500000001</v>
      </c>
      <c r="V13">
        <v>0.50574691500000002</v>
      </c>
      <c r="W13">
        <v>0.47049299999999999</v>
      </c>
      <c r="X13">
        <v>0.44032500000000002</v>
      </c>
      <c r="Y13">
        <v>0.409437</v>
      </c>
      <c r="Z13">
        <v>0.36710780999999998</v>
      </c>
      <c r="AA13">
        <v>0.33207564000000001</v>
      </c>
      <c r="AB13">
        <v>0.309499515</v>
      </c>
      <c r="AC13">
        <f t="shared" si="0"/>
        <v>0.41873997312500005</v>
      </c>
      <c r="AD13">
        <f t="shared" si="1"/>
        <v>0.42488100000000001</v>
      </c>
    </row>
    <row r="14" spans="1:30" x14ac:dyDescent="0.25">
      <c r="A14" t="s">
        <v>112</v>
      </c>
      <c r="B14" t="s">
        <v>118</v>
      </c>
      <c r="C14">
        <v>115</v>
      </c>
      <c r="D14" t="s">
        <v>2</v>
      </c>
      <c r="E14">
        <v>20.360467125</v>
      </c>
      <c r="F14">
        <v>19.183355679999998</v>
      </c>
      <c r="G14">
        <v>18.780489695</v>
      </c>
      <c r="H14">
        <v>18.010507820000001</v>
      </c>
      <c r="I14">
        <v>18.817937929999999</v>
      </c>
      <c r="J14">
        <v>20.298478625000001</v>
      </c>
      <c r="K14">
        <v>23.889603444999999</v>
      </c>
      <c r="L14">
        <v>29.893281365</v>
      </c>
      <c r="M14">
        <v>36.267058765000002</v>
      </c>
      <c r="N14">
        <v>40.785981679999999</v>
      </c>
      <c r="O14">
        <v>45.31342583</v>
      </c>
      <c r="P14">
        <v>46.713862384999999</v>
      </c>
      <c r="Q14">
        <v>45.420151564999998</v>
      </c>
      <c r="R14">
        <v>45.99761668</v>
      </c>
      <c r="S14">
        <v>46.882476654999998</v>
      </c>
      <c r="T14">
        <v>46.931212485000003</v>
      </c>
      <c r="U14">
        <v>45.093083300000004</v>
      </c>
      <c r="V14">
        <v>40.259661704999999</v>
      </c>
      <c r="W14">
        <v>36.988326000000001</v>
      </c>
      <c r="X14">
        <v>34.594125900000002</v>
      </c>
      <c r="Y14">
        <v>30.371844599999999</v>
      </c>
      <c r="Z14">
        <v>26.158383975</v>
      </c>
      <c r="AA14">
        <v>23.020051835</v>
      </c>
      <c r="AB14">
        <v>21.379912574999999</v>
      </c>
      <c r="AC14">
        <f t="shared" si="0"/>
        <v>32.558804067499999</v>
      </c>
      <c r="AD14">
        <f t="shared" si="1"/>
        <v>32.482985249999999</v>
      </c>
    </row>
    <row r="15" spans="1:30" x14ac:dyDescent="0.25">
      <c r="A15" t="s">
        <v>112</v>
      </c>
      <c r="B15" t="s">
        <v>118</v>
      </c>
      <c r="C15">
        <v>115</v>
      </c>
      <c r="D15" t="s">
        <v>3</v>
      </c>
      <c r="E15">
        <v>6.4950112239999997</v>
      </c>
      <c r="F15">
        <v>5.8149004206999999</v>
      </c>
      <c r="G15">
        <v>5.7350791553000002</v>
      </c>
      <c r="H15">
        <v>5.5536859352999999</v>
      </c>
      <c r="I15">
        <v>5.6757492440000004</v>
      </c>
      <c r="J15">
        <v>5.7533851475000004</v>
      </c>
      <c r="K15">
        <v>6.6569262527999999</v>
      </c>
      <c r="L15">
        <v>8.2576200362000005</v>
      </c>
      <c r="M15">
        <v>10.2507402122</v>
      </c>
      <c r="N15">
        <v>11.5764965739</v>
      </c>
      <c r="O15">
        <v>13.198846856399999</v>
      </c>
      <c r="P15">
        <v>13.876546581099999</v>
      </c>
      <c r="Q15">
        <v>14.2572057896</v>
      </c>
      <c r="R15">
        <v>14.7564963592</v>
      </c>
      <c r="S15">
        <v>14.140400633900001</v>
      </c>
      <c r="T15">
        <v>14.1728225995</v>
      </c>
      <c r="U15">
        <v>13.549513389199999</v>
      </c>
      <c r="V15">
        <v>12.2942665709</v>
      </c>
      <c r="W15">
        <v>10.987535658400001</v>
      </c>
      <c r="X15">
        <v>10.0227515176</v>
      </c>
      <c r="Y15">
        <v>8.7639089550999998</v>
      </c>
      <c r="Z15">
        <v>7.6092339551999997</v>
      </c>
      <c r="AA15">
        <v>6.8995763516000004</v>
      </c>
      <c r="AB15">
        <v>6.4323059614</v>
      </c>
      <c r="AC15">
        <f t="shared" si="0"/>
        <v>9.6971252242083317</v>
      </c>
      <c r="AD15">
        <f t="shared" si="1"/>
        <v>9.3933302363499998</v>
      </c>
    </row>
    <row r="16" spans="1:30" x14ac:dyDescent="0.25">
      <c r="A16" t="s">
        <v>112</v>
      </c>
      <c r="B16" t="s">
        <v>118</v>
      </c>
      <c r="C16">
        <v>115</v>
      </c>
      <c r="D16" t="s">
        <v>4</v>
      </c>
      <c r="E16">
        <v>0.31005787499999998</v>
      </c>
      <c r="F16">
        <v>0.29213232</v>
      </c>
      <c r="G16">
        <v>0.28599730499999998</v>
      </c>
      <c r="H16">
        <v>0.27427169260000001</v>
      </c>
      <c r="I16">
        <v>0.28656758259999998</v>
      </c>
      <c r="J16">
        <v>0.30911388760000003</v>
      </c>
      <c r="K16">
        <v>0.36380106760000003</v>
      </c>
      <c r="L16">
        <v>0.45522763500000002</v>
      </c>
      <c r="M16">
        <v>0.55229023499999996</v>
      </c>
      <c r="N16">
        <v>0.62110631999999999</v>
      </c>
      <c r="O16">
        <v>0.69005216999999996</v>
      </c>
      <c r="P16">
        <v>0.71137861499999999</v>
      </c>
      <c r="Q16">
        <v>0.69167743500000001</v>
      </c>
      <c r="R16">
        <v>0.70047132000000001</v>
      </c>
      <c r="S16">
        <v>0.71394634499999998</v>
      </c>
      <c r="T16">
        <v>0.71468851499999997</v>
      </c>
      <c r="U16">
        <v>0.68669670000000005</v>
      </c>
      <c r="V16">
        <v>0.61309129500000004</v>
      </c>
      <c r="W16">
        <v>0.56327400000000005</v>
      </c>
      <c r="X16">
        <v>0.52681409999999995</v>
      </c>
      <c r="Y16">
        <v>0.46251540000000002</v>
      </c>
      <c r="Z16">
        <v>0.39835102500000003</v>
      </c>
      <c r="AA16">
        <v>0.35055916500000001</v>
      </c>
      <c r="AB16">
        <v>0.32558242500000001</v>
      </c>
      <c r="AC16">
        <f t="shared" si="0"/>
        <v>0.4958193512666666</v>
      </c>
      <c r="AD16">
        <f t="shared" si="1"/>
        <v>0.49466474999999999</v>
      </c>
    </row>
    <row r="17" spans="1:30" x14ac:dyDescent="0.25">
      <c r="A17" t="s">
        <v>112</v>
      </c>
      <c r="B17" t="s">
        <v>121</v>
      </c>
      <c r="C17">
        <v>115</v>
      </c>
      <c r="D17" t="s">
        <v>2</v>
      </c>
      <c r="E17">
        <v>27.099912969999998</v>
      </c>
      <c r="F17">
        <v>26.466236859999999</v>
      </c>
      <c r="G17">
        <v>26.190852530000001</v>
      </c>
      <c r="H17">
        <v>25.24373563</v>
      </c>
      <c r="I17">
        <v>26.428094704999999</v>
      </c>
      <c r="J17">
        <v>27.754668079999998</v>
      </c>
      <c r="K17">
        <v>28.872896225000002</v>
      </c>
      <c r="L17">
        <v>29.94335384</v>
      </c>
      <c r="M17">
        <v>30.511922434999999</v>
      </c>
      <c r="N17">
        <v>31.179229400000001</v>
      </c>
      <c r="O17">
        <v>32.248389770000003</v>
      </c>
      <c r="P17">
        <v>32.684467984999998</v>
      </c>
      <c r="Q17">
        <v>32.170589544999999</v>
      </c>
      <c r="R17">
        <v>32.889710465</v>
      </c>
      <c r="S17">
        <v>33.295239889999998</v>
      </c>
      <c r="T17">
        <v>33.329851804999997</v>
      </c>
      <c r="U17">
        <v>33.409514665000003</v>
      </c>
      <c r="V17">
        <v>33.649081440000003</v>
      </c>
      <c r="W17">
        <v>35.3720395</v>
      </c>
      <c r="X17">
        <v>36.170736599999998</v>
      </c>
      <c r="Y17">
        <v>34.636973400000002</v>
      </c>
      <c r="Z17">
        <v>31.328512060000001</v>
      </c>
      <c r="AA17">
        <v>28.369716855</v>
      </c>
      <c r="AB17">
        <v>27.636314420000001</v>
      </c>
      <c r="AC17">
        <f t="shared" si="0"/>
        <v>30.703418378125004</v>
      </c>
      <c r="AD17">
        <f t="shared" si="1"/>
        <v>31.253870730000003</v>
      </c>
    </row>
    <row r="18" spans="1:30" x14ac:dyDescent="0.25">
      <c r="A18" t="s">
        <v>112</v>
      </c>
      <c r="B18" t="s">
        <v>121</v>
      </c>
      <c r="C18">
        <v>115</v>
      </c>
      <c r="D18" t="s">
        <v>3</v>
      </c>
      <c r="E18">
        <v>10.2265329833</v>
      </c>
      <c r="F18">
        <v>10.013076845900001</v>
      </c>
      <c r="G18">
        <v>10.060468921</v>
      </c>
      <c r="H18">
        <v>9.5831485441000002</v>
      </c>
      <c r="I18">
        <v>9.8786674419999994</v>
      </c>
      <c r="J18">
        <v>10.128741552599999</v>
      </c>
      <c r="K18">
        <v>11.237945337099999</v>
      </c>
      <c r="L18">
        <v>12.235420532799999</v>
      </c>
      <c r="M18">
        <v>12.683201495200001</v>
      </c>
      <c r="N18">
        <v>13.3386274864</v>
      </c>
      <c r="O18">
        <v>13.9024948075</v>
      </c>
      <c r="P18">
        <v>14.0611033913</v>
      </c>
      <c r="Q18">
        <v>13.8689546142</v>
      </c>
      <c r="R18">
        <v>14.345938496500001</v>
      </c>
      <c r="S18">
        <v>14.483146216</v>
      </c>
      <c r="T18">
        <v>14.418593403699999</v>
      </c>
      <c r="U18">
        <v>14.3028013101</v>
      </c>
      <c r="V18">
        <v>14.0591221006</v>
      </c>
      <c r="W18">
        <v>13.6888078099</v>
      </c>
      <c r="X18">
        <v>13.4732621021</v>
      </c>
      <c r="Y18">
        <v>12.811349573299999</v>
      </c>
      <c r="Z18">
        <v>11.494998111399999</v>
      </c>
      <c r="AA18">
        <v>10.595197256000001</v>
      </c>
      <c r="AB18">
        <v>10.580287914099999</v>
      </c>
      <c r="AC18">
        <f t="shared" si="0"/>
        <v>12.311328676962496</v>
      </c>
      <c r="AD18">
        <f t="shared" si="1"/>
        <v>12.747275534250001</v>
      </c>
    </row>
    <row r="19" spans="1:30" x14ac:dyDescent="0.25">
      <c r="A19" t="s">
        <v>112</v>
      </c>
      <c r="B19" t="s">
        <v>121</v>
      </c>
      <c r="C19">
        <v>115</v>
      </c>
      <c r="D19" t="s">
        <v>4</v>
      </c>
      <c r="E19">
        <v>0.41268903000000001</v>
      </c>
      <c r="F19">
        <v>0.40303914000000002</v>
      </c>
      <c r="G19">
        <v>0.39884546999999998</v>
      </c>
      <c r="H19">
        <v>0.38442237000000001</v>
      </c>
      <c r="I19">
        <v>0.40245829500000002</v>
      </c>
      <c r="J19">
        <v>0.42265992000000002</v>
      </c>
      <c r="K19">
        <v>0.43968877499999998</v>
      </c>
      <c r="L19">
        <v>0.45599015999999998</v>
      </c>
      <c r="M19">
        <v>0.46464856500000001</v>
      </c>
      <c r="N19">
        <v>0.47481060000000003</v>
      </c>
      <c r="O19">
        <v>0.49109223000000002</v>
      </c>
      <c r="P19">
        <v>0.497733015</v>
      </c>
      <c r="Q19">
        <v>0.48990745499999999</v>
      </c>
      <c r="R19">
        <v>0.50085853499999999</v>
      </c>
      <c r="S19">
        <v>0.50703410999999998</v>
      </c>
      <c r="T19">
        <v>0.50756119499999997</v>
      </c>
      <c r="U19">
        <v>0.50877433500000002</v>
      </c>
      <c r="V19">
        <v>0.51242255999999997</v>
      </c>
      <c r="W19">
        <v>0.53866049999999999</v>
      </c>
      <c r="X19">
        <v>0.55082339999999996</v>
      </c>
      <c r="Y19">
        <v>0.52746660000000001</v>
      </c>
      <c r="Z19">
        <v>0.47708393999999998</v>
      </c>
      <c r="AA19">
        <v>0.43202614499999997</v>
      </c>
      <c r="AB19">
        <v>0.42085758000000001</v>
      </c>
      <c r="AC19">
        <f t="shared" si="0"/>
        <v>0.46756474687499999</v>
      </c>
      <c r="AD19">
        <f t="shared" si="1"/>
        <v>0.47594727000000003</v>
      </c>
    </row>
    <row r="20" spans="1:30" x14ac:dyDescent="0.25">
      <c r="A20" t="s">
        <v>112</v>
      </c>
      <c r="B20" t="s">
        <v>122</v>
      </c>
      <c r="C20">
        <v>115</v>
      </c>
      <c r="D20" t="s">
        <v>2</v>
      </c>
      <c r="E20">
        <v>33.061577204999999</v>
      </c>
      <c r="F20">
        <v>30.938246195000001</v>
      </c>
      <c r="G20">
        <v>30.201898610000001</v>
      </c>
      <c r="H20">
        <v>28.971985255</v>
      </c>
      <c r="I20">
        <v>30.740644360000001</v>
      </c>
      <c r="J20">
        <v>31.650674039999998</v>
      </c>
      <c r="K20">
        <v>31.87026797</v>
      </c>
      <c r="L20">
        <v>33.020536194999998</v>
      </c>
      <c r="M20">
        <v>34.132500725</v>
      </c>
      <c r="N20">
        <v>36.343616904999998</v>
      </c>
      <c r="O20">
        <v>39.023510344999998</v>
      </c>
      <c r="P20">
        <v>40.631614450000001</v>
      </c>
      <c r="Q20">
        <v>41.050035555000001</v>
      </c>
      <c r="R20">
        <v>42.165506684999997</v>
      </c>
      <c r="S20">
        <v>41.369444459999997</v>
      </c>
      <c r="T20">
        <v>41.412449559999999</v>
      </c>
      <c r="U20">
        <v>41.560557115000002</v>
      </c>
      <c r="V20">
        <v>42.258617749999999</v>
      </c>
      <c r="W20">
        <v>47.1847505</v>
      </c>
      <c r="X20">
        <v>51.1759311</v>
      </c>
      <c r="Y20">
        <v>49.278289200000003</v>
      </c>
      <c r="Z20">
        <v>44.669287050000001</v>
      </c>
      <c r="AA20">
        <v>39.925544780000003</v>
      </c>
      <c r="AB20">
        <v>35.426188889999999</v>
      </c>
      <c r="AC20">
        <f t="shared" si="0"/>
        <v>38.25265312083333</v>
      </c>
      <c r="AD20">
        <f t="shared" si="1"/>
        <v>39.4745275625</v>
      </c>
    </row>
    <row r="21" spans="1:30" x14ac:dyDescent="0.25">
      <c r="A21" t="s">
        <v>112</v>
      </c>
      <c r="B21" t="s">
        <v>122</v>
      </c>
      <c r="C21">
        <v>115</v>
      </c>
      <c r="D21" t="s">
        <v>3</v>
      </c>
      <c r="E21">
        <v>7.8273865815999999</v>
      </c>
      <c r="F21">
        <v>7.4932411987999998</v>
      </c>
      <c r="G21">
        <v>7.4897420833000004</v>
      </c>
      <c r="H21">
        <v>7.2737209214999998</v>
      </c>
      <c r="I21">
        <v>7.4315460368000004</v>
      </c>
      <c r="J21">
        <v>7.2132652366999999</v>
      </c>
      <c r="K21">
        <v>7.2027450378999998</v>
      </c>
      <c r="L21">
        <v>7.2394209255000002</v>
      </c>
      <c r="M21">
        <v>7.5331775046000002</v>
      </c>
      <c r="N21">
        <v>8.2483262798000005</v>
      </c>
      <c r="O21">
        <v>8.6883124438999992</v>
      </c>
      <c r="P21">
        <v>8.7477451416999994</v>
      </c>
      <c r="Q21">
        <v>9.1790814043999998</v>
      </c>
      <c r="R21">
        <v>9.3878560180000008</v>
      </c>
      <c r="S21">
        <v>9.2505035189000004</v>
      </c>
      <c r="T21">
        <v>9.2401749305000003</v>
      </c>
      <c r="U21">
        <v>9.4323313045999999</v>
      </c>
      <c r="V21">
        <v>9.4289766599</v>
      </c>
      <c r="W21">
        <v>9.5069512535000005</v>
      </c>
      <c r="X21">
        <v>9.8433367418</v>
      </c>
      <c r="Y21">
        <v>9.3421897749999996</v>
      </c>
      <c r="Z21">
        <v>8.6407531646999995</v>
      </c>
      <c r="AA21">
        <v>8.0653510602999994</v>
      </c>
      <c r="AB21">
        <v>7.6622017589000002</v>
      </c>
      <c r="AC21">
        <f t="shared" si="0"/>
        <v>8.3903473742750005</v>
      </c>
      <c r="AD21">
        <f t="shared" si="1"/>
        <v>8.4445397222499992</v>
      </c>
    </row>
    <row r="22" spans="1:30" x14ac:dyDescent="0.25">
      <c r="A22" t="s">
        <v>112</v>
      </c>
      <c r="B22" t="s">
        <v>122</v>
      </c>
      <c r="C22">
        <v>115</v>
      </c>
      <c r="D22" t="s">
        <v>4</v>
      </c>
      <c r="E22">
        <v>0.50347579499999995</v>
      </c>
      <c r="F22">
        <v>0.471140805</v>
      </c>
      <c r="G22">
        <v>0.45992738999999999</v>
      </c>
      <c r="H22">
        <v>0.44119774499999997</v>
      </c>
      <c r="I22">
        <v>0.46813164000000002</v>
      </c>
      <c r="J22">
        <v>0.48198996</v>
      </c>
      <c r="K22">
        <v>0.48533403000000003</v>
      </c>
      <c r="L22">
        <v>0.50285080500000001</v>
      </c>
      <c r="M22">
        <v>0.51978427500000002</v>
      </c>
      <c r="N22">
        <v>0.55345609500000004</v>
      </c>
      <c r="O22">
        <v>0.59426665499999998</v>
      </c>
      <c r="P22">
        <v>0.61875555000000004</v>
      </c>
      <c r="Q22">
        <v>0.62512744499999995</v>
      </c>
      <c r="R22">
        <v>0.64211431500000005</v>
      </c>
      <c r="S22">
        <v>0.62999154000000002</v>
      </c>
      <c r="T22">
        <v>0.63064644000000003</v>
      </c>
      <c r="U22">
        <v>0.632901885</v>
      </c>
      <c r="V22">
        <v>0.64353225000000003</v>
      </c>
      <c r="W22">
        <v>0.71854949999999995</v>
      </c>
      <c r="X22">
        <v>0.77932889999999999</v>
      </c>
      <c r="Y22">
        <v>0.75043079999999995</v>
      </c>
      <c r="Z22">
        <v>0.68024295000000001</v>
      </c>
      <c r="AA22">
        <v>0.60800321999999996</v>
      </c>
      <c r="AB22">
        <v>0.53948510999999999</v>
      </c>
      <c r="AC22">
        <f t="shared" si="0"/>
        <v>0.58252771250000002</v>
      </c>
      <c r="AD22">
        <f t="shared" si="1"/>
        <v>0.60113493749999991</v>
      </c>
    </row>
    <row r="23" spans="1:30" x14ac:dyDescent="0.25">
      <c r="A23" t="s">
        <v>112</v>
      </c>
      <c r="B23" t="s">
        <v>123</v>
      </c>
      <c r="C23">
        <v>115</v>
      </c>
      <c r="D23" t="s">
        <v>2</v>
      </c>
      <c r="E23">
        <v>8.6069073449999998</v>
      </c>
      <c r="F23">
        <v>7.9510697199999996</v>
      </c>
      <c r="G23">
        <v>7.732711965</v>
      </c>
      <c r="H23">
        <v>7.456500235</v>
      </c>
      <c r="I23">
        <v>8.0393542849999999</v>
      </c>
      <c r="J23">
        <v>8.8156386950000005</v>
      </c>
      <c r="K23">
        <v>9.2106315750000007</v>
      </c>
      <c r="L23">
        <v>9.8096573550000006</v>
      </c>
      <c r="M23">
        <v>10.504271474999999</v>
      </c>
      <c r="N23">
        <v>11.96572484</v>
      </c>
      <c r="O23">
        <v>13.62716374</v>
      </c>
      <c r="P23">
        <v>14.443816405</v>
      </c>
      <c r="Q23">
        <v>14.75065474</v>
      </c>
      <c r="R23">
        <v>14.811749365000001</v>
      </c>
      <c r="S23">
        <v>14.287992360000001</v>
      </c>
      <c r="T23">
        <v>14.30284616</v>
      </c>
      <c r="U23">
        <v>14.34974004</v>
      </c>
      <c r="V23">
        <v>14.688230365000001</v>
      </c>
      <c r="W23">
        <v>16.228958500000001</v>
      </c>
      <c r="X23">
        <v>16.934868600000001</v>
      </c>
      <c r="Y23">
        <v>15.5012208</v>
      </c>
      <c r="Z23">
        <v>13.130483399999999</v>
      </c>
      <c r="AA23">
        <v>10.859637805</v>
      </c>
      <c r="AB23">
        <v>9.4205104500000001</v>
      </c>
      <c r="AC23">
        <f t="shared" si="0"/>
        <v>11.976264175833331</v>
      </c>
      <c r="AD23">
        <f t="shared" si="1"/>
        <v>12.54810412</v>
      </c>
    </row>
    <row r="24" spans="1:30" x14ac:dyDescent="0.25">
      <c r="A24" t="s">
        <v>112</v>
      </c>
      <c r="B24" t="s">
        <v>123</v>
      </c>
      <c r="C24">
        <v>115</v>
      </c>
      <c r="D24" t="s">
        <v>3</v>
      </c>
      <c r="E24">
        <v>4.0606411048000002</v>
      </c>
      <c r="F24">
        <v>3.6457370243999998</v>
      </c>
      <c r="G24">
        <v>3.5433696100000001</v>
      </c>
      <c r="H24">
        <v>3.4146346724000001</v>
      </c>
      <c r="I24">
        <v>3.8502694539000002</v>
      </c>
      <c r="J24">
        <v>3.6779402973000002</v>
      </c>
      <c r="K24">
        <v>3.700821344</v>
      </c>
      <c r="L24">
        <v>3.9567716202000001</v>
      </c>
      <c r="M24">
        <v>4.2565111116000001</v>
      </c>
      <c r="N24">
        <v>4.7854187414</v>
      </c>
      <c r="O24">
        <v>5.3299006041999997</v>
      </c>
      <c r="P24">
        <v>5.4459022454000001</v>
      </c>
      <c r="Q24">
        <v>5.6896163420999999</v>
      </c>
      <c r="R24">
        <v>5.8119549478000003</v>
      </c>
      <c r="S24">
        <v>5.6918151002000004</v>
      </c>
      <c r="T24">
        <v>5.6032259217</v>
      </c>
      <c r="U24">
        <v>5.5120433186</v>
      </c>
      <c r="V24">
        <v>5.5807505238999999</v>
      </c>
      <c r="W24">
        <v>5.6169426369000002</v>
      </c>
      <c r="X24">
        <v>5.5481731542999997</v>
      </c>
      <c r="Y24">
        <v>5.1005034687000004</v>
      </c>
      <c r="Z24">
        <v>4.5265351175999999</v>
      </c>
      <c r="AA24">
        <v>4.1015498465000002</v>
      </c>
      <c r="AB24">
        <v>4.0527742870000001</v>
      </c>
      <c r="AC24">
        <f t="shared" si="0"/>
        <v>4.6876584372875003</v>
      </c>
      <c r="AD24">
        <f t="shared" si="1"/>
        <v>4.6559769294999995</v>
      </c>
    </row>
    <row r="25" spans="1:30" x14ac:dyDescent="0.25">
      <c r="A25" t="s">
        <v>112</v>
      </c>
      <c r="B25" t="s">
        <v>123</v>
      </c>
      <c r="C25">
        <v>115</v>
      </c>
      <c r="D25" t="s">
        <v>4</v>
      </c>
      <c r="E25">
        <v>0.13106965500000001</v>
      </c>
      <c r="F25">
        <v>0.12108228</v>
      </c>
      <c r="G25">
        <v>0.117757035</v>
      </c>
      <c r="H25">
        <v>0.113550765</v>
      </c>
      <c r="I25">
        <v>0.12242671500000001</v>
      </c>
      <c r="J25">
        <v>0.13424830500000001</v>
      </c>
      <c r="K25">
        <v>0.140263425</v>
      </c>
      <c r="L25">
        <v>0.14938564500000001</v>
      </c>
      <c r="M25">
        <v>0.159963525</v>
      </c>
      <c r="N25">
        <v>0.18221915999999999</v>
      </c>
      <c r="O25">
        <v>0.20752026000000001</v>
      </c>
      <c r="P25">
        <v>0.219956595</v>
      </c>
      <c r="Q25">
        <v>0.22462926</v>
      </c>
      <c r="R25">
        <v>0.22555963500000001</v>
      </c>
      <c r="S25">
        <v>0.21758363999999999</v>
      </c>
      <c r="T25">
        <v>0.21780984</v>
      </c>
      <c r="U25">
        <v>0.21852395999999999</v>
      </c>
      <c r="V25">
        <v>0.22367863499999999</v>
      </c>
      <c r="W25">
        <v>0.24714149999999999</v>
      </c>
      <c r="X25">
        <v>0.25789139999999999</v>
      </c>
      <c r="Y25">
        <v>0.2360592</v>
      </c>
      <c r="Z25">
        <v>0.19995660000000001</v>
      </c>
      <c r="AA25">
        <v>0.165375195</v>
      </c>
      <c r="AB25">
        <v>0.14345954999999999</v>
      </c>
      <c r="AC25">
        <f t="shared" si="0"/>
        <v>0.18237965750000007</v>
      </c>
      <c r="AD25">
        <f t="shared" si="1"/>
        <v>0.19108787999999999</v>
      </c>
    </row>
    <row r="26" spans="1:30" x14ac:dyDescent="0.25">
      <c r="A26" t="s">
        <v>112</v>
      </c>
      <c r="B26" t="s">
        <v>124</v>
      </c>
      <c r="C26">
        <v>115</v>
      </c>
      <c r="D26" t="s">
        <v>2</v>
      </c>
      <c r="E26">
        <v>37.424252525</v>
      </c>
      <c r="F26">
        <v>34.887650975</v>
      </c>
      <c r="G26">
        <v>33.659823850000002</v>
      </c>
      <c r="H26">
        <v>32.06869425</v>
      </c>
      <c r="I26">
        <v>32.970137684999997</v>
      </c>
      <c r="J26">
        <v>34.417967515000001</v>
      </c>
      <c r="K26">
        <v>36.158117765</v>
      </c>
      <c r="L26">
        <v>38.264492984999997</v>
      </c>
      <c r="M26">
        <v>41.031514600000001</v>
      </c>
      <c r="N26">
        <v>44.346487775</v>
      </c>
      <c r="O26">
        <v>48.591518635</v>
      </c>
      <c r="P26">
        <v>50.236447949999999</v>
      </c>
      <c r="Q26">
        <v>51.442679935000001</v>
      </c>
      <c r="R26">
        <v>52.702270355000003</v>
      </c>
      <c r="S26">
        <v>52.978438744999998</v>
      </c>
      <c r="T26">
        <v>53.033512064999996</v>
      </c>
      <c r="U26">
        <v>52.536400295</v>
      </c>
      <c r="V26">
        <v>52.791124250000003</v>
      </c>
      <c r="W26">
        <v>56.353721499999999</v>
      </c>
      <c r="X26">
        <v>58.900714800000003</v>
      </c>
      <c r="Y26">
        <v>54.936464100000002</v>
      </c>
      <c r="Z26">
        <v>49.070051335000002</v>
      </c>
      <c r="AA26">
        <v>43.759166749999999</v>
      </c>
      <c r="AB26">
        <v>39.730897945000002</v>
      </c>
      <c r="AC26">
        <f t="shared" si="0"/>
        <v>45.095522857708325</v>
      </c>
      <c r="AD26">
        <f t="shared" si="1"/>
        <v>46.469003205</v>
      </c>
    </row>
    <row r="27" spans="1:30" x14ac:dyDescent="0.25">
      <c r="A27" t="s">
        <v>112</v>
      </c>
      <c r="B27" t="s">
        <v>124</v>
      </c>
      <c r="C27">
        <v>115</v>
      </c>
      <c r="D27" t="s">
        <v>3</v>
      </c>
      <c r="E27">
        <v>12.0600361716</v>
      </c>
      <c r="F27">
        <v>11.565756824199999</v>
      </c>
      <c r="G27">
        <v>11.4178089107</v>
      </c>
      <c r="H27">
        <v>10.9890067073</v>
      </c>
      <c r="I27">
        <v>11.0112657711</v>
      </c>
      <c r="J27">
        <v>10.6130589998</v>
      </c>
      <c r="K27">
        <v>11.3896279324</v>
      </c>
      <c r="L27">
        <v>12.039120005099999</v>
      </c>
      <c r="M27">
        <v>13.17812949</v>
      </c>
      <c r="N27">
        <v>14.2907395757</v>
      </c>
      <c r="O27">
        <v>15.4478350064</v>
      </c>
      <c r="P27">
        <v>15.7505874187</v>
      </c>
      <c r="Q27">
        <v>17.4142244459</v>
      </c>
      <c r="R27">
        <v>17.582843585999999</v>
      </c>
      <c r="S27">
        <v>17.413170728400001</v>
      </c>
      <c r="T27">
        <v>17.0328221153</v>
      </c>
      <c r="U27">
        <v>16.5294762441</v>
      </c>
      <c r="V27">
        <v>16.3764485134</v>
      </c>
      <c r="W27">
        <v>16.128546155199999</v>
      </c>
      <c r="X27">
        <v>16.294331827299999</v>
      </c>
      <c r="Y27">
        <v>15.131000390800001</v>
      </c>
      <c r="Z27">
        <v>13.455482392</v>
      </c>
      <c r="AA27">
        <v>12.575496387799999</v>
      </c>
      <c r="AB27">
        <v>12.1030239639</v>
      </c>
      <c r="AC27">
        <f t="shared" si="0"/>
        <v>14.074576648462502</v>
      </c>
      <c r="AD27">
        <f t="shared" si="1"/>
        <v>13.873110983850001</v>
      </c>
    </row>
    <row r="28" spans="1:30" x14ac:dyDescent="0.25">
      <c r="A28" t="s">
        <v>112</v>
      </c>
      <c r="B28" t="s">
        <v>124</v>
      </c>
      <c r="C28">
        <v>115</v>
      </c>
      <c r="D28" t="s">
        <v>4</v>
      </c>
      <c r="E28">
        <v>0.56991247499999997</v>
      </c>
      <c r="F28">
        <v>0.53128402500000005</v>
      </c>
      <c r="G28">
        <v>0.51258614999999996</v>
      </c>
      <c r="H28">
        <v>0.48835574999999998</v>
      </c>
      <c r="I28">
        <v>0.50208331500000003</v>
      </c>
      <c r="J28">
        <v>0.52413148499999995</v>
      </c>
      <c r="K28">
        <v>0.550631235</v>
      </c>
      <c r="L28">
        <v>0.58270801500000002</v>
      </c>
      <c r="M28">
        <v>0.6248454</v>
      </c>
      <c r="N28">
        <v>0.67532722499999998</v>
      </c>
      <c r="O28">
        <v>0.73997236499999997</v>
      </c>
      <c r="P28">
        <v>0.76502205000000001</v>
      </c>
      <c r="Q28">
        <v>0.783391065</v>
      </c>
      <c r="R28">
        <v>0.80257264500000003</v>
      </c>
      <c r="S28">
        <v>0.806778255</v>
      </c>
      <c r="T28">
        <v>0.80761693499999998</v>
      </c>
      <c r="U28">
        <v>0.80004670499999997</v>
      </c>
      <c r="V28">
        <v>0.80392574999999999</v>
      </c>
      <c r="W28">
        <v>0.85817849999999996</v>
      </c>
      <c r="X28">
        <v>0.89696520000000002</v>
      </c>
      <c r="Y28">
        <v>0.83659589999999995</v>
      </c>
      <c r="Z28">
        <v>0.74725966499999996</v>
      </c>
      <c r="AA28">
        <v>0.66638324999999998</v>
      </c>
      <c r="AB28">
        <v>0.60503905499999999</v>
      </c>
      <c r="AC28">
        <f t="shared" si="0"/>
        <v>0.68673385062499992</v>
      </c>
      <c r="AD28">
        <f t="shared" si="1"/>
        <v>0.70764979500000003</v>
      </c>
    </row>
    <row r="29" spans="1:30" x14ac:dyDescent="0.25">
      <c r="A29" t="s">
        <v>112</v>
      </c>
      <c r="B29" t="s">
        <v>125</v>
      </c>
      <c r="C29">
        <v>115</v>
      </c>
      <c r="D29" t="s">
        <v>2</v>
      </c>
      <c r="E29">
        <v>18.453524855000001</v>
      </c>
      <c r="F29">
        <v>17.335571524999999</v>
      </c>
      <c r="G29">
        <v>16.868374204999999</v>
      </c>
      <c r="H29">
        <v>16.107906925000002</v>
      </c>
      <c r="I29">
        <v>16.774280109999999</v>
      </c>
      <c r="J29">
        <v>17.631278375000001</v>
      </c>
      <c r="K29">
        <v>18.627408875</v>
      </c>
      <c r="L29">
        <v>20.907544004999998</v>
      </c>
      <c r="M29">
        <v>23.362686055000001</v>
      </c>
      <c r="N29">
        <v>25.551866284999999</v>
      </c>
      <c r="O29">
        <v>28.248406225</v>
      </c>
      <c r="P29">
        <v>29.064372344999999</v>
      </c>
      <c r="Q29">
        <v>29.234985179999999</v>
      </c>
      <c r="R29">
        <v>29.949504180000002</v>
      </c>
      <c r="S29">
        <v>30.98212302</v>
      </c>
      <c r="T29">
        <v>31.01433055</v>
      </c>
      <c r="U29">
        <v>30.456592029999999</v>
      </c>
      <c r="V29">
        <v>29.586877415</v>
      </c>
      <c r="W29">
        <v>31.292268</v>
      </c>
      <c r="X29">
        <v>30.7469523</v>
      </c>
      <c r="Y29">
        <v>28.468588199999999</v>
      </c>
      <c r="Z29">
        <v>24.532461219999998</v>
      </c>
      <c r="AA29">
        <v>21.572710565000001</v>
      </c>
      <c r="AB29">
        <v>19.626768205000001</v>
      </c>
      <c r="AC29">
        <f t="shared" si="0"/>
        <v>24.433224193749997</v>
      </c>
      <c r="AD29">
        <f t="shared" si="1"/>
        <v>25.042163752499999</v>
      </c>
    </row>
    <row r="30" spans="1:30" x14ac:dyDescent="0.25">
      <c r="A30" t="s">
        <v>112</v>
      </c>
      <c r="B30" t="s">
        <v>125</v>
      </c>
      <c r="C30">
        <v>115</v>
      </c>
      <c r="D30" t="s">
        <v>3</v>
      </c>
      <c r="E30">
        <v>6.2916247303999997</v>
      </c>
      <c r="F30">
        <v>6.0473031039</v>
      </c>
      <c r="G30">
        <v>6.1279961619999996</v>
      </c>
      <c r="H30">
        <v>5.6464302946</v>
      </c>
      <c r="I30">
        <v>5.7422726203999996</v>
      </c>
      <c r="J30">
        <v>5.6371701560999998</v>
      </c>
      <c r="K30">
        <v>5.8947562267000002</v>
      </c>
      <c r="L30">
        <v>6.8124412693999998</v>
      </c>
      <c r="M30">
        <v>8.0699616273999997</v>
      </c>
      <c r="N30">
        <v>8.7998437639000002</v>
      </c>
      <c r="O30">
        <v>9.8733401529000009</v>
      </c>
      <c r="P30">
        <v>10.257064440000001</v>
      </c>
      <c r="Q30">
        <v>10.649627732200001</v>
      </c>
      <c r="R30">
        <v>10.919818795899999</v>
      </c>
      <c r="S30">
        <v>11.296319540300001</v>
      </c>
      <c r="T30">
        <v>10.7660742002</v>
      </c>
      <c r="U30">
        <v>10.912228024899999</v>
      </c>
      <c r="V30">
        <v>10.551053677200001</v>
      </c>
      <c r="W30">
        <v>9.8225190608999995</v>
      </c>
      <c r="X30">
        <v>9.2853151953000008</v>
      </c>
      <c r="Y30">
        <v>8.4567122068000007</v>
      </c>
      <c r="Z30">
        <v>7.3155548733</v>
      </c>
      <c r="AA30">
        <v>6.4984724834999996</v>
      </c>
      <c r="AB30">
        <v>6.2038498797999999</v>
      </c>
      <c r="AC30">
        <f t="shared" si="0"/>
        <v>8.2449062590833329</v>
      </c>
      <c r="AD30">
        <f t="shared" si="1"/>
        <v>8.2633369171000002</v>
      </c>
    </row>
    <row r="31" spans="1:30" x14ac:dyDescent="0.25">
      <c r="A31" t="s">
        <v>112</v>
      </c>
      <c r="B31" t="s">
        <v>125</v>
      </c>
      <c r="C31">
        <v>115</v>
      </c>
      <c r="D31" t="s">
        <v>4</v>
      </c>
      <c r="E31">
        <v>0.281018145</v>
      </c>
      <c r="F31">
        <v>0.26399347499999998</v>
      </c>
      <c r="G31">
        <v>0.25687879499999999</v>
      </c>
      <c r="H31">
        <v>0.245298075</v>
      </c>
      <c r="I31">
        <v>0.25544589000000001</v>
      </c>
      <c r="J31">
        <v>0.26849662499999999</v>
      </c>
      <c r="K31">
        <v>0.28366612499999999</v>
      </c>
      <c r="L31">
        <v>0.31838899500000001</v>
      </c>
      <c r="M31">
        <v>0.35577694500000001</v>
      </c>
      <c r="N31">
        <v>0.389114715</v>
      </c>
      <c r="O31">
        <v>0.43017877500000001</v>
      </c>
      <c r="P31">
        <v>0.44260465500000001</v>
      </c>
      <c r="Q31">
        <v>0.44520282</v>
      </c>
      <c r="R31">
        <v>0.45608381999999997</v>
      </c>
      <c r="S31">
        <v>0.47180897999999999</v>
      </c>
      <c r="T31">
        <v>0.47229945000000001</v>
      </c>
      <c r="U31">
        <v>0.46380597000000001</v>
      </c>
      <c r="V31">
        <v>0.45056158499999999</v>
      </c>
      <c r="W31">
        <v>0.47653200000000001</v>
      </c>
      <c r="X31">
        <v>0.46822770000000002</v>
      </c>
      <c r="Y31">
        <v>0.43353180000000002</v>
      </c>
      <c r="Z31">
        <v>0.37359078000000001</v>
      </c>
      <c r="AA31">
        <v>0.328518435</v>
      </c>
      <c r="AB31">
        <v>0.29888479499999998</v>
      </c>
      <c r="AC31">
        <f t="shared" si="0"/>
        <v>0.37207955624999994</v>
      </c>
      <c r="AD31">
        <f t="shared" si="1"/>
        <v>0.38135274750000003</v>
      </c>
    </row>
    <row r="32" spans="1:30" x14ac:dyDescent="0.25">
      <c r="A32" t="s">
        <v>112</v>
      </c>
      <c r="B32" t="s">
        <v>126</v>
      </c>
      <c r="C32">
        <v>115</v>
      </c>
      <c r="D32" t="s">
        <v>2</v>
      </c>
      <c r="E32">
        <v>32.512788395000001</v>
      </c>
      <c r="F32">
        <v>30.829992725</v>
      </c>
      <c r="G32">
        <v>30.070028780000001</v>
      </c>
      <c r="H32">
        <v>28.763863619999999</v>
      </c>
      <c r="I32">
        <v>29.836400569999999</v>
      </c>
      <c r="J32">
        <v>31.226433555</v>
      </c>
      <c r="K32">
        <v>33.548302149999998</v>
      </c>
      <c r="L32">
        <v>36.753213395000003</v>
      </c>
      <c r="M32">
        <v>40.347230175</v>
      </c>
      <c r="N32">
        <v>43.448093900000003</v>
      </c>
      <c r="O32">
        <v>46.473183544999998</v>
      </c>
      <c r="P32">
        <v>47.469573099999998</v>
      </c>
      <c r="Q32">
        <v>47.338886254999998</v>
      </c>
      <c r="R32">
        <v>48.519550594999998</v>
      </c>
      <c r="S32">
        <v>48.494836945000003</v>
      </c>
      <c r="T32">
        <v>48.545249245000001</v>
      </c>
      <c r="U32">
        <v>47.606727454999998</v>
      </c>
      <c r="V32">
        <v>46.209768935</v>
      </c>
      <c r="W32">
        <v>48.007914999999997</v>
      </c>
      <c r="X32">
        <v>48.856669799999999</v>
      </c>
      <c r="Y32">
        <v>46.297285199999997</v>
      </c>
      <c r="Z32">
        <v>41.627734115000003</v>
      </c>
      <c r="AA32">
        <v>36.962159475</v>
      </c>
      <c r="AB32">
        <v>34.391200140000002</v>
      </c>
      <c r="AC32">
        <f t="shared" si="0"/>
        <v>40.589045294583336</v>
      </c>
      <c r="AD32">
        <f t="shared" si="1"/>
        <v>42.537914007500007</v>
      </c>
    </row>
    <row r="33" spans="1:30" x14ac:dyDescent="0.25">
      <c r="A33" t="s">
        <v>112</v>
      </c>
      <c r="B33" t="s">
        <v>126</v>
      </c>
      <c r="C33">
        <v>115</v>
      </c>
      <c r="D33" t="s">
        <v>3</v>
      </c>
      <c r="E33">
        <v>8.2474773766999991</v>
      </c>
      <c r="F33">
        <v>8.0448596989999999</v>
      </c>
      <c r="G33">
        <v>7.8846392608000002</v>
      </c>
      <c r="H33">
        <v>7.6984148344000003</v>
      </c>
      <c r="I33">
        <v>7.7476495536999996</v>
      </c>
      <c r="J33">
        <v>7.0274055213000004</v>
      </c>
      <c r="K33">
        <v>8.5680819931999999</v>
      </c>
      <c r="L33">
        <v>11.0435596892</v>
      </c>
      <c r="M33">
        <v>12.4263940359</v>
      </c>
      <c r="N33">
        <v>12.8898240283</v>
      </c>
      <c r="O33">
        <v>13.858255856</v>
      </c>
      <c r="P33">
        <v>14.4247818064</v>
      </c>
      <c r="Q33">
        <v>13.5670863878</v>
      </c>
      <c r="R33">
        <v>14.3943821917</v>
      </c>
      <c r="S33">
        <v>13.8983760338</v>
      </c>
      <c r="T33">
        <v>14.290254539199999</v>
      </c>
      <c r="U33">
        <v>13.550103182300001</v>
      </c>
      <c r="V33">
        <v>12.2136732375</v>
      </c>
      <c r="W33">
        <v>11.299777265299999</v>
      </c>
      <c r="X33">
        <v>11.656194639400001</v>
      </c>
      <c r="Y33">
        <v>11.171491269600001</v>
      </c>
      <c r="Z33">
        <v>10.341569614799999</v>
      </c>
      <c r="AA33">
        <v>8.8352301483000009</v>
      </c>
      <c r="AB33">
        <v>9.3743365924000006</v>
      </c>
      <c r="AC33">
        <f t="shared" si="0"/>
        <v>11.018909114875001</v>
      </c>
      <c r="AD33">
        <f t="shared" si="1"/>
        <v>11.235634267449999</v>
      </c>
    </row>
    <row r="34" spans="1:30" x14ac:dyDescent="0.25">
      <c r="A34" t="s">
        <v>112</v>
      </c>
      <c r="B34" t="s">
        <v>126</v>
      </c>
      <c r="C34">
        <v>115</v>
      </c>
      <c r="D34" t="s">
        <v>4</v>
      </c>
      <c r="E34">
        <v>0.49511860499999999</v>
      </c>
      <c r="F34">
        <v>0.46949227500000001</v>
      </c>
      <c r="G34">
        <v>0.45791922000000002</v>
      </c>
      <c r="H34">
        <v>0.43802837999999999</v>
      </c>
      <c r="I34">
        <v>0.45436143000000001</v>
      </c>
      <c r="J34">
        <v>0.475529445</v>
      </c>
      <c r="K34">
        <v>0.51088785000000003</v>
      </c>
      <c r="L34">
        <v>0.55969360499999998</v>
      </c>
      <c r="M34">
        <v>0.61442482499999995</v>
      </c>
      <c r="N34">
        <v>0.66164610000000001</v>
      </c>
      <c r="O34">
        <v>0.70771345500000005</v>
      </c>
      <c r="P34">
        <v>0.7228869</v>
      </c>
      <c r="Q34">
        <v>0.72089674500000001</v>
      </c>
      <c r="R34">
        <v>0.73887640499999996</v>
      </c>
      <c r="S34">
        <v>0.73850005500000004</v>
      </c>
      <c r="T34">
        <v>0.73926775499999997</v>
      </c>
      <c r="U34">
        <v>0.72497554500000005</v>
      </c>
      <c r="V34">
        <v>0.70370206499999999</v>
      </c>
      <c r="W34">
        <v>0.73108499999999998</v>
      </c>
      <c r="X34">
        <v>0.74401019999999995</v>
      </c>
      <c r="Y34">
        <v>0.70503479999999996</v>
      </c>
      <c r="Z34">
        <v>0.63392488499999999</v>
      </c>
      <c r="AA34">
        <v>0.56287552500000004</v>
      </c>
      <c r="AB34">
        <v>0.52372386000000004</v>
      </c>
      <c r="AC34">
        <f t="shared" si="0"/>
        <v>0.61810728874999998</v>
      </c>
      <c r="AD34">
        <f t="shared" si="1"/>
        <v>0.64778549249999995</v>
      </c>
    </row>
    <row r="35" spans="1:30" x14ac:dyDescent="0.25">
      <c r="A35" t="s">
        <v>112</v>
      </c>
      <c r="B35" t="s">
        <v>127</v>
      </c>
      <c r="C35">
        <v>115</v>
      </c>
      <c r="D35" t="s">
        <v>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f t="shared" si="0"/>
        <v>0</v>
      </c>
      <c r="AD35">
        <f t="shared" si="1"/>
        <v>0</v>
      </c>
    </row>
    <row r="36" spans="1:30" x14ac:dyDescent="0.25">
      <c r="A36" t="s">
        <v>112</v>
      </c>
      <c r="B36" t="s">
        <v>127</v>
      </c>
      <c r="C36">
        <v>115</v>
      </c>
      <c r="D36" t="s">
        <v>3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f t="shared" si="0"/>
        <v>0</v>
      </c>
      <c r="AD36">
        <f t="shared" si="1"/>
        <v>0</v>
      </c>
    </row>
    <row r="37" spans="1:30" x14ac:dyDescent="0.25">
      <c r="A37" t="s">
        <v>112</v>
      </c>
      <c r="B37" t="s">
        <v>127</v>
      </c>
      <c r="C37">
        <v>115</v>
      </c>
      <c r="D37" t="s">
        <v>4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f t="shared" si="0"/>
        <v>0</v>
      </c>
      <c r="AD37">
        <f t="shared" si="1"/>
        <v>0</v>
      </c>
    </row>
    <row r="38" spans="1:30" x14ac:dyDescent="0.25">
      <c r="A38" t="s">
        <v>112</v>
      </c>
      <c r="B38" t="s">
        <v>129</v>
      </c>
      <c r="C38">
        <v>115</v>
      </c>
      <c r="D38" t="s">
        <v>2</v>
      </c>
      <c r="E38">
        <v>4.350830695</v>
      </c>
      <c r="F38">
        <v>4.1248510100000004</v>
      </c>
      <c r="G38">
        <v>4.0623291200000002</v>
      </c>
      <c r="H38">
        <v>3.9291955349999999</v>
      </c>
      <c r="I38">
        <v>4.2210273950000001</v>
      </c>
      <c r="J38">
        <v>4.6355085000000003</v>
      </c>
      <c r="K38">
        <v>5.1907717150000003</v>
      </c>
      <c r="L38">
        <v>5.2621645150000003</v>
      </c>
      <c r="M38">
        <v>5.4487402600000001</v>
      </c>
      <c r="N38">
        <v>5.8753861150000004</v>
      </c>
      <c r="O38">
        <v>6.3017492749999997</v>
      </c>
      <c r="P38">
        <v>6.4722921749999998</v>
      </c>
      <c r="Q38">
        <v>6.4522759900000004</v>
      </c>
      <c r="R38">
        <v>6.4032515549999998</v>
      </c>
      <c r="S38">
        <v>6.2447955899999998</v>
      </c>
      <c r="T38">
        <v>6.2512867400000003</v>
      </c>
      <c r="U38">
        <v>6.2780117600000001</v>
      </c>
      <c r="V38">
        <v>6.4644574849999996</v>
      </c>
      <c r="W38">
        <v>7.0900299999999996</v>
      </c>
      <c r="X38">
        <v>7.3838948999999996</v>
      </c>
      <c r="Y38">
        <v>6.7301897999999998</v>
      </c>
      <c r="Z38">
        <v>5.8574266100000001</v>
      </c>
      <c r="AA38">
        <v>5.0885947099999997</v>
      </c>
      <c r="AB38">
        <v>4.5961951799999996</v>
      </c>
      <c r="AC38">
        <f t="shared" si="0"/>
        <v>5.6131356929166669</v>
      </c>
      <c r="AD38">
        <f t="shared" si="1"/>
        <v>5.8664063625000002</v>
      </c>
    </row>
    <row r="39" spans="1:30" x14ac:dyDescent="0.25">
      <c r="A39" t="s">
        <v>112</v>
      </c>
      <c r="B39" t="s">
        <v>129</v>
      </c>
      <c r="C39">
        <v>115</v>
      </c>
      <c r="D39" t="s">
        <v>3</v>
      </c>
      <c r="E39">
        <v>1.4818855787</v>
      </c>
      <c r="F39">
        <v>1.5025876509</v>
      </c>
      <c r="G39">
        <v>1.503884716</v>
      </c>
      <c r="H39">
        <v>1.4584556580000001</v>
      </c>
      <c r="I39">
        <v>1.5165753732</v>
      </c>
      <c r="J39">
        <v>1.4414183035999999</v>
      </c>
      <c r="K39">
        <v>1.3999925444000001</v>
      </c>
      <c r="L39">
        <v>1.1171207239000001</v>
      </c>
      <c r="M39">
        <v>0.84089389069999998</v>
      </c>
      <c r="N39">
        <v>0.71383983719999999</v>
      </c>
      <c r="O39">
        <v>0.6875915306</v>
      </c>
      <c r="P39">
        <v>1.3006465876</v>
      </c>
      <c r="Q39">
        <v>1.7295720972999999</v>
      </c>
      <c r="R39">
        <v>1.7427778907</v>
      </c>
      <c r="S39">
        <v>1.709842817</v>
      </c>
      <c r="T39">
        <v>1.3112925993</v>
      </c>
      <c r="U39">
        <v>1.7342169653999999</v>
      </c>
      <c r="V39">
        <v>1.7113212395999999</v>
      </c>
      <c r="W39">
        <v>1.5887897611999999</v>
      </c>
      <c r="X39">
        <v>1.6581844497</v>
      </c>
      <c r="Y39">
        <v>1.5810035987</v>
      </c>
      <c r="Z39">
        <v>1.4577368179000001</v>
      </c>
      <c r="AA39">
        <v>1.3974095649</v>
      </c>
      <c r="AB39">
        <v>1.3081957583999999</v>
      </c>
      <c r="AC39">
        <f t="shared" si="0"/>
        <v>1.4123014981208331</v>
      </c>
      <c r="AD39">
        <f t="shared" si="1"/>
        <v>1.4701706183500001</v>
      </c>
    </row>
    <row r="40" spans="1:30" x14ac:dyDescent="0.25">
      <c r="A40" t="s">
        <v>112</v>
      </c>
      <c r="B40" t="s">
        <v>129</v>
      </c>
      <c r="C40">
        <v>115</v>
      </c>
      <c r="D40" t="s">
        <v>4</v>
      </c>
      <c r="E40">
        <v>6.6256305000000001E-2</v>
      </c>
      <c r="F40">
        <v>6.2814990000000001E-2</v>
      </c>
      <c r="G40">
        <v>6.1862880000000002E-2</v>
      </c>
      <c r="H40">
        <v>5.9835464999999997E-2</v>
      </c>
      <c r="I40">
        <v>6.4279605000000004E-2</v>
      </c>
      <c r="J40">
        <v>7.0591500000000001E-2</v>
      </c>
      <c r="K40">
        <v>7.9047284999999995E-2</v>
      </c>
      <c r="L40">
        <v>8.0134485000000005E-2</v>
      </c>
      <c r="M40">
        <v>8.2975740000000006E-2</v>
      </c>
      <c r="N40">
        <v>8.9472885000000002E-2</v>
      </c>
      <c r="O40">
        <v>9.5965725000000002E-2</v>
      </c>
      <c r="P40">
        <v>9.8562825000000007E-2</v>
      </c>
      <c r="Q40">
        <v>9.8258010000000007E-2</v>
      </c>
      <c r="R40">
        <v>9.7511445000000002E-2</v>
      </c>
      <c r="S40">
        <v>9.5098409999999994E-2</v>
      </c>
      <c r="T40">
        <v>9.5197260000000006E-2</v>
      </c>
      <c r="U40">
        <v>9.5604239999999993E-2</v>
      </c>
      <c r="V40">
        <v>9.8443514999999995E-2</v>
      </c>
      <c r="W40">
        <v>0.10797</v>
      </c>
      <c r="X40">
        <v>0.11244510000000001</v>
      </c>
      <c r="Y40">
        <v>0.1024902</v>
      </c>
      <c r="Z40">
        <v>8.9199390000000003E-2</v>
      </c>
      <c r="AA40">
        <v>7.7491290000000004E-2</v>
      </c>
      <c r="AB40">
        <v>6.9992819999999997E-2</v>
      </c>
      <c r="AC40">
        <f t="shared" si="0"/>
        <v>8.547922375E-2</v>
      </c>
      <c r="AD40">
        <f t="shared" si="1"/>
        <v>8.9336137499999996E-2</v>
      </c>
    </row>
    <row r="41" spans="1:30" x14ac:dyDescent="0.25">
      <c r="A41" t="s">
        <v>112</v>
      </c>
      <c r="B41" t="s">
        <v>130</v>
      </c>
      <c r="C41">
        <v>115</v>
      </c>
      <c r="D41" t="s">
        <v>2</v>
      </c>
      <c r="E41">
        <v>24.60075127</v>
      </c>
      <c r="F41">
        <v>23.058102385000002</v>
      </c>
      <c r="G41">
        <v>22.465523430000001</v>
      </c>
      <c r="H41">
        <v>21.572897715</v>
      </c>
      <c r="I41">
        <v>22.360825810000001</v>
      </c>
      <c r="J41">
        <v>24.368528654999999</v>
      </c>
      <c r="K41">
        <v>26.638267110000001</v>
      </c>
      <c r="L41">
        <v>29.32427543</v>
      </c>
      <c r="M41">
        <v>32.769039100000001</v>
      </c>
      <c r="N41">
        <v>35.527897035000002</v>
      </c>
      <c r="O41">
        <v>38.514636690000003</v>
      </c>
      <c r="P41">
        <v>39.309120944999997</v>
      </c>
      <c r="Q41">
        <v>38.949717100000001</v>
      </c>
      <c r="R41">
        <v>39.372926290000002</v>
      </c>
      <c r="S41">
        <v>39.26717472</v>
      </c>
      <c r="T41">
        <v>39.307994104999999</v>
      </c>
      <c r="U41">
        <v>37.826696929999997</v>
      </c>
      <c r="V41">
        <v>36.06302488</v>
      </c>
      <c r="W41">
        <v>38.172000500000003</v>
      </c>
      <c r="X41">
        <v>39.457878600000001</v>
      </c>
      <c r="Y41">
        <v>36.958716899999999</v>
      </c>
      <c r="Z41">
        <v>32.923660460000001</v>
      </c>
      <c r="AA41">
        <v>29.180411254999999</v>
      </c>
      <c r="AB41">
        <v>26.305613895</v>
      </c>
      <c r="AC41">
        <f t="shared" si="0"/>
        <v>32.262320050416662</v>
      </c>
      <c r="AD41">
        <f t="shared" si="1"/>
        <v>34.225778747500001</v>
      </c>
    </row>
    <row r="42" spans="1:30" x14ac:dyDescent="0.25">
      <c r="A42" t="s">
        <v>112</v>
      </c>
      <c r="B42" t="s">
        <v>130</v>
      </c>
      <c r="C42">
        <v>115</v>
      </c>
      <c r="D42" t="s">
        <v>3</v>
      </c>
      <c r="E42">
        <v>8.2849399674999997</v>
      </c>
      <c r="F42">
        <v>8.0749071427000008</v>
      </c>
      <c r="G42">
        <v>7.9586012301000002</v>
      </c>
      <c r="H42">
        <v>7.6859258638999997</v>
      </c>
      <c r="I42">
        <v>7.4601511476000004</v>
      </c>
      <c r="J42">
        <v>7.3590861039000002</v>
      </c>
      <c r="K42">
        <v>8.0746493579000003</v>
      </c>
      <c r="L42">
        <v>9.0205624858999993</v>
      </c>
      <c r="M42">
        <v>10.189581737099999</v>
      </c>
      <c r="N42">
        <v>11.563595846</v>
      </c>
      <c r="O42">
        <v>12.808863177999999</v>
      </c>
      <c r="P42">
        <v>13.0315375533</v>
      </c>
      <c r="Q42">
        <v>12.9123900224</v>
      </c>
      <c r="R42">
        <v>13.4239761079</v>
      </c>
      <c r="S42">
        <v>13.4692471158</v>
      </c>
      <c r="T42">
        <v>13.3200854232</v>
      </c>
      <c r="U42">
        <v>12.6862590492</v>
      </c>
      <c r="V42">
        <v>12.220480412600001</v>
      </c>
      <c r="W42">
        <v>11.642453205000001</v>
      </c>
      <c r="X42">
        <v>11.447259305499999</v>
      </c>
      <c r="Y42">
        <v>10.5631176676</v>
      </c>
      <c r="Z42">
        <v>9.6154865607000009</v>
      </c>
      <c r="AA42">
        <v>8.7901842018000007</v>
      </c>
      <c r="AB42">
        <v>8.1991848231999995</v>
      </c>
      <c r="AC42">
        <f t="shared" si="0"/>
        <v>10.408438562866667</v>
      </c>
      <c r="AD42">
        <f t="shared" si="1"/>
        <v>10.37634970235</v>
      </c>
    </row>
    <row r="43" spans="1:30" x14ac:dyDescent="0.25">
      <c r="A43" t="s">
        <v>112</v>
      </c>
      <c r="B43" t="s">
        <v>130</v>
      </c>
      <c r="C43">
        <v>115</v>
      </c>
      <c r="D43" t="s">
        <v>4</v>
      </c>
      <c r="E43">
        <v>0.37463073000000002</v>
      </c>
      <c r="F43">
        <v>0.35113861499999999</v>
      </c>
      <c r="G43">
        <v>0.34211457000000001</v>
      </c>
      <c r="H43">
        <v>0.328521285</v>
      </c>
      <c r="I43">
        <v>0.34052019</v>
      </c>
      <c r="J43">
        <v>0.37109434499999999</v>
      </c>
      <c r="K43">
        <v>0.40565888999999999</v>
      </c>
      <c r="L43">
        <v>0.44656256999999999</v>
      </c>
      <c r="M43">
        <v>0.49902089999999999</v>
      </c>
      <c r="N43">
        <v>0.54103396500000001</v>
      </c>
      <c r="O43">
        <v>0.58651730999999996</v>
      </c>
      <c r="P43">
        <v>0.59861605500000004</v>
      </c>
      <c r="Q43">
        <v>0.59314290000000003</v>
      </c>
      <c r="R43">
        <v>0.59958771</v>
      </c>
      <c r="S43">
        <v>0.59797728000000006</v>
      </c>
      <c r="T43">
        <v>0.59859889499999996</v>
      </c>
      <c r="U43">
        <v>0.57604107000000004</v>
      </c>
      <c r="V43">
        <v>0.54918312000000002</v>
      </c>
      <c r="W43">
        <v>0.58129949999999997</v>
      </c>
      <c r="X43">
        <v>0.60088140000000001</v>
      </c>
      <c r="Y43">
        <v>0.56282310000000002</v>
      </c>
      <c r="Z43">
        <v>0.50137553999999995</v>
      </c>
      <c r="AA43">
        <v>0.44437174499999998</v>
      </c>
      <c r="AB43">
        <v>0.400593105</v>
      </c>
      <c r="AC43">
        <f t="shared" si="0"/>
        <v>0.49130436625000001</v>
      </c>
      <c r="AD43">
        <f t="shared" si="1"/>
        <v>0.52120475249999998</v>
      </c>
    </row>
    <row r="44" spans="1:30" x14ac:dyDescent="0.25">
      <c r="A44" t="s">
        <v>112</v>
      </c>
      <c r="B44" t="s">
        <v>132</v>
      </c>
      <c r="C44">
        <v>115</v>
      </c>
      <c r="D44" t="s">
        <v>2</v>
      </c>
      <c r="E44">
        <v>2.8781808350000002</v>
      </c>
      <c r="F44">
        <v>2.7698091649999999</v>
      </c>
      <c r="G44">
        <v>2.7839232300000001</v>
      </c>
      <c r="H44">
        <v>2.6876414500000001</v>
      </c>
      <c r="I44">
        <v>2.7603246000000001</v>
      </c>
      <c r="J44">
        <v>2.7867541199999999</v>
      </c>
      <c r="K44">
        <v>2.7293808249999998</v>
      </c>
      <c r="L44">
        <v>3.1135987900000002</v>
      </c>
      <c r="M44">
        <v>3.2835428100000001</v>
      </c>
      <c r="N44">
        <v>3.3841339650000002</v>
      </c>
      <c r="O44">
        <v>3.3609332749999998</v>
      </c>
      <c r="P44">
        <v>3.5347739549999999</v>
      </c>
      <c r="Q44">
        <v>3.3532463350000001</v>
      </c>
      <c r="R44">
        <v>3.3953846350000001</v>
      </c>
      <c r="S44">
        <v>3.472776085</v>
      </c>
      <c r="T44">
        <v>3.47638611</v>
      </c>
      <c r="U44">
        <v>3.3860990399999999</v>
      </c>
      <c r="V44">
        <v>3.4192659600000002</v>
      </c>
      <c r="W44">
        <v>3.9235505000000002</v>
      </c>
      <c r="X44">
        <v>4.3767687000000004</v>
      </c>
      <c r="Y44">
        <v>4.1218113000000001</v>
      </c>
      <c r="Z44">
        <v>3.5595920150000002</v>
      </c>
      <c r="AA44">
        <v>3.1007908350000002</v>
      </c>
      <c r="AB44">
        <v>2.9021931649999999</v>
      </c>
      <c r="AC44">
        <f t="shared" si="0"/>
        <v>3.2733692375000003</v>
      </c>
      <c r="AD44">
        <f t="shared" si="1"/>
        <v>3.3570898050000002</v>
      </c>
    </row>
    <row r="45" spans="1:30" x14ac:dyDescent="0.25">
      <c r="A45" t="s">
        <v>112</v>
      </c>
      <c r="B45" t="s">
        <v>132</v>
      </c>
      <c r="C45">
        <v>115</v>
      </c>
      <c r="D45" t="s">
        <v>3</v>
      </c>
      <c r="E45">
        <v>1.3222140703</v>
      </c>
      <c r="F45">
        <v>1.2716253055</v>
      </c>
      <c r="G45">
        <v>1.2772971079</v>
      </c>
      <c r="H45">
        <v>1.2323415952000001</v>
      </c>
      <c r="I45">
        <v>1.2648667563</v>
      </c>
      <c r="J45">
        <v>1.2761680334000001</v>
      </c>
      <c r="K45">
        <v>1.2538564937000001</v>
      </c>
      <c r="L45">
        <v>1.4294598569000001</v>
      </c>
      <c r="M45">
        <v>1.5065285169</v>
      </c>
      <c r="N45">
        <v>1.5516984411999999</v>
      </c>
      <c r="O45">
        <v>1.5400843689999999</v>
      </c>
      <c r="P45">
        <v>1.6187167336999999</v>
      </c>
      <c r="Q45">
        <v>1.5346134391999999</v>
      </c>
      <c r="R45">
        <v>1.5529110743000001</v>
      </c>
      <c r="S45">
        <v>1.5872970153999999</v>
      </c>
      <c r="T45">
        <v>1.5818626195000001</v>
      </c>
      <c r="U45">
        <v>1.5040496611</v>
      </c>
      <c r="V45">
        <v>1.5856303438999999</v>
      </c>
      <c r="W45">
        <v>1.829669658</v>
      </c>
      <c r="X45">
        <v>1.9363355941</v>
      </c>
      <c r="Y45">
        <v>1.693138056</v>
      </c>
      <c r="Z45">
        <v>1.4850843332000001</v>
      </c>
      <c r="AA45">
        <v>1.3274660126</v>
      </c>
      <c r="AB45">
        <v>1.3104182788000001</v>
      </c>
      <c r="AC45">
        <f t="shared" si="0"/>
        <v>1.4780555569208333</v>
      </c>
      <c r="AD45">
        <f t="shared" si="1"/>
        <v>1.5052890890000001</v>
      </c>
    </row>
    <row r="46" spans="1:30" x14ac:dyDescent="0.25">
      <c r="A46" t="s">
        <v>112</v>
      </c>
      <c r="B46" t="s">
        <v>132</v>
      </c>
      <c r="C46">
        <v>115</v>
      </c>
      <c r="D46" t="s">
        <v>4</v>
      </c>
      <c r="E46">
        <v>4.3830164999999997E-2</v>
      </c>
      <c r="F46">
        <v>4.2179834999999999E-2</v>
      </c>
      <c r="G46">
        <v>4.2394769999999998E-2</v>
      </c>
      <c r="H46">
        <v>4.0928550000000001E-2</v>
      </c>
      <c r="I46">
        <v>4.2035400000000001E-2</v>
      </c>
      <c r="J46">
        <v>4.2437879999999997E-2</v>
      </c>
      <c r="K46">
        <v>4.1564175000000002E-2</v>
      </c>
      <c r="L46">
        <v>4.7415209999999999E-2</v>
      </c>
      <c r="M46">
        <v>5.0003190000000003E-2</v>
      </c>
      <c r="N46">
        <v>5.1535035E-2</v>
      </c>
      <c r="O46">
        <v>5.1181724999999997E-2</v>
      </c>
      <c r="P46">
        <v>5.3829044999999999E-2</v>
      </c>
      <c r="Q46">
        <v>5.1064665000000002E-2</v>
      </c>
      <c r="R46">
        <v>5.1706364999999997E-2</v>
      </c>
      <c r="S46">
        <v>5.2884914999999998E-2</v>
      </c>
      <c r="T46">
        <v>5.2939890000000003E-2</v>
      </c>
      <c r="U46">
        <v>5.156496E-2</v>
      </c>
      <c r="V46">
        <v>5.2070039999999998E-2</v>
      </c>
      <c r="W46">
        <v>5.9749499999999997E-2</v>
      </c>
      <c r="X46">
        <v>6.6651299999999997E-2</v>
      </c>
      <c r="Y46">
        <v>6.2768699999999997E-2</v>
      </c>
      <c r="Z46">
        <v>5.4206984999999999E-2</v>
      </c>
      <c r="AA46">
        <v>4.7220165000000001E-2</v>
      </c>
      <c r="AB46">
        <v>4.4195835000000003E-2</v>
      </c>
      <c r="AC46">
        <f t="shared" si="0"/>
        <v>4.9848262499999997E-2</v>
      </c>
      <c r="AD46">
        <f t="shared" si="1"/>
        <v>5.1123194999999996E-2</v>
      </c>
    </row>
    <row r="47" spans="1:30" x14ac:dyDescent="0.25">
      <c r="A47" t="s">
        <v>112</v>
      </c>
      <c r="B47" t="s">
        <v>133</v>
      </c>
      <c r="C47">
        <v>115</v>
      </c>
      <c r="D47" t="s">
        <v>2</v>
      </c>
      <c r="E47">
        <v>7.8291267199999997</v>
      </c>
      <c r="F47">
        <v>7.7382949449999998</v>
      </c>
      <c r="G47">
        <v>7.5825260600000002</v>
      </c>
      <c r="H47">
        <v>7.4493235249999996</v>
      </c>
      <c r="I47">
        <v>7.6146882800000002</v>
      </c>
      <c r="J47">
        <v>7.7258475000000004</v>
      </c>
      <c r="K47">
        <v>7.9902431700000003</v>
      </c>
      <c r="L47">
        <v>9.9462187400000008</v>
      </c>
      <c r="M47">
        <v>11.234515014999999</v>
      </c>
      <c r="N47">
        <v>11.921632300000001</v>
      </c>
      <c r="O47">
        <v>12.727759255</v>
      </c>
      <c r="P47">
        <v>12.073080975</v>
      </c>
      <c r="Q47">
        <v>12.18427073</v>
      </c>
      <c r="R47">
        <v>12.345174419999999</v>
      </c>
      <c r="S47">
        <v>11.826042975</v>
      </c>
      <c r="T47">
        <v>11.838336760000001</v>
      </c>
      <c r="U47">
        <v>12.23876684</v>
      </c>
      <c r="V47">
        <v>12.174924065000001</v>
      </c>
      <c r="W47">
        <v>11.878804499999999</v>
      </c>
      <c r="X47">
        <v>12.478965000000001</v>
      </c>
      <c r="Y47">
        <v>12.210651</v>
      </c>
      <c r="Z47">
        <v>10.935230645000001</v>
      </c>
      <c r="AA47">
        <v>9.4672595350000002</v>
      </c>
      <c r="AB47">
        <v>7.9504038599999998</v>
      </c>
      <c r="AC47">
        <f t="shared" si="0"/>
        <v>10.390086950624999</v>
      </c>
      <c r="AD47">
        <f t="shared" si="1"/>
        <v>11.530278995</v>
      </c>
    </row>
    <row r="48" spans="1:30" x14ac:dyDescent="0.25">
      <c r="A48" t="s">
        <v>112</v>
      </c>
      <c r="B48" t="s">
        <v>133</v>
      </c>
      <c r="C48">
        <v>115</v>
      </c>
      <c r="D48" t="s">
        <v>3</v>
      </c>
      <c r="E48">
        <v>2.5342033473000001</v>
      </c>
      <c r="F48">
        <v>2.4825225613000002</v>
      </c>
      <c r="G48">
        <v>2.3940018556</v>
      </c>
      <c r="H48">
        <v>2.4458297987000002</v>
      </c>
      <c r="I48">
        <v>2.4235682741</v>
      </c>
      <c r="J48">
        <v>2.4336036808000001</v>
      </c>
      <c r="K48">
        <v>2.5051736076000002</v>
      </c>
      <c r="L48">
        <v>3.1402814750000001</v>
      </c>
      <c r="M48">
        <v>4.0251906539000002</v>
      </c>
      <c r="N48">
        <v>3.9857319559</v>
      </c>
      <c r="O48">
        <v>4.1517114296999997</v>
      </c>
      <c r="P48">
        <v>3.6868088192999999</v>
      </c>
      <c r="Q48">
        <v>3.3804923108999998</v>
      </c>
      <c r="R48">
        <v>3.6766119183999999</v>
      </c>
      <c r="S48">
        <v>3.4948616809000002</v>
      </c>
      <c r="T48">
        <v>3.5795422097</v>
      </c>
      <c r="U48">
        <v>4.1642654234999998</v>
      </c>
      <c r="V48">
        <v>4.1383240681000002</v>
      </c>
      <c r="W48">
        <v>3.3148390234999998</v>
      </c>
      <c r="X48">
        <v>3.4370472759999999</v>
      </c>
      <c r="Y48">
        <v>3.5614398741</v>
      </c>
      <c r="Z48">
        <v>3.0864555248999999</v>
      </c>
      <c r="AA48">
        <v>2.4341517204000001</v>
      </c>
      <c r="AB48">
        <v>2.5043378216000001</v>
      </c>
      <c r="AC48">
        <f t="shared" si="0"/>
        <v>3.2075415129666669</v>
      </c>
      <c r="AD48">
        <f t="shared" si="1"/>
        <v>3.3476656671999998</v>
      </c>
    </row>
    <row r="49" spans="1:30" x14ac:dyDescent="0.25">
      <c r="A49" t="s">
        <v>112</v>
      </c>
      <c r="B49" t="s">
        <v>133</v>
      </c>
      <c r="C49">
        <v>115</v>
      </c>
      <c r="D49" t="s">
        <v>4</v>
      </c>
      <c r="E49">
        <v>0.11922528</v>
      </c>
      <c r="F49">
        <v>0.117842055</v>
      </c>
      <c r="G49">
        <v>0.11546993999999999</v>
      </c>
      <c r="H49">
        <v>0.113441475</v>
      </c>
      <c r="I49">
        <v>0.11595972</v>
      </c>
      <c r="J49">
        <v>0.11765249999999999</v>
      </c>
      <c r="K49">
        <v>0.12167883</v>
      </c>
      <c r="L49">
        <v>0.15146525999999999</v>
      </c>
      <c r="M49">
        <v>0.17108398499999999</v>
      </c>
      <c r="N49">
        <v>0.18154770000000001</v>
      </c>
      <c r="O49">
        <v>0.19382374499999999</v>
      </c>
      <c r="P49">
        <v>0.183854025</v>
      </c>
      <c r="Q49">
        <v>0.18554726999999999</v>
      </c>
      <c r="R49">
        <v>0.18799758</v>
      </c>
      <c r="S49">
        <v>0.18009202499999999</v>
      </c>
      <c r="T49">
        <v>0.18027924000000001</v>
      </c>
      <c r="U49">
        <v>0.18637715999999999</v>
      </c>
      <c r="V49">
        <v>0.18540493499999999</v>
      </c>
      <c r="W49">
        <v>0.18089549999999999</v>
      </c>
      <c r="X49">
        <v>0.19003500000000001</v>
      </c>
      <c r="Y49">
        <v>0.185949</v>
      </c>
      <c r="Z49">
        <v>0.16652635499999999</v>
      </c>
      <c r="AA49">
        <v>0.144171465</v>
      </c>
      <c r="AB49">
        <v>0.12107213999999999</v>
      </c>
      <c r="AC49">
        <f t="shared" si="0"/>
        <v>0.15822467437499999</v>
      </c>
      <c r="AD49">
        <f t="shared" si="1"/>
        <v>0.17558800499999999</v>
      </c>
    </row>
    <row r="50" spans="1:30" x14ac:dyDescent="0.25">
      <c r="A50" t="s">
        <v>408</v>
      </c>
      <c r="B50" t="s">
        <v>409</v>
      </c>
      <c r="C50">
        <v>115</v>
      </c>
      <c r="D50" t="s">
        <v>2</v>
      </c>
      <c r="E50">
        <v>2.3367361849999999</v>
      </c>
      <c r="F50">
        <v>2.1762639250000002</v>
      </c>
      <c r="G50">
        <v>2.1025209149999999</v>
      </c>
      <c r="H50">
        <v>2.0441911849999999</v>
      </c>
      <c r="I50">
        <v>2.11862862</v>
      </c>
      <c r="J50">
        <v>2.2352575450000001</v>
      </c>
      <c r="K50">
        <v>1.975515015</v>
      </c>
      <c r="L50">
        <v>1.74419269</v>
      </c>
      <c r="M50">
        <v>1.6761784399999999</v>
      </c>
      <c r="N50">
        <v>1.7229314650000001</v>
      </c>
      <c r="O50">
        <v>1.85328735</v>
      </c>
      <c r="P50">
        <v>2.0396473799999999</v>
      </c>
      <c r="Q50">
        <v>2.1787136199999999</v>
      </c>
      <c r="R50">
        <v>2.218337215</v>
      </c>
      <c r="S50">
        <v>2.257672205</v>
      </c>
      <c r="T50">
        <v>2.326269575</v>
      </c>
      <c r="U50">
        <v>2.49127382</v>
      </c>
      <c r="V50">
        <v>2.745731825</v>
      </c>
      <c r="W50">
        <v>3.3140029499999999</v>
      </c>
      <c r="X50">
        <v>3.6766730550000002</v>
      </c>
      <c r="Y50">
        <v>3.73617592</v>
      </c>
      <c r="Z50">
        <v>3.372652805</v>
      </c>
      <c r="AA50">
        <v>3.065805605</v>
      </c>
      <c r="AB50">
        <v>2.6880984899999998</v>
      </c>
      <c r="AC50">
        <f t="shared" si="0"/>
        <v>2.4206982416666669</v>
      </c>
      <c r="AD50">
        <f t="shared" si="1"/>
        <v>2.2267973799999998</v>
      </c>
    </row>
    <row r="51" spans="1:30" x14ac:dyDescent="0.25">
      <c r="A51" t="s">
        <v>408</v>
      </c>
      <c r="B51" t="s">
        <v>409</v>
      </c>
      <c r="C51">
        <v>115</v>
      </c>
      <c r="D51" t="s">
        <v>3</v>
      </c>
      <c r="E51">
        <v>0.8218082135</v>
      </c>
      <c r="F51">
        <v>0.78749369800000002</v>
      </c>
      <c r="G51">
        <v>0.76569088799999996</v>
      </c>
      <c r="H51">
        <v>0.71947661569999999</v>
      </c>
      <c r="I51">
        <v>0.70287872620000003</v>
      </c>
      <c r="J51">
        <v>0.70131047849999995</v>
      </c>
      <c r="K51">
        <v>0.77279490979999999</v>
      </c>
      <c r="L51">
        <v>0.74659382919999995</v>
      </c>
      <c r="M51">
        <v>0.7506979023</v>
      </c>
      <c r="N51">
        <v>0.80052403480000001</v>
      </c>
      <c r="O51">
        <v>0.87085196730000003</v>
      </c>
      <c r="P51">
        <v>0.93041918280000002</v>
      </c>
      <c r="Q51">
        <v>1.001768929</v>
      </c>
      <c r="R51">
        <v>0.99552949300000004</v>
      </c>
      <c r="S51">
        <v>1.0396446320999999</v>
      </c>
      <c r="T51">
        <v>0.98712561499999996</v>
      </c>
      <c r="U51">
        <v>1.0014565736000001</v>
      </c>
      <c r="V51">
        <v>1.0427904622999999</v>
      </c>
      <c r="W51">
        <v>1.0096523418000001</v>
      </c>
      <c r="X51">
        <v>1.0160776255999999</v>
      </c>
      <c r="Y51">
        <v>0.97017673520000003</v>
      </c>
      <c r="Z51">
        <v>0.92151834799999999</v>
      </c>
      <c r="AA51">
        <v>0.85195698099999995</v>
      </c>
      <c r="AB51">
        <v>0.79201881480000003</v>
      </c>
      <c r="AC51">
        <f t="shared" si="0"/>
        <v>0.8750107082291666</v>
      </c>
      <c r="AD51">
        <f t="shared" si="1"/>
        <v>0.86140447414999999</v>
      </c>
    </row>
    <row r="52" spans="1:30" x14ac:dyDescent="0.25">
      <c r="A52" t="s">
        <v>408</v>
      </c>
      <c r="B52" t="s">
        <v>409</v>
      </c>
      <c r="C52">
        <v>115</v>
      </c>
      <c r="D52" t="s">
        <v>4</v>
      </c>
      <c r="E52">
        <v>3.5584814999999999E-2</v>
      </c>
      <c r="F52">
        <v>3.3141074999999999E-2</v>
      </c>
      <c r="G52">
        <v>3.2018085000000002E-2</v>
      </c>
      <c r="H52">
        <v>3.1129815000000002E-2</v>
      </c>
      <c r="I52">
        <v>3.2263380000000001E-2</v>
      </c>
      <c r="J52">
        <v>3.4039455000000003E-2</v>
      </c>
      <c r="K52">
        <v>3.0083985000000001E-2</v>
      </c>
      <c r="L52">
        <v>2.6561310000000001E-2</v>
      </c>
      <c r="M52">
        <v>2.5525559999999999E-2</v>
      </c>
      <c r="N52">
        <v>2.6237534999999999E-2</v>
      </c>
      <c r="O52">
        <v>2.8222649999999998E-2</v>
      </c>
      <c r="P52">
        <v>3.1060620000000001E-2</v>
      </c>
      <c r="Q52">
        <v>3.317838E-2</v>
      </c>
      <c r="R52">
        <v>3.3781785000000002E-2</v>
      </c>
      <c r="S52">
        <v>3.4380794999999999E-2</v>
      </c>
      <c r="T52">
        <v>3.5425425000000003E-2</v>
      </c>
      <c r="U52">
        <v>3.7938180000000002E-2</v>
      </c>
      <c r="V52">
        <v>4.1813175000000001E-2</v>
      </c>
      <c r="W52">
        <v>5.0467049999999999E-2</v>
      </c>
      <c r="X52">
        <v>5.5989944999999999E-2</v>
      </c>
      <c r="Y52">
        <v>5.6896080000000002E-2</v>
      </c>
      <c r="Z52">
        <v>5.1360194999999997E-2</v>
      </c>
      <c r="AA52">
        <v>4.6687395E-2</v>
      </c>
      <c r="AB52">
        <v>4.0935510000000001E-2</v>
      </c>
      <c r="AC52">
        <f t="shared" si="0"/>
        <v>3.6863424999999998E-2</v>
      </c>
      <c r="AD52">
        <f t="shared" si="1"/>
        <v>3.3910620000000002E-2</v>
      </c>
    </row>
    <row r="53" spans="1:30" x14ac:dyDescent="0.25">
      <c r="A53" t="s">
        <v>408</v>
      </c>
      <c r="B53" t="s">
        <v>411</v>
      </c>
      <c r="C53">
        <v>115</v>
      </c>
      <c r="D53" t="s">
        <v>2</v>
      </c>
      <c r="E53">
        <v>0.53881765500000001</v>
      </c>
      <c r="F53">
        <v>0.53999571499999999</v>
      </c>
      <c r="G53">
        <v>0.54103095000000001</v>
      </c>
      <c r="H53">
        <v>0.53836554000000003</v>
      </c>
      <c r="I53">
        <v>0.53972681</v>
      </c>
      <c r="J53">
        <v>0.56842577000000005</v>
      </c>
      <c r="K53">
        <v>0.55137148000000002</v>
      </c>
      <c r="L53">
        <v>0.51824297500000005</v>
      </c>
      <c r="M53">
        <v>0.49976535999999999</v>
      </c>
      <c r="N53">
        <v>0.50406390000000001</v>
      </c>
      <c r="O53">
        <v>0.52445931000000001</v>
      </c>
      <c r="P53">
        <v>0.55960312499999998</v>
      </c>
      <c r="Q53">
        <v>0.55161181999999997</v>
      </c>
      <c r="R53">
        <v>0.56328702500000005</v>
      </c>
      <c r="S53">
        <v>0.55948197</v>
      </c>
      <c r="T53">
        <v>0.55113606500000001</v>
      </c>
      <c r="U53">
        <v>0.56728612499999997</v>
      </c>
      <c r="V53">
        <v>0.59554380500000004</v>
      </c>
      <c r="W53">
        <v>0.64617378999999997</v>
      </c>
      <c r="X53">
        <v>0.64927654000000001</v>
      </c>
      <c r="Y53">
        <v>0.63024338499999999</v>
      </c>
      <c r="Z53">
        <v>0.59881794499999996</v>
      </c>
      <c r="AA53">
        <v>0.58166712499999995</v>
      </c>
      <c r="AB53">
        <v>0.54895724509999999</v>
      </c>
      <c r="AC53">
        <f t="shared" si="0"/>
        <v>0.5611396429208334</v>
      </c>
      <c r="AD53">
        <f t="shared" si="1"/>
        <v>0.55149165</v>
      </c>
    </row>
    <row r="54" spans="1:30" x14ac:dyDescent="0.25">
      <c r="A54" t="s">
        <v>408</v>
      </c>
      <c r="B54" t="s">
        <v>411</v>
      </c>
      <c r="C54">
        <v>115</v>
      </c>
      <c r="D54" t="s">
        <v>3</v>
      </c>
      <c r="E54">
        <v>0.131057965</v>
      </c>
      <c r="F54">
        <v>0.11996524240000001</v>
      </c>
      <c r="G54">
        <v>0.11213337750000001</v>
      </c>
      <c r="H54">
        <v>0.1104694083</v>
      </c>
      <c r="I54">
        <v>0.119251092</v>
      </c>
      <c r="J54">
        <v>0.13525182590000001</v>
      </c>
      <c r="K54">
        <v>0.1408177387</v>
      </c>
      <c r="L54">
        <v>0.133246799</v>
      </c>
      <c r="M54">
        <v>0.13845708179999999</v>
      </c>
      <c r="N54">
        <v>0.12637438910000001</v>
      </c>
      <c r="O54">
        <v>0.1365651356</v>
      </c>
      <c r="P54">
        <v>0.14462216859999999</v>
      </c>
      <c r="Q54">
        <v>0.16549669929999999</v>
      </c>
      <c r="R54">
        <v>0.1509692145</v>
      </c>
      <c r="S54">
        <v>0.1548883724</v>
      </c>
      <c r="T54">
        <v>0.1984042281</v>
      </c>
      <c r="U54">
        <v>0.21859599960000001</v>
      </c>
      <c r="V54">
        <v>0.2415829504</v>
      </c>
      <c r="W54">
        <v>0.25779629440000001</v>
      </c>
      <c r="X54">
        <v>0.28701751079999999</v>
      </c>
      <c r="Y54">
        <v>0.28788117219999998</v>
      </c>
      <c r="Z54">
        <v>0.24686280329999999</v>
      </c>
      <c r="AA54">
        <v>0.19954084120000001</v>
      </c>
      <c r="AB54">
        <v>0.1914596589</v>
      </c>
      <c r="AC54">
        <f t="shared" si="0"/>
        <v>0.17286283204166666</v>
      </c>
      <c r="AD54">
        <f t="shared" si="1"/>
        <v>0.14779569155</v>
      </c>
    </row>
    <row r="55" spans="1:30" x14ac:dyDescent="0.25">
      <c r="A55" t="s">
        <v>408</v>
      </c>
      <c r="B55" t="s">
        <v>411</v>
      </c>
      <c r="C55">
        <v>115</v>
      </c>
      <c r="D55" t="s">
        <v>4</v>
      </c>
      <c r="E55">
        <v>8.2053449999999993E-3</v>
      </c>
      <c r="F55">
        <v>8.2232850000000003E-3</v>
      </c>
      <c r="G55">
        <v>8.2390499999999995E-3</v>
      </c>
      <c r="H55">
        <v>8.1984599999999994E-3</v>
      </c>
      <c r="I55">
        <v>8.2191899999999995E-3</v>
      </c>
      <c r="J55">
        <v>8.6562299999999991E-3</v>
      </c>
      <c r="K55">
        <v>8.3965199999999993E-3</v>
      </c>
      <c r="L55">
        <v>7.8920250000000004E-3</v>
      </c>
      <c r="M55">
        <v>7.6106400000000001E-3</v>
      </c>
      <c r="N55">
        <v>7.6760999999999999E-3</v>
      </c>
      <c r="O55">
        <v>7.9866899999999994E-3</v>
      </c>
      <c r="P55">
        <v>8.5218749999999999E-3</v>
      </c>
      <c r="Q55">
        <v>8.4001800000000001E-3</v>
      </c>
      <c r="R55">
        <v>8.5779749999999998E-3</v>
      </c>
      <c r="S55">
        <v>8.5200299999999996E-3</v>
      </c>
      <c r="T55">
        <v>8.3929350000000007E-3</v>
      </c>
      <c r="U55">
        <v>8.6388748999999994E-3</v>
      </c>
      <c r="V55">
        <v>9.0691950000000004E-3</v>
      </c>
      <c r="W55">
        <v>9.8402100000000003E-3</v>
      </c>
      <c r="X55">
        <v>9.8874600000000007E-3</v>
      </c>
      <c r="Y55">
        <v>9.5976150000000003E-3</v>
      </c>
      <c r="Z55">
        <v>9.1190549999999992E-3</v>
      </c>
      <c r="AA55">
        <v>8.8578749999999994E-3</v>
      </c>
      <c r="AB55">
        <v>8.3597549000000004E-3</v>
      </c>
      <c r="AC55">
        <f t="shared" si="0"/>
        <v>8.5452737416666646E-3</v>
      </c>
      <c r="AD55">
        <f t="shared" si="1"/>
        <v>8.3983499999999989E-3</v>
      </c>
    </row>
    <row r="56" spans="1:30" x14ac:dyDescent="0.25">
      <c r="A56" t="s">
        <v>408</v>
      </c>
      <c r="B56" t="s">
        <v>427</v>
      </c>
      <c r="C56">
        <v>115</v>
      </c>
      <c r="D56" t="s">
        <v>2</v>
      </c>
      <c r="E56">
        <v>2.0770990500000002</v>
      </c>
      <c r="F56">
        <v>2.0025975900000001</v>
      </c>
      <c r="G56">
        <v>1.9739597</v>
      </c>
      <c r="H56">
        <v>1.8762851300000001</v>
      </c>
      <c r="I56">
        <v>1.85547799</v>
      </c>
      <c r="J56">
        <v>1.9222117400000001</v>
      </c>
      <c r="K56">
        <v>1.7760239499999999</v>
      </c>
      <c r="L56">
        <v>1.7915583850000001</v>
      </c>
      <c r="M56">
        <v>1.8474463000000001</v>
      </c>
      <c r="N56">
        <v>2.004866045</v>
      </c>
      <c r="O56">
        <v>2.153819715</v>
      </c>
      <c r="P56">
        <v>2.2995731199999998</v>
      </c>
      <c r="Q56">
        <v>2.2742448300000002</v>
      </c>
      <c r="R56">
        <v>2.2879570149999999</v>
      </c>
      <c r="S56">
        <v>2.3366583699999999</v>
      </c>
      <c r="T56">
        <v>2.3127445400000002</v>
      </c>
      <c r="U56">
        <v>2.3579964250000001</v>
      </c>
      <c r="V56">
        <v>2.4237235049999999</v>
      </c>
      <c r="W56">
        <v>2.7887497300000001</v>
      </c>
      <c r="X56">
        <v>3.0197125300000001</v>
      </c>
      <c r="Y56">
        <v>2.9096880299999999</v>
      </c>
      <c r="Z56">
        <v>2.6292920199999998</v>
      </c>
      <c r="AA56">
        <v>2.4487878150000002</v>
      </c>
      <c r="AB56">
        <v>2.2495292099999999</v>
      </c>
      <c r="AC56">
        <f t="shared" si="0"/>
        <v>2.2341667806249998</v>
      </c>
      <c r="AD56">
        <f t="shared" si="1"/>
        <v>2.2618870200000001</v>
      </c>
    </row>
    <row r="57" spans="1:30" x14ac:dyDescent="0.25">
      <c r="A57" t="s">
        <v>408</v>
      </c>
      <c r="B57" t="s">
        <v>427</v>
      </c>
      <c r="C57">
        <v>115</v>
      </c>
      <c r="D57" t="s">
        <v>3</v>
      </c>
      <c r="E57">
        <v>0.23964571700000001</v>
      </c>
      <c r="F57">
        <v>0.39367826099999997</v>
      </c>
      <c r="G57">
        <v>0.25072092769999998</v>
      </c>
      <c r="H57">
        <v>0.39281239870000001</v>
      </c>
      <c r="I57">
        <v>3.4217630999999998E-2</v>
      </c>
      <c r="J57">
        <v>0.27845273920000002</v>
      </c>
      <c r="K57">
        <v>0.22927536849999999</v>
      </c>
      <c r="L57">
        <v>1.13310366E-2</v>
      </c>
      <c r="M57">
        <v>0.16965311850000001</v>
      </c>
      <c r="N57">
        <v>0.1285718663</v>
      </c>
      <c r="O57">
        <v>9.4935018800000007E-2</v>
      </c>
      <c r="P57">
        <v>0.1248245977</v>
      </c>
      <c r="Q57">
        <v>0.35113261010000002</v>
      </c>
      <c r="R57">
        <v>0.13553536569999999</v>
      </c>
      <c r="S57">
        <v>7.6106372500000005E-2</v>
      </c>
      <c r="T57">
        <v>9.9813157E-2</v>
      </c>
      <c r="U57">
        <v>0.21705708000000001</v>
      </c>
      <c r="V57">
        <v>0.27920877579999998</v>
      </c>
      <c r="W57">
        <v>0.1735133197</v>
      </c>
      <c r="X57">
        <v>4.4793484000000001E-2</v>
      </c>
      <c r="Y57">
        <v>0.21662885840000001</v>
      </c>
      <c r="Z57">
        <v>0.22650166199999999</v>
      </c>
      <c r="AA57">
        <v>5.0193367000000003E-2</v>
      </c>
      <c r="AB57">
        <v>0.43020499029999998</v>
      </c>
      <c r="AC57">
        <f t="shared" si="0"/>
        <v>0.19370032181250005</v>
      </c>
      <c r="AD57">
        <f t="shared" si="1"/>
        <v>0.19507108905000001</v>
      </c>
    </row>
    <row r="58" spans="1:30" x14ac:dyDescent="0.25">
      <c r="A58" t="s">
        <v>408</v>
      </c>
      <c r="B58" t="s">
        <v>427</v>
      </c>
      <c r="C58">
        <v>115</v>
      </c>
      <c r="D58" t="s">
        <v>4</v>
      </c>
      <c r="E58">
        <v>3.1630949999999998E-2</v>
      </c>
      <c r="F58">
        <v>3.0496410000000002E-2</v>
      </c>
      <c r="G58">
        <v>3.0060300000000002E-2</v>
      </c>
      <c r="H58">
        <v>2.857287E-2</v>
      </c>
      <c r="I58">
        <v>2.8256010000000002E-2</v>
      </c>
      <c r="J58">
        <v>2.9272260000000001E-2</v>
      </c>
      <c r="K58">
        <v>2.7046049999999999E-2</v>
      </c>
      <c r="L58">
        <v>2.7282615E-2</v>
      </c>
      <c r="M58">
        <v>2.8133700000000001E-2</v>
      </c>
      <c r="N58">
        <v>3.0530954999999999E-2</v>
      </c>
      <c r="O58">
        <v>3.2799284999999997E-2</v>
      </c>
      <c r="P58">
        <v>3.5018880000000002E-2</v>
      </c>
      <c r="Q58">
        <v>3.4633169999999998E-2</v>
      </c>
      <c r="R58">
        <v>3.4841984999999999E-2</v>
      </c>
      <c r="S58">
        <v>3.5583629999999998E-2</v>
      </c>
      <c r="T58">
        <v>3.5219460000000001E-2</v>
      </c>
      <c r="U58">
        <v>3.5908574999999998E-2</v>
      </c>
      <c r="V58">
        <v>3.6909495E-2</v>
      </c>
      <c r="W58">
        <v>4.2468270000000002E-2</v>
      </c>
      <c r="X58">
        <v>4.5985470000000001E-2</v>
      </c>
      <c r="Y58">
        <v>4.4309969999999997E-2</v>
      </c>
      <c r="Z58">
        <v>4.0039980000000003E-2</v>
      </c>
      <c r="AA58">
        <v>3.7291184999999998E-2</v>
      </c>
      <c r="AB58">
        <v>3.4256790000000002E-2</v>
      </c>
      <c r="AC58">
        <f t="shared" si="0"/>
        <v>3.4022844374999993E-2</v>
      </c>
      <c r="AD58">
        <f t="shared" si="1"/>
        <v>3.444498E-2</v>
      </c>
    </row>
    <row r="59" spans="1:30" x14ac:dyDescent="0.25">
      <c r="A59" t="s">
        <v>408</v>
      </c>
      <c r="B59" t="s">
        <v>428</v>
      </c>
      <c r="C59">
        <v>115</v>
      </c>
      <c r="D59" t="s">
        <v>2</v>
      </c>
      <c r="E59">
        <v>9.7545485749999994</v>
      </c>
      <c r="F59">
        <v>9.2938965800000002</v>
      </c>
      <c r="G59">
        <v>9.0582510900000006</v>
      </c>
      <c r="H59">
        <v>8.8457235500000007</v>
      </c>
      <c r="I59">
        <v>8.7752566499999993</v>
      </c>
      <c r="J59">
        <v>8.9822199250000008</v>
      </c>
      <c r="K59">
        <v>8.4811386049999999</v>
      </c>
      <c r="L59">
        <v>8.2863075750000004</v>
      </c>
      <c r="M59">
        <v>8.4847752249999999</v>
      </c>
      <c r="N59">
        <v>9.0674608400000007</v>
      </c>
      <c r="O59">
        <v>9.8969647999999992</v>
      </c>
      <c r="P59">
        <v>10.644698</v>
      </c>
      <c r="Q59">
        <v>10.88124378</v>
      </c>
      <c r="R59">
        <v>10.89864873</v>
      </c>
      <c r="S59">
        <v>10.93292673</v>
      </c>
      <c r="T59">
        <v>10.789426020000001</v>
      </c>
      <c r="U59">
        <v>10.932217530000001</v>
      </c>
      <c r="V59">
        <v>11.20106343</v>
      </c>
      <c r="W59">
        <v>12.878131325</v>
      </c>
      <c r="X59">
        <v>13.769276585</v>
      </c>
      <c r="Y59">
        <v>13.499293010000001</v>
      </c>
      <c r="Z59">
        <v>12.551084729999999</v>
      </c>
      <c r="AA59">
        <v>11.65263077</v>
      </c>
      <c r="AB59">
        <v>10.68377295</v>
      </c>
      <c r="AC59">
        <f t="shared" si="0"/>
        <v>10.426706541875001</v>
      </c>
      <c r="AD59">
        <f t="shared" si="1"/>
        <v>10.664235475</v>
      </c>
    </row>
    <row r="60" spans="1:30" x14ac:dyDescent="0.25">
      <c r="A60" t="s">
        <v>408</v>
      </c>
      <c r="B60" t="s">
        <v>428</v>
      </c>
      <c r="C60">
        <v>115</v>
      </c>
      <c r="D60" t="s">
        <v>3</v>
      </c>
      <c r="E60">
        <v>1.9447286203</v>
      </c>
      <c r="F60">
        <v>1.9022285501</v>
      </c>
      <c r="G60">
        <v>1.8964033148999999</v>
      </c>
      <c r="H60">
        <v>1.8451396176999999</v>
      </c>
      <c r="I60">
        <v>1.8196501887000001</v>
      </c>
      <c r="J60">
        <v>1.3686200584999999</v>
      </c>
      <c r="K60">
        <v>1.0007649437999999</v>
      </c>
      <c r="L60">
        <v>1.0644424958000001</v>
      </c>
      <c r="M60">
        <v>1.1804683116000001</v>
      </c>
      <c r="N60">
        <v>1.3592659885</v>
      </c>
      <c r="O60">
        <v>1.5320239734000001</v>
      </c>
      <c r="P60">
        <v>1.6662007366</v>
      </c>
      <c r="Q60">
        <v>1.6572349246</v>
      </c>
      <c r="R60">
        <v>1.7388696767</v>
      </c>
      <c r="S60">
        <v>1.7774913810999999</v>
      </c>
      <c r="T60">
        <v>1.7298511258</v>
      </c>
      <c r="U60">
        <v>1.7068552148</v>
      </c>
      <c r="V60">
        <v>1.6025337814</v>
      </c>
      <c r="W60">
        <v>2.1539048840000001</v>
      </c>
      <c r="X60">
        <v>2.3328057056999998</v>
      </c>
      <c r="Y60">
        <v>2.2290259216999999</v>
      </c>
      <c r="Z60">
        <v>2.0405738995</v>
      </c>
      <c r="AA60">
        <v>2.03715205</v>
      </c>
      <c r="AB60">
        <v>2.0021382495000002</v>
      </c>
      <c r="AC60">
        <f t="shared" si="0"/>
        <v>1.7328489006124999</v>
      </c>
      <c r="AD60">
        <f t="shared" si="1"/>
        <v>1.7581805289000001</v>
      </c>
    </row>
    <row r="61" spans="1:30" x14ac:dyDescent="0.25">
      <c r="A61" t="s">
        <v>408</v>
      </c>
      <c r="B61" t="s">
        <v>428</v>
      </c>
      <c r="C61">
        <v>115</v>
      </c>
      <c r="D61" t="s">
        <v>4</v>
      </c>
      <c r="E61">
        <v>0.14854642500000001</v>
      </c>
      <c r="F61">
        <v>0.14153141999999999</v>
      </c>
      <c r="G61">
        <v>0.13794291</v>
      </c>
      <c r="H61">
        <v>0.13470645000000001</v>
      </c>
      <c r="I61">
        <v>0.13363335000000001</v>
      </c>
      <c r="J61">
        <v>0.13678507500000001</v>
      </c>
      <c r="K61">
        <v>0.12915439500000001</v>
      </c>
      <c r="L61">
        <v>0.12618742499999999</v>
      </c>
      <c r="M61">
        <v>0.129209775</v>
      </c>
      <c r="N61">
        <v>0.13808316000000001</v>
      </c>
      <c r="O61">
        <v>0.15071519999999999</v>
      </c>
      <c r="P61">
        <v>0.162102</v>
      </c>
      <c r="Q61">
        <v>0.16570422000000001</v>
      </c>
      <c r="R61">
        <v>0.16596927</v>
      </c>
      <c r="S61">
        <v>0.16649127</v>
      </c>
      <c r="T61">
        <v>0.16430597999999999</v>
      </c>
      <c r="U61">
        <v>0.16648046999999999</v>
      </c>
      <c r="V61">
        <v>0.17057457000000001</v>
      </c>
      <c r="W61">
        <v>0.19611367499999999</v>
      </c>
      <c r="X61">
        <v>0.20968441500000001</v>
      </c>
      <c r="Y61">
        <v>0.20557299000000001</v>
      </c>
      <c r="Z61">
        <v>0.19113326999999999</v>
      </c>
      <c r="AA61">
        <v>0.17745122999999999</v>
      </c>
      <c r="AB61">
        <v>0.16269705000000001</v>
      </c>
      <c r="AC61">
        <f t="shared" si="0"/>
        <v>0.15878233312499998</v>
      </c>
      <c r="AD61">
        <f t="shared" si="1"/>
        <v>0.16239952499999999</v>
      </c>
    </row>
    <row r="62" spans="1:30" x14ac:dyDescent="0.25">
      <c r="A62" t="s">
        <v>408</v>
      </c>
      <c r="B62" t="s">
        <v>429</v>
      </c>
      <c r="C62">
        <v>34</v>
      </c>
      <c r="D62" t="s">
        <v>2</v>
      </c>
      <c r="E62">
        <v>0.47012796000000001</v>
      </c>
      <c r="F62">
        <v>0.39281702000000002</v>
      </c>
      <c r="G62">
        <v>0.37453639999999999</v>
      </c>
      <c r="H62">
        <v>0.34119653</v>
      </c>
      <c r="I62">
        <v>0.33847276999999998</v>
      </c>
      <c r="J62">
        <v>0.57329037000000005</v>
      </c>
      <c r="K62">
        <v>0.56480286999999996</v>
      </c>
      <c r="L62">
        <v>0.44998687999999998</v>
      </c>
      <c r="M62">
        <v>0.66634344000000001</v>
      </c>
      <c r="N62">
        <v>0.80768214000000005</v>
      </c>
      <c r="O62">
        <v>0.99522582000000004</v>
      </c>
      <c r="P62">
        <v>1.1503453100000001</v>
      </c>
      <c r="Q62">
        <v>1.22602083</v>
      </c>
      <c r="R62">
        <v>1.03150867</v>
      </c>
      <c r="S62">
        <v>0.89126121999999997</v>
      </c>
      <c r="T62">
        <v>0.76916441000000002</v>
      </c>
      <c r="U62">
        <v>0.80095227999999996</v>
      </c>
      <c r="V62">
        <v>0.72968347</v>
      </c>
      <c r="W62">
        <v>0.84844445000000002</v>
      </c>
      <c r="X62">
        <v>0.88909132999999996</v>
      </c>
      <c r="Y62">
        <v>0.87336471999999998</v>
      </c>
      <c r="Z62">
        <v>0.76931961000000004</v>
      </c>
      <c r="AA62">
        <v>0.81332656999999997</v>
      </c>
      <c r="AB62">
        <v>0.70806411000000002</v>
      </c>
      <c r="AC62">
        <f t="shared" si="0"/>
        <v>0.72812621583333337</v>
      </c>
      <c r="AD62">
        <f t="shared" si="1"/>
        <v>0.76924201000000003</v>
      </c>
    </row>
    <row r="63" spans="1:30" x14ac:dyDescent="0.25">
      <c r="A63" t="s">
        <v>408</v>
      </c>
      <c r="B63" t="s">
        <v>429</v>
      </c>
      <c r="C63">
        <v>34</v>
      </c>
      <c r="D63" t="s">
        <v>3</v>
      </c>
      <c r="E63">
        <v>5.3065051199999998E-2</v>
      </c>
      <c r="F63">
        <v>9.9134198300000004E-2</v>
      </c>
      <c r="G63">
        <v>4.4870452399999997E-2</v>
      </c>
      <c r="H63">
        <v>2.4268443000000001E-2</v>
      </c>
      <c r="I63">
        <v>2.72705663E-2</v>
      </c>
      <c r="J63">
        <v>4.3603937500000002E-2</v>
      </c>
      <c r="K63">
        <v>6.3342122900000006E-2</v>
      </c>
      <c r="L63">
        <v>7.1882817900000007E-2</v>
      </c>
      <c r="M63">
        <v>0.13070501470000001</v>
      </c>
      <c r="N63">
        <v>0.16055153759999999</v>
      </c>
      <c r="O63">
        <v>0.19952321219999999</v>
      </c>
      <c r="P63">
        <v>0.22220652199999999</v>
      </c>
      <c r="Q63">
        <v>0.58776840910000006</v>
      </c>
      <c r="R63">
        <v>0.22058619339999999</v>
      </c>
      <c r="S63">
        <v>0.17069255250000001</v>
      </c>
      <c r="T63">
        <v>5.8501936599999999E-2</v>
      </c>
      <c r="U63">
        <v>8.9826062299999995E-2</v>
      </c>
      <c r="V63">
        <v>0.1165627407</v>
      </c>
      <c r="W63">
        <v>0.16642460579999999</v>
      </c>
      <c r="X63">
        <v>0.17673410489999999</v>
      </c>
      <c r="Y63">
        <v>0.1750924572</v>
      </c>
      <c r="Z63">
        <v>0.1486056694</v>
      </c>
      <c r="AA63">
        <v>0.17392836079999999</v>
      </c>
      <c r="AB63">
        <v>0.13560701119999999</v>
      </c>
      <c r="AC63">
        <f t="shared" si="0"/>
        <v>0.14003141582916664</v>
      </c>
      <c r="AD63">
        <f t="shared" si="1"/>
        <v>0.13315601295000001</v>
      </c>
    </row>
    <row r="64" spans="1:30" x14ac:dyDescent="0.25">
      <c r="A64" t="s">
        <v>408</v>
      </c>
      <c r="B64" t="s">
        <v>429</v>
      </c>
      <c r="C64">
        <v>34</v>
      </c>
      <c r="D64" t="s">
        <v>4</v>
      </c>
      <c r="E64">
        <v>1.4540040000000001E-2</v>
      </c>
      <c r="F64">
        <v>1.214898E-2</v>
      </c>
      <c r="G64">
        <v>1.1583599999999999E-2</v>
      </c>
      <c r="H64">
        <v>1.055247E-2</v>
      </c>
      <c r="I64">
        <v>1.046823E-2</v>
      </c>
      <c r="J64">
        <v>1.7730630000000001E-2</v>
      </c>
      <c r="K64">
        <v>1.7468129999999998E-2</v>
      </c>
      <c r="L64">
        <v>1.391712E-2</v>
      </c>
      <c r="M64">
        <v>2.0608560000000001E-2</v>
      </c>
      <c r="N64">
        <v>2.497986E-2</v>
      </c>
      <c r="O64">
        <v>3.0780180000000001E-2</v>
      </c>
      <c r="P64">
        <v>3.5577690000000002E-2</v>
      </c>
      <c r="Q64">
        <v>3.7918170000000001E-2</v>
      </c>
      <c r="R64">
        <v>3.190233E-2</v>
      </c>
      <c r="S64">
        <v>2.7564780000000001E-2</v>
      </c>
      <c r="T64">
        <v>2.3788589999999998E-2</v>
      </c>
      <c r="U64">
        <v>2.4771720000000001E-2</v>
      </c>
      <c r="V64">
        <v>2.2567529999999999E-2</v>
      </c>
      <c r="W64">
        <v>2.6240550000000001E-2</v>
      </c>
      <c r="X64">
        <v>2.7497669999999998E-2</v>
      </c>
      <c r="Y64">
        <v>2.7011279999999999E-2</v>
      </c>
      <c r="Z64">
        <v>2.3793390000000001E-2</v>
      </c>
      <c r="AA64">
        <v>2.5154429999999998E-2</v>
      </c>
      <c r="AB64">
        <v>2.1898890000000001E-2</v>
      </c>
      <c r="AC64">
        <f t="shared" si="0"/>
        <v>2.2519367499999998E-2</v>
      </c>
      <c r="AD64">
        <f t="shared" si="1"/>
        <v>2.3790989999999998E-2</v>
      </c>
    </row>
    <row r="65" spans="1:30" x14ac:dyDescent="0.25">
      <c r="A65" t="s">
        <v>408</v>
      </c>
      <c r="B65" t="s">
        <v>430</v>
      </c>
      <c r="C65">
        <v>34</v>
      </c>
      <c r="D65" t="s">
        <v>2</v>
      </c>
      <c r="E65">
        <v>4.7480151700000004</v>
      </c>
      <c r="F65">
        <v>4.7244907300000003</v>
      </c>
      <c r="G65">
        <v>4.6896240799999998</v>
      </c>
      <c r="H65">
        <v>4.7872536099999996</v>
      </c>
      <c r="I65">
        <v>4.6513507900000004</v>
      </c>
      <c r="J65">
        <v>4.6917852399999997</v>
      </c>
      <c r="K65">
        <v>4.5948191899999999</v>
      </c>
      <c r="L65">
        <v>4.6754688700000004</v>
      </c>
      <c r="M65">
        <v>4.3713263400000004</v>
      </c>
      <c r="N65">
        <v>4.2992262400000003</v>
      </c>
      <c r="O65">
        <v>4.42193609</v>
      </c>
      <c r="P65">
        <v>4.4568347499999996</v>
      </c>
      <c r="Q65">
        <v>4.14844071</v>
      </c>
      <c r="R65">
        <v>4.5436255000000001</v>
      </c>
      <c r="S65">
        <v>4.7415093800000001</v>
      </c>
      <c r="T65">
        <v>4.8314157700000004</v>
      </c>
      <c r="U65">
        <v>5.1153231300000002</v>
      </c>
      <c r="V65">
        <v>5.1180100299999998</v>
      </c>
      <c r="W65">
        <v>5.4516298900000004</v>
      </c>
      <c r="X65">
        <v>5.5539842899999998</v>
      </c>
      <c r="Y65">
        <v>5.44087356</v>
      </c>
      <c r="Z65">
        <v>5.14800243</v>
      </c>
      <c r="AA65">
        <v>4.9780632799999998</v>
      </c>
      <c r="AB65">
        <v>5.0152123399999997</v>
      </c>
      <c r="AC65">
        <f t="shared" si="0"/>
        <v>4.7999258920833343</v>
      </c>
      <c r="AD65">
        <f t="shared" si="1"/>
        <v>4.7330000549999998</v>
      </c>
    </row>
    <row r="66" spans="1:30" x14ac:dyDescent="0.25">
      <c r="A66" t="s">
        <v>408</v>
      </c>
      <c r="B66" t="s">
        <v>430</v>
      </c>
      <c r="C66">
        <v>34</v>
      </c>
      <c r="D66" t="s">
        <v>3</v>
      </c>
      <c r="E66">
        <v>0.1163283197</v>
      </c>
      <c r="F66">
        <v>2.1128775700000001E-2</v>
      </c>
      <c r="G66">
        <v>0.1069604938</v>
      </c>
      <c r="H66">
        <v>6.4231743499999994E-2</v>
      </c>
      <c r="I66">
        <v>0.1120441276</v>
      </c>
      <c r="J66">
        <v>0.17054516980000001</v>
      </c>
      <c r="K66">
        <v>0.1027628062</v>
      </c>
      <c r="L66">
        <v>0</v>
      </c>
      <c r="M66">
        <v>2.7647247999999999E-2</v>
      </c>
      <c r="N66">
        <v>6.3773395600000005E-2</v>
      </c>
      <c r="O66">
        <v>0.173629753</v>
      </c>
      <c r="P66">
        <v>0.32014495189999997</v>
      </c>
      <c r="Q66">
        <v>0.4667490889</v>
      </c>
      <c r="R66">
        <v>0.3388919332</v>
      </c>
      <c r="S66">
        <v>0.40285668159999999</v>
      </c>
      <c r="T66">
        <v>0.55098270110000003</v>
      </c>
      <c r="U66">
        <v>0.8003559213</v>
      </c>
      <c r="V66">
        <v>0.87400771369999997</v>
      </c>
      <c r="W66">
        <v>0.59023945050000004</v>
      </c>
      <c r="X66">
        <v>0.49763252130000002</v>
      </c>
      <c r="Y66">
        <v>0.37999651379999999</v>
      </c>
      <c r="Z66">
        <v>0.37410149970000001</v>
      </c>
      <c r="AA66">
        <v>0.26650782880000001</v>
      </c>
      <c r="AB66">
        <v>0.1982008801</v>
      </c>
      <c r="AC66">
        <f t="shared" si="0"/>
        <v>0.2924883132833333</v>
      </c>
      <c r="AD66">
        <f t="shared" si="1"/>
        <v>0.23235435445000002</v>
      </c>
    </row>
    <row r="67" spans="1:30" x14ac:dyDescent="0.25">
      <c r="A67" t="s">
        <v>408</v>
      </c>
      <c r="B67" t="s">
        <v>430</v>
      </c>
      <c r="C67">
        <v>34</v>
      </c>
      <c r="D67" t="s">
        <v>4</v>
      </c>
      <c r="E67">
        <v>0.14684583000000001</v>
      </c>
      <c r="F67">
        <v>0.14611826999999999</v>
      </c>
      <c r="G67">
        <v>0.14503991999999999</v>
      </c>
      <c r="H67">
        <v>0.14805939000000001</v>
      </c>
      <c r="I67">
        <v>0.14385621000000001</v>
      </c>
      <c r="J67">
        <v>0.14510676</v>
      </c>
      <c r="K67">
        <v>0.14210781</v>
      </c>
      <c r="L67">
        <v>0.14460213</v>
      </c>
      <c r="M67">
        <v>0.13519566</v>
      </c>
      <c r="N67">
        <v>0.13296575999999999</v>
      </c>
      <c r="O67">
        <v>0.13676091000000001</v>
      </c>
      <c r="P67">
        <v>0.13784025</v>
      </c>
      <c r="Q67">
        <v>0.12830229000000001</v>
      </c>
      <c r="R67">
        <v>0.1405245</v>
      </c>
      <c r="S67">
        <v>0.14664462</v>
      </c>
      <c r="T67">
        <v>0.14942522999999999</v>
      </c>
      <c r="U67">
        <v>0.15820587</v>
      </c>
      <c r="V67">
        <v>0.15828897</v>
      </c>
      <c r="W67">
        <v>0.16860711</v>
      </c>
      <c r="X67">
        <v>0.17177271</v>
      </c>
      <c r="Y67">
        <v>0.16827444</v>
      </c>
      <c r="Z67">
        <v>0.15921657</v>
      </c>
      <c r="AA67">
        <v>0.15396072</v>
      </c>
      <c r="AB67">
        <v>0.15510966000000001</v>
      </c>
      <c r="AC67">
        <f t="shared" ref="AC67:AC91" si="2">AVERAGE(E67:AB67)</f>
        <v>0.14845131624999999</v>
      </c>
      <c r="AD67">
        <f t="shared" ref="AD67:AD91" si="3">MEDIAN(E67:AB67)</f>
        <v>0.146381445</v>
      </c>
    </row>
    <row r="68" spans="1:30" x14ac:dyDescent="0.25">
      <c r="A68" t="s">
        <v>408</v>
      </c>
      <c r="B68" t="s">
        <v>431</v>
      </c>
      <c r="C68">
        <v>34</v>
      </c>
      <c r="D68" t="s">
        <v>2</v>
      </c>
      <c r="E68">
        <v>13.41101242</v>
      </c>
      <c r="F68">
        <v>13.403873219999999</v>
      </c>
      <c r="G68">
        <v>13.4147508</v>
      </c>
      <c r="H68">
        <v>13.367041349999999</v>
      </c>
      <c r="I68">
        <v>13.216288799999999</v>
      </c>
      <c r="J68">
        <v>13.374968190000001</v>
      </c>
      <c r="K68">
        <v>14.37381793</v>
      </c>
      <c r="L68">
        <v>16.635780329999999</v>
      </c>
      <c r="M68">
        <v>18.574682289999998</v>
      </c>
      <c r="N68">
        <v>17.73535875</v>
      </c>
      <c r="O68">
        <v>17.444016340000001</v>
      </c>
      <c r="P68">
        <v>16.72216465</v>
      </c>
      <c r="Q68">
        <v>16.839572480000001</v>
      </c>
      <c r="R68">
        <v>18.249294819999999</v>
      </c>
      <c r="S68">
        <v>18.69704003</v>
      </c>
      <c r="T68">
        <v>20.51437189</v>
      </c>
      <c r="U68">
        <v>18.39833823</v>
      </c>
      <c r="V68">
        <v>15.4870103</v>
      </c>
      <c r="W68">
        <v>14.140747299999999</v>
      </c>
      <c r="X68">
        <v>14.024946760000001</v>
      </c>
      <c r="Y68">
        <v>14.029575599999999</v>
      </c>
      <c r="Z68">
        <v>13.590185</v>
      </c>
      <c r="AA68">
        <v>13.57970124</v>
      </c>
      <c r="AB68">
        <v>13.57956253</v>
      </c>
      <c r="AC68">
        <f t="shared" si="2"/>
        <v>15.533504218749998</v>
      </c>
      <c r="AD68">
        <f t="shared" si="3"/>
        <v>14.257282614999999</v>
      </c>
    </row>
    <row r="69" spans="1:30" x14ac:dyDescent="0.25">
      <c r="A69" t="s">
        <v>408</v>
      </c>
      <c r="B69" t="s">
        <v>431</v>
      </c>
      <c r="C69">
        <v>34</v>
      </c>
      <c r="D69" t="s">
        <v>3</v>
      </c>
      <c r="E69">
        <v>5.4273023196999999</v>
      </c>
      <c r="F69">
        <v>5.3960942351999996</v>
      </c>
      <c r="G69">
        <v>5.3586359049999999</v>
      </c>
      <c r="H69">
        <v>5.0800605891000004</v>
      </c>
      <c r="I69">
        <v>5.3435781895999996</v>
      </c>
      <c r="J69">
        <v>5.8454774991000003</v>
      </c>
      <c r="K69">
        <v>2.8023553300000001</v>
      </c>
      <c r="L69">
        <v>2.6520576477</v>
      </c>
      <c r="M69">
        <v>2.3396977537999999</v>
      </c>
      <c r="N69">
        <v>2.4411096155999998</v>
      </c>
      <c r="O69">
        <v>2.4462313485</v>
      </c>
      <c r="P69">
        <v>2.4008571778999999</v>
      </c>
      <c r="Q69">
        <v>2.2950565665</v>
      </c>
      <c r="R69">
        <v>2.4131907574999998</v>
      </c>
      <c r="S69">
        <v>2.4767480335999998</v>
      </c>
      <c r="T69">
        <v>2.4100005222999998</v>
      </c>
      <c r="U69">
        <v>2.2889025064999999</v>
      </c>
      <c r="V69">
        <v>2.3141060727</v>
      </c>
      <c r="W69">
        <v>4.7276435790000004</v>
      </c>
      <c r="X69">
        <v>5.6770606399999997</v>
      </c>
      <c r="Y69">
        <v>5.6984978463999996</v>
      </c>
      <c r="Z69">
        <v>5.4791305150999996</v>
      </c>
      <c r="AA69">
        <v>5.4749037962999996</v>
      </c>
      <c r="AB69">
        <v>5.4507518368000003</v>
      </c>
      <c r="AC69">
        <f t="shared" si="2"/>
        <v>3.9266437618291659</v>
      </c>
      <c r="AD69">
        <f t="shared" si="3"/>
        <v>3.7649994545000003</v>
      </c>
    </row>
    <row r="70" spans="1:30" x14ac:dyDescent="0.25">
      <c r="A70" t="s">
        <v>408</v>
      </c>
      <c r="B70" t="s">
        <v>431</v>
      </c>
      <c r="C70">
        <v>34</v>
      </c>
      <c r="D70" t="s">
        <v>4</v>
      </c>
      <c r="E70">
        <v>0.41477357999999998</v>
      </c>
      <c r="F70">
        <v>0.41455278000000001</v>
      </c>
      <c r="G70">
        <v>0.41488920000000001</v>
      </c>
      <c r="H70">
        <v>0.41341365000000002</v>
      </c>
      <c r="I70">
        <v>0.40875119999999998</v>
      </c>
      <c r="J70">
        <v>0.41365880999999999</v>
      </c>
      <c r="K70">
        <v>0.44455106999999999</v>
      </c>
      <c r="L70">
        <v>0.51450867</v>
      </c>
      <c r="M70">
        <v>0.57447471000000006</v>
      </c>
      <c r="N70">
        <v>0.54851625000000004</v>
      </c>
      <c r="O70">
        <v>0.53950566</v>
      </c>
      <c r="P70">
        <v>0.51718034999999996</v>
      </c>
      <c r="Q70">
        <v>0.52081151999999997</v>
      </c>
      <c r="R70">
        <v>0.56441118000000001</v>
      </c>
      <c r="S70">
        <v>0.57825897000000004</v>
      </c>
      <c r="T70">
        <v>0.63446511000000005</v>
      </c>
      <c r="U70">
        <v>0.56902076999999995</v>
      </c>
      <c r="V70">
        <v>0.47897970000000001</v>
      </c>
      <c r="W70">
        <v>0.43734269999999997</v>
      </c>
      <c r="X70">
        <v>0.43376123999999999</v>
      </c>
      <c r="Y70">
        <v>0.43390440000000002</v>
      </c>
      <c r="Z70">
        <v>0.42031499999999999</v>
      </c>
      <c r="AA70">
        <v>0.41999076000000002</v>
      </c>
      <c r="AB70">
        <v>0.41998647</v>
      </c>
      <c r="AC70">
        <f t="shared" si="2"/>
        <v>0.48041765624999999</v>
      </c>
      <c r="AD70">
        <f t="shared" si="3"/>
        <v>0.44094688500000001</v>
      </c>
    </row>
    <row r="71" spans="1:30" x14ac:dyDescent="0.25">
      <c r="A71" t="s">
        <v>408</v>
      </c>
      <c r="B71" t="s">
        <v>434</v>
      </c>
      <c r="C71">
        <v>115</v>
      </c>
      <c r="D71" t="s">
        <v>2</v>
      </c>
      <c r="E71">
        <v>0.83474809999999999</v>
      </c>
      <c r="F71">
        <v>0.79778302000000001</v>
      </c>
      <c r="G71">
        <v>0.79815436500000003</v>
      </c>
      <c r="H71">
        <v>0.79955306500000001</v>
      </c>
      <c r="I71">
        <v>0.80287645500000004</v>
      </c>
      <c r="J71">
        <v>0.80183727999999999</v>
      </c>
      <c r="K71">
        <v>0.98914290999999999</v>
      </c>
      <c r="L71">
        <v>1.223164135</v>
      </c>
      <c r="M71">
        <v>1.302758045</v>
      </c>
      <c r="N71">
        <v>1.338476115</v>
      </c>
      <c r="O71">
        <v>1.4849869849999999</v>
      </c>
      <c r="P71">
        <v>1.550377195</v>
      </c>
      <c r="Q71">
        <v>1.36208164</v>
      </c>
      <c r="R71">
        <v>1.499988535</v>
      </c>
      <c r="S71">
        <v>1.56654794</v>
      </c>
      <c r="T71">
        <v>1.5283043300000001</v>
      </c>
      <c r="U71">
        <v>1.411379905</v>
      </c>
      <c r="V71">
        <v>1.1460750799999999</v>
      </c>
      <c r="W71">
        <v>1.1752054700000001</v>
      </c>
      <c r="X71">
        <v>1.12951132</v>
      </c>
      <c r="Y71">
        <v>1.0491481250000001</v>
      </c>
      <c r="Z71">
        <v>0.92231755500000001</v>
      </c>
      <c r="AA71">
        <v>0.87089464500000002</v>
      </c>
      <c r="AB71">
        <v>0.87117044499999996</v>
      </c>
      <c r="AC71">
        <f t="shared" si="2"/>
        <v>1.1356867774999999</v>
      </c>
      <c r="AD71">
        <f t="shared" si="3"/>
        <v>1.1377931999999999</v>
      </c>
    </row>
    <row r="72" spans="1:30" x14ac:dyDescent="0.25">
      <c r="A72" t="s">
        <v>408</v>
      </c>
      <c r="B72" t="s">
        <v>434</v>
      </c>
      <c r="C72">
        <v>115</v>
      </c>
      <c r="D72" t="s">
        <v>3</v>
      </c>
      <c r="E72">
        <v>0.1730088155</v>
      </c>
      <c r="F72">
        <v>0.16274660429999999</v>
      </c>
      <c r="G72">
        <v>0.17631111290000001</v>
      </c>
      <c r="H72">
        <v>0.1833526325</v>
      </c>
      <c r="I72">
        <v>0.1672676528</v>
      </c>
      <c r="J72">
        <v>0.13688151400000001</v>
      </c>
      <c r="K72">
        <v>0.2308514582</v>
      </c>
      <c r="L72">
        <v>0.34216305759999999</v>
      </c>
      <c r="M72">
        <v>0.40763888510000001</v>
      </c>
      <c r="N72">
        <v>0.41585499390000003</v>
      </c>
      <c r="O72">
        <v>0.48502845789999999</v>
      </c>
      <c r="P72">
        <v>0.50980437489999997</v>
      </c>
      <c r="Q72">
        <v>0.393671985</v>
      </c>
      <c r="R72">
        <v>0.45850699890000002</v>
      </c>
      <c r="S72">
        <v>0.50707456579999999</v>
      </c>
      <c r="T72">
        <v>0.48741992490000002</v>
      </c>
      <c r="U72">
        <v>0.43735702669999998</v>
      </c>
      <c r="V72">
        <v>0.30349370730000003</v>
      </c>
      <c r="W72">
        <v>0.26587886550000001</v>
      </c>
      <c r="X72">
        <v>0.25928414329999999</v>
      </c>
      <c r="Y72">
        <v>0.22430588309999999</v>
      </c>
      <c r="Z72">
        <v>0.18333883370000001</v>
      </c>
      <c r="AA72">
        <v>0.1700278472</v>
      </c>
      <c r="AB72">
        <v>0.18794725900000001</v>
      </c>
      <c r="AC72">
        <f t="shared" si="2"/>
        <v>0.30288402500000006</v>
      </c>
      <c r="AD72">
        <f t="shared" si="3"/>
        <v>0.2625815044</v>
      </c>
    </row>
    <row r="73" spans="1:30" x14ac:dyDescent="0.25">
      <c r="A73" t="s">
        <v>408</v>
      </c>
      <c r="B73" t="s">
        <v>434</v>
      </c>
      <c r="C73">
        <v>115</v>
      </c>
      <c r="D73" t="s">
        <v>4</v>
      </c>
      <c r="E73">
        <v>1.27119E-2</v>
      </c>
      <c r="F73">
        <v>1.214898E-2</v>
      </c>
      <c r="G73">
        <v>1.2154635E-2</v>
      </c>
      <c r="H73">
        <v>1.2175935000000001E-2</v>
      </c>
      <c r="I73">
        <v>1.2226545E-2</v>
      </c>
      <c r="J73">
        <v>1.221072E-2</v>
      </c>
      <c r="K73">
        <v>1.5063089999999999E-2</v>
      </c>
      <c r="L73">
        <v>1.8626864999999999E-2</v>
      </c>
      <c r="M73">
        <v>1.9838954999999998E-2</v>
      </c>
      <c r="N73">
        <v>2.0382885E-2</v>
      </c>
      <c r="O73">
        <v>2.2614015000000001E-2</v>
      </c>
      <c r="P73">
        <v>2.3609805000000001E-2</v>
      </c>
      <c r="Q73">
        <v>2.0742360000000001E-2</v>
      </c>
      <c r="R73">
        <v>2.2842464999999999E-2</v>
      </c>
      <c r="S73">
        <v>2.3856059999999998E-2</v>
      </c>
      <c r="T73">
        <v>2.327367E-2</v>
      </c>
      <c r="U73">
        <v>2.1493095E-2</v>
      </c>
      <c r="V73">
        <v>1.745292E-2</v>
      </c>
      <c r="W73">
        <v>1.7896530000000001E-2</v>
      </c>
      <c r="X73">
        <v>1.7200679999999999E-2</v>
      </c>
      <c r="Y73">
        <v>1.5976875000000001E-2</v>
      </c>
      <c r="Z73">
        <v>1.4045445E-2</v>
      </c>
      <c r="AA73">
        <v>1.3262355E-2</v>
      </c>
      <c r="AB73">
        <v>1.3266554999999999E-2</v>
      </c>
      <c r="AC73">
        <f t="shared" si="2"/>
        <v>1.7294722500000002E-2</v>
      </c>
      <c r="AD73">
        <f t="shared" si="3"/>
        <v>1.73268E-2</v>
      </c>
    </row>
    <row r="74" spans="1:30" x14ac:dyDescent="0.25">
      <c r="A74" t="s">
        <v>408</v>
      </c>
      <c r="B74" t="s">
        <v>435</v>
      </c>
      <c r="C74">
        <v>34</v>
      </c>
      <c r="D74" t="s">
        <v>2</v>
      </c>
      <c r="E74">
        <v>2.8372626099999998</v>
      </c>
      <c r="F74">
        <v>2.79247383</v>
      </c>
      <c r="G74">
        <v>2.7668250900000002</v>
      </c>
      <c r="H74">
        <v>2.7348238199999999</v>
      </c>
      <c r="I74">
        <v>2.73422242</v>
      </c>
      <c r="J74">
        <v>2.7745084599999998</v>
      </c>
      <c r="K74">
        <v>2.83492685</v>
      </c>
      <c r="L74">
        <v>3.1060040199999999</v>
      </c>
      <c r="M74">
        <v>3.1879438000000002</v>
      </c>
      <c r="N74">
        <v>3.1802497600000001</v>
      </c>
      <c r="O74">
        <v>3.4151042199999999</v>
      </c>
      <c r="P74">
        <v>3.5353541499999999</v>
      </c>
      <c r="Q74">
        <v>3.2835499100000001</v>
      </c>
      <c r="R74">
        <v>3.6056064000000001</v>
      </c>
      <c r="S74">
        <v>3.74005616</v>
      </c>
      <c r="T74">
        <v>3.7392694899999999</v>
      </c>
      <c r="U74">
        <v>3.5975534599999999</v>
      </c>
      <c r="V74">
        <v>3.2767540899999998</v>
      </c>
      <c r="W74">
        <v>3.4644830400000002</v>
      </c>
      <c r="X74">
        <v>3.5071824399999998</v>
      </c>
      <c r="Y74">
        <v>3.61238379</v>
      </c>
      <c r="Z74">
        <v>3.4297424900000002</v>
      </c>
      <c r="AA74">
        <v>3.22165809</v>
      </c>
      <c r="AB74">
        <v>3.0467341100000001</v>
      </c>
      <c r="AC74">
        <f t="shared" si="2"/>
        <v>3.2260280208333327</v>
      </c>
      <c r="AD74">
        <f t="shared" si="3"/>
        <v>3.2492060899999999</v>
      </c>
    </row>
    <row r="75" spans="1:30" x14ac:dyDescent="0.25">
      <c r="A75" t="s">
        <v>408</v>
      </c>
      <c r="B75" t="s">
        <v>435</v>
      </c>
      <c r="C75">
        <v>34</v>
      </c>
      <c r="D75" t="s">
        <v>3</v>
      </c>
      <c r="E75">
        <v>0.37912889049999998</v>
      </c>
      <c r="F75">
        <v>0.63865554420000004</v>
      </c>
      <c r="G75">
        <v>0.49045141510000001</v>
      </c>
      <c r="H75">
        <v>0.44305474280000001</v>
      </c>
      <c r="I75">
        <v>0.43890458389999998</v>
      </c>
      <c r="J75">
        <v>0.3557431767</v>
      </c>
      <c r="K75">
        <v>0.4237976114</v>
      </c>
      <c r="L75">
        <v>0.46022373080000001</v>
      </c>
      <c r="M75">
        <v>0.44892472480000001</v>
      </c>
      <c r="N75">
        <v>0.4080207032</v>
      </c>
      <c r="O75">
        <v>0.40884718170000001</v>
      </c>
      <c r="P75">
        <v>0.27123011720000001</v>
      </c>
      <c r="Q75">
        <v>0.13142086189999999</v>
      </c>
      <c r="R75">
        <v>0.29631900839999997</v>
      </c>
      <c r="S75">
        <v>0.32086934179999999</v>
      </c>
      <c r="T75">
        <v>0.27584853069999998</v>
      </c>
      <c r="U75">
        <v>7.0138862400000002E-2</v>
      </c>
      <c r="V75">
        <v>0.12441119790000001</v>
      </c>
      <c r="W75">
        <v>0.16483926460000001</v>
      </c>
      <c r="X75">
        <v>0.23249277469999999</v>
      </c>
      <c r="Y75">
        <v>0.2864852819</v>
      </c>
      <c r="Z75">
        <v>0.27847344880000002</v>
      </c>
      <c r="AA75">
        <v>0.2207828818</v>
      </c>
      <c r="AB75">
        <v>0.35871954029999997</v>
      </c>
      <c r="AC75">
        <f t="shared" si="2"/>
        <v>0.33032430906250004</v>
      </c>
      <c r="AD75">
        <f t="shared" si="3"/>
        <v>0.33830625925000002</v>
      </c>
    </row>
    <row r="76" spans="1:30" x14ac:dyDescent="0.25">
      <c r="A76" t="s">
        <v>408</v>
      </c>
      <c r="B76" t="s">
        <v>435</v>
      </c>
      <c r="C76">
        <v>34</v>
      </c>
      <c r="D76" t="s">
        <v>4</v>
      </c>
      <c r="E76">
        <v>8.7750389999999998E-2</v>
      </c>
      <c r="F76">
        <v>8.6365170000000005E-2</v>
      </c>
      <c r="G76">
        <v>8.5571910000000001E-2</v>
      </c>
      <c r="H76">
        <v>8.4582180000000007E-2</v>
      </c>
      <c r="I76">
        <v>8.4563579999999999E-2</v>
      </c>
      <c r="J76">
        <v>8.5809540000000004E-2</v>
      </c>
      <c r="K76">
        <v>8.7678149999999996E-2</v>
      </c>
      <c r="L76">
        <v>9.6061980000000005E-2</v>
      </c>
      <c r="M76">
        <v>9.8596199999999995E-2</v>
      </c>
      <c r="N76">
        <v>9.835824E-2</v>
      </c>
      <c r="O76">
        <v>0.10562178</v>
      </c>
      <c r="P76">
        <v>0.10934085</v>
      </c>
      <c r="Q76">
        <v>0.10155309</v>
      </c>
      <c r="R76">
        <v>0.1115136</v>
      </c>
      <c r="S76">
        <v>0.11567184</v>
      </c>
      <c r="T76">
        <v>0.11564751</v>
      </c>
      <c r="U76">
        <v>0.11126454</v>
      </c>
      <c r="V76">
        <v>0.10134290999999999</v>
      </c>
      <c r="W76">
        <v>0.10714896</v>
      </c>
      <c r="X76">
        <v>0.10846956000000001</v>
      </c>
      <c r="Y76">
        <v>0.11172321</v>
      </c>
      <c r="Z76">
        <v>0.10607451</v>
      </c>
      <c r="AA76">
        <v>9.9638909999999997E-2</v>
      </c>
      <c r="AB76">
        <v>9.4228889999999996E-2</v>
      </c>
      <c r="AC76">
        <f t="shared" si="2"/>
        <v>9.9774062500000024E-2</v>
      </c>
      <c r="AD76">
        <f t="shared" si="3"/>
        <v>0.10049090999999999</v>
      </c>
    </row>
    <row r="77" spans="1:30" x14ac:dyDescent="0.25">
      <c r="A77" t="s">
        <v>408</v>
      </c>
      <c r="B77" t="s">
        <v>436</v>
      </c>
      <c r="C77">
        <v>34</v>
      </c>
      <c r="D77" t="s">
        <v>2</v>
      </c>
      <c r="E77">
        <v>1.66056822</v>
      </c>
      <c r="F77">
        <v>1.65410608</v>
      </c>
      <c r="G77">
        <v>1.6801408799999999</v>
      </c>
      <c r="H77">
        <v>1.7164828999999999</v>
      </c>
      <c r="I77">
        <v>1.72938196</v>
      </c>
      <c r="J77">
        <v>1.82263</v>
      </c>
      <c r="K77">
        <v>1.7298785999999999</v>
      </c>
      <c r="L77">
        <v>1.48715065</v>
      </c>
      <c r="M77">
        <v>1.2718601199999999</v>
      </c>
      <c r="N77">
        <v>1.1554348999999999</v>
      </c>
      <c r="O77">
        <v>1.0039305999999999</v>
      </c>
      <c r="P77">
        <v>0.98471975</v>
      </c>
      <c r="Q77">
        <v>1.0257303799999999</v>
      </c>
      <c r="R77">
        <v>1.00034548</v>
      </c>
      <c r="S77">
        <v>1.0500676799999999</v>
      </c>
      <c r="T77">
        <v>1.0521900399999999</v>
      </c>
      <c r="U77">
        <v>1.1172945000000001</v>
      </c>
      <c r="V77">
        <v>1.2684205</v>
      </c>
      <c r="W77">
        <v>1.4922208400000001</v>
      </c>
      <c r="X77">
        <v>1.5360473800000001</v>
      </c>
      <c r="Y77">
        <v>1.4828613100000001</v>
      </c>
      <c r="Z77">
        <v>1.4979709999999999</v>
      </c>
      <c r="AA77">
        <v>1.5981700599999999</v>
      </c>
      <c r="AB77">
        <v>1.6864274500000001</v>
      </c>
      <c r="AC77">
        <f t="shared" si="2"/>
        <v>1.4043346366666665</v>
      </c>
      <c r="AD77">
        <f t="shared" si="3"/>
        <v>1.4896857450000001</v>
      </c>
    </row>
    <row r="78" spans="1:30" x14ac:dyDescent="0.25">
      <c r="A78" t="s">
        <v>408</v>
      </c>
      <c r="B78" t="s">
        <v>436</v>
      </c>
      <c r="C78">
        <v>34</v>
      </c>
      <c r="D78" t="s">
        <v>3</v>
      </c>
      <c r="E78">
        <v>4.1357301200000002E-2</v>
      </c>
      <c r="F78">
        <v>0.67098981430000004</v>
      </c>
      <c r="G78">
        <v>0.67030588300000005</v>
      </c>
      <c r="H78">
        <v>0.82475622150000005</v>
      </c>
      <c r="I78">
        <v>4.3071142600000001E-2</v>
      </c>
      <c r="J78">
        <v>0.90696627090000004</v>
      </c>
      <c r="K78">
        <v>0.36993129260000002</v>
      </c>
      <c r="L78">
        <v>0.2848160951</v>
      </c>
      <c r="M78">
        <v>0.60299773440000004</v>
      </c>
      <c r="N78">
        <v>0.1706386469</v>
      </c>
      <c r="O78">
        <v>0.13142354310000001</v>
      </c>
      <c r="P78">
        <v>0.1196401686</v>
      </c>
      <c r="Q78">
        <v>0.47474740630000001</v>
      </c>
      <c r="R78">
        <v>0.40579116170000001</v>
      </c>
      <c r="S78">
        <v>0.41893305009999998</v>
      </c>
      <c r="T78">
        <v>0.29420908839999999</v>
      </c>
      <c r="U78">
        <v>0.2469173321</v>
      </c>
      <c r="V78">
        <v>0.4222418785</v>
      </c>
      <c r="W78">
        <v>0.69586747869999999</v>
      </c>
      <c r="X78">
        <v>0.70938677049999999</v>
      </c>
      <c r="Y78">
        <v>0.2714884487</v>
      </c>
      <c r="Z78">
        <v>0.28340198970000002</v>
      </c>
      <c r="AA78">
        <v>0.29895763739999998</v>
      </c>
      <c r="AB78">
        <v>0.32363118689999998</v>
      </c>
      <c r="AC78">
        <f t="shared" si="2"/>
        <v>0.40343614763333324</v>
      </c>
      <c r="AD78">
        <f t="shared" si="3"/>
        <v>0.34678123974999997</v>
      </c>
    </row>
    <row r="79" spans="1:30" x14ac:dyDescent="0.25">
      <c r="A79" t="s">
        <v>408</v>
      </c>
      <c r="B79" t="s">
        <v>436</v>
      </c>
      <c r="C79">
        <v>34</v>
      </c>
      <c r="D79" t="s">
        <v>4</v>
      </c>
      <c r="E79">
        <v>5.1357779999999999E-2</v>
      </c>
      <c r="F79">
        <v>5.1157920000000003E-2</v>
      </c>
      <c r="G79">
        <v>5.1963120000000002E-2</v>
      </c>
      <c r="H79">
        <v>5.3087099999999998E-2</v>
      </c>
      <c r="I79">
        <v>5.3486039999999999E-2</v>
      </c>
      <c r="J79">
        <v>5.6370000000000003E-2</v>
      </c>
      <c r="K79">
        <v>5.3501399999999998E-2</v>
      </c>
      <c r="L79">
        <v>4.5994350000000003E-2</v>
      </c>
      <c r="M79">
        <v>3.9335879999999997E-2</v>
      </c>
      <c r="N79">
        <v>3.5735099999999999E-2</v>
      </c>
      <c r="O79">
        <v>3.1049400000000001E-2</v>
      </c>
      <c r="P79">
        <v>3.045525E-2</v>
      </c>
      <c r="Q79">
        <v>3.1723620000000001E-2</v>
      </c>
      <c r="R79">
        <v>3.0938520000000001E-2</v>
      </c>
      <c r="S79">
        <v>3.2476320000000003E-2</v>
      </c>
      <c r="T79">
        <v>3.2541960000000002E-2</v>
      </c>
      <c r="U79">
        <v>3.4555500000000003E-2</v>
      </c>
      <c r="V79">
        <v>3.92295E-2</v>
      </c>
      <c r="W79">
        <v>4.6151159999999997E-2</v>
      </c>
      <c r="X79">
        <v>4.7506619999999999E-2</v>
      </c>
      <c r="Y79">
        <v>4.5861689999999997E-2</v>
      </c>
      <c r="Z79">
        <v>4.6329000000000002E-2</v>
      </c>
      <c r="AA79">
        <v>4.9427939999999997E-2</v>
      </c>
      <c r="AB79">
        <v>5.2157549999999997E-2</v>
      </c>
      <c r="AC79">
        <f t="shared" si="2"/>
        <v>4.3433029999999984E-2</v>
      </c>
      <c r="AD79">
        <f t="shared" si="3"/>
        <v>4.6072755E-2</v>
      </c>
    </row>
    <row r="80" spans="1:30" x14ac:dyDescent="0.25">
      <c r="A80" t="s">
        <v>408</v>
      </c>
      <c r="B80" t="s">
        <v>444</v>
      </c>
      <c r="C80">
        <v>115</v>
      </c>
      <c r="D80" t="s">
        <v>2</v>
      </c>
      <c r="E80">
        <v>16.493953049999998</v>
      </c>
      <c r="F80">
        <v>16.172737654999999</v>
      </c>
      <c r="G80">
        <v>16.755889175</v>
      </c>
      <c r="H80">
        <v>16.537426024999998</v>
      </c>
      <c r="I80">
        <v>16.371706669999998</v>
      </c>
      <c r="J80">
        <v>16.141085664999999</v>
      </c>
      <c r="K80">
        <v>16.643646454999999</v>
      </c>
      <c r="L80">
        <v>15.410749535000001</v>
      </c>
      <c r="M80">
        <v>14.36403436</v>
      </c>
      <c r="N80">
        <v>14.418515695</v>
      </c>
      <c r="O80">
        <v>14.888169605</v>
      </c>
      <c r="P80">
        <v>15.519058165000001</v>
      </c>
      <c r="Q80">
        <v>16.002916760000002</v>
      </c>
      <c r="R80">
        <v>16.135948890000002</v>
      </c>
      <c r="S80">
        <v>15.958387865000001</v>
      </c>
      <c r="T80">
        <v>16.699771755</v>
      </c>
      <c r="U80">
        <v>17.38765931</v>
      </c>
      <c r="V80">
        <v>17.540830750000001</v>
      </c>
      <c r="W80">
        <v>18.353604485000002</v>
      </c>
      <c r="X80">
        <v>19.017275815000001</v>
      </c>
      <c r="Y80">
        <v>19.44698305</v>
      </c>
      <c r="Z80">
        <v>19.169054464999999</v>
      </c>
      <c r="AA80">
        <v>17.999555099999998</v>
      </c>
      <c r="AB80">
        <v>16.695446619999998</v>
      </c>
      <c r="AC80">
        <f t="shared" si="2"/>
        <v>16.671850288333331</v>
      </c>
      <c r="AD80">
        <f t="shared" si="3"/>
        <v>16.515689537499998</v>
      </c>
    </row>
    <row r="81" spans="1:30" x14ac:dyDescent="0.25">
      <c r="A81" t="s">
        <v>408</v>
      </c>
      <c r="B81" t="s">
        <v>444</v>
      </c>
      <c r="C81">
        <v>115</v>
      </c>
      <c r="D81" t="s">
        <v>3</v>
      </c>
      <c r="E81">
        <v>4.9679451940000003</v>
      </c>
      <c r="F81">
        <v>4.9839888498000002</v>
      </c>
      <c r="G81">
        <v>5.0061596041999996</v>
      </c>
      <c r="H81">
        <v>4.7544650301000004</v>
      </c>
      <c r="I81">
        <v>4.6862584825000004</v>
      </c>
      <c r="J81">
        <v>4.7762435894999999</v>
      </c>
      <c r="K81">
        <v>4.3655202214999997</v>
      </c>
      <c r="L81">
        <v>3.4474366868000001</v>
      </c>
      <c r="M81">
        <v>3.3276200836999998</v>
      </c>
      <c r="N81">
        <v>3.6079437620000001</v>
      </c>
      <c r="O81">
        <v>3.5145510358999998</v>
      </c>
      <c r="P81">
        <v>3.9427419143</v>
      </c>
      <c r="Q81">
        <v>4.4676177686000003</v>
      </c>
      <c r="R81">
        <v>4.2608269001999997</v>
      </c>
      <c r="S81">
        <v>4.3453642678</v>
      </c>
      <c r="T81">
        <v>4.3350285171999996</v>
      </c>
      <c r="U81">
        <v>4.9469163391000004</v>
      </c>
      <c r="V81">
        <v>6.0481398950000003</v>
      </c>
      <c r="W81">
        <v>6.5997914839999998</v>
      </c>
      <c r="X81">
        <v>6.4594616821999997</v>
      </c>
      <c r="Y81">
        <v>6.0513767974999997</v>
      </c>
      <c r="Z81">
        <v>5.7649756623000004</v>
      </c>
      <c r="AA81">
        <v>5.2978323475</v>
      </c>
      <c r="AB81">
        <v>4.842923045</v>
      </c>
      <c r="AC81">
        <f t="shared" si="2"/>
        <v>4.7833803816958342</v>
      </c>
      <c r="AD81">
        <f t="shared" si="3"/>
        <v>4.7653543098000002</v>
      </c>
    </row>
    <row r="82" spans="1:30" x14ac:dyDescent="0.25">
      <c r="A82" t="s">
        <v>408</v>
      </c>
      <c r="B82" t="s">
        <v>444</v>
      </c>
      <c r="C82">
        <v>115</v>
      </c>
      <c r="D82" t="s">
        <v>4</v>
      </c>
      <c r="E82">
        <v>0.25117695000000001</v>
      </c>
      <c r="F82">
        <v>0.24628534499999999</v>
      </c>
      <c r="G82">
        <v>0.25516582500000001</v>
      </c>
      <c r="H82">
        <v>0.25183897500000002</v>
      </c>
      <c r="I82">
        <v>0.24931533</v>
      </c>
      <c r="J82">
        <v>0.24580333500000001</v>
      </c>
      <c r="K82">
        <v>0.25345654499999998</v>
      </c>
      <c r="L82">
        <v>0.23468146500000001</v>
      </c>
      <c r="M82">
        <v>0.21874163999999999</v>
      </c>
      <c r="N82">
        <v>0.21957130499999999</v>
      </c>
      <c r="O82">
        <v>0.22672339499999999</v>
      </c>
      <c r="P82">
        <v>0.23633083499999999</v>
      </c>
      <c r="Q82">
        <v>0.24369924000000001</v>
      </c>
      <c r="R82">
        <v>0.24572511</v>
      </c>
      <c r="S82">
        <v>0.243021135</v>
      </c>
      <c r="T82">
        <v>0.25431124500000002</v>
      </c>
      <c r="U82">
        <v>0.26478668999999999</v>
      </c>
      <c r="V82">
        <v>0.26711924999999997</v>
      </c>
      <c r="W82">
        <v>0.279496515</v>
      </c>
      <c r="X82">
        <v>0.28960318499999999</v>
      </c>
      <c r="Y82">
        <v>0.29614695000000002</v>
      </c>
      <c r="Z82">
        <v>0.29191453499999998</v>
      </c>
      <c r="AA82">
        <v>0.27410489999999998</v>
      </c>
      <c r="AB82">
        <v>0.25424538000000002</v>
      </c>
      <c r="AC82">
        <f t="shared" si="2"/>
        <v>0.25388604500000006</v>
      </c>
      <c r="AD82">
        <f t="shared" si="3"/>
        <v>0.25150796250000002</v>
      </c>
    </row>
    <row r="83" spans="1:30" x14ac:dyDescent="0.25">
      <c r="A83" t="s">
        <v>408</v>
      </c>
      <c r="B83" t="s">
        <v>446</v>
      </c>
      <c r="C83">
        <v>220</v>
      </c>
      <c r="D83" t="s">
        <v>2</v>
      </c>
      <c r="E83">
        <v>1.4228259999999999</v>
      </c>
      <c r="F83">
        <v>1.3471310000000001</v>
      </c>
      <c r="G83">
        <v>1.3133539999999999</v>
      </c>
      <c r="H83">
        <v>1.2798259999999999</v>
      </c>
      <c r="I83">
        <v>1.4284760000000001</v>
      </c>
      <c r="J83">
        <v>1.904091</v>
      </c>
      <c r="K83">
        <v>2.2897020000000001</v>
      </c>
      <c r="L83">
        <v>2.132825</v>
      </c>
      <c r="M83">
        <v>1.969644</v>
      </c>
      <c r="N83">
        <v>1.983355</v>
      </c>
      <c r="O83">
        <v>2.2075580000000001</v>
      </c>
      <c r="P83">
        <v>2.4618769999999999</v>
      </c>
      <c r="Q83">
        <v>2.6029629999999999</v>
      </c>
      <c r="R83">
        <v>2.4898600000000002</v>
      </c>
      <c r="S83">
        <v>2.3755829999999998</v>
      </c>
      <c r="T83">
        <v>2.282743</v>
      </c>
      <c r="U83">
        <v>2.4251299999999998</v>
      </c>
      <c r="V83">
        <v>2.6363919999999998</v>
      </c>
      <c r="W83">
        <v>3.04989</v>
      </c>
      <c r="X83">
        <v>2.964289</v>
      </c>
      <c r="Y83">
        <v>2.658982</v>
      </c>
      <c r="Z83">
        <v>2.1871749999999999</v>
      </c>
      <c r="AA83">
        <v>1.755263</v>
      </c>
      <c r="AB83">
        <v>1.535649</v>
      </c>
      <c r="AC83">
        <f t="shared" si="2"/>
        <v>2.1126910000000003</v>
      </c>
      <c r="AD83">
        <f t="shared" si="3"/>
        <v>2.1973665000000002</v>
      </c>
    </row>
    <row r="84" spans="1:30" x14ac:dyDescent="0.25">
      <c r="A84" t="s">
        <v>408</v>
      </c>
      <c r="B84" t="s">
        <v>446</v>
      </c>
      <c r="C84">
        <v>220</v>
      </c>
      <c r="D84" t="s">
        <v>3</v>
      </c>
      <c r="E84">
        <v>0.44021864420000001</v>
      </c>
      <c r="F84">
        <v>0.42537369860000002</v>
      </c>
      <c r="G84">
        <v>0.41446830400000001</v>
      </c>
      <c r="H84">
        <v>0.33671315660000001</v>
      </c>
      <c r="I84">
        <v>0.33832513349999999</v>
      </c>
      <c r="J84">
        <v>0.31632233869999998</v>
      </c>
      <c r="K84">
        <v>0.31737352340000002</v>
      </c>
      <c r="L84">
        <v>0.39402167910000002</v>
      </c>
      <c r="M84">
        <v>0.51145953150000001</v>
      </c>
      <c r="N84">
        <v>0.46122713929999998</v>
      </c>
      <c r="O84">
        <v>0.55142995900000003</v>
      </c>
      <c r="P84">
        <v>0.50093500970000004</v>
      </c>
      <c r="Q84">
        <v>0.51963492200000005</v>
      </c>
      <c r="R84">
        <v>0.59346208509999998</v>
      </c>
      <c r="S84">
        <v>0.58723044179999995</v>
      </c>
      <c r="T84">
        <v>0.543158272</v>
      </c>
      <c r="U84">
        <v>0.51715244839999996</v>
      </c>
      <c r="V84">
        <v>0.51127398800000001</v>
      </c>
      <c r="W84">
        <v>0.44137425120000001</v>
      </c>
      <c r="X84">
        <v>0.41590955880000002</v>
      </c>
      <c r="Y84">
        <v>0.4445567084</v>
      </c>
      <c r="Z84">
        <v>0.44549628419999998</v>
      </c>
      <c r="AA84">
        <v>0.48854653419999999</v>
      </c>
      <c r="AB84">
        <v>0.4649688233</v>
      </c>
      <c r="AC84">
        <f t="shared" si="2"/>
        <v>0.45752635145833326</v>
      </c>
      <c r="AD84">
        <f t="shared" si="3"/>
        <v>0.45336171174999995</v>
      </c>
    </row>
    <row r="85" spans="1:30" x14ac:dyDescent="0.25">
      <c r="A85" t="s">
        <v>408</v>
      </c>
      <c r="B85" t="s">
        <v>446</v>
      </c>
      <c r="C85">
        <v>220</v>
      </c>
      <c r="D85" t="s">
        <v>4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f t="shared" si="2"/>
        <v>0</v>
      </c>
      <c r="AD85">
        <f t="shared" si="3"/>
        <v>0</v>
      </c>
    </row>
    <row r="86" spans="1:30" x14ac:dyDescent="0.25">
      <c r="A86" t="s">
        <v>408</v>
      </c>
      <c r="B86" t="s">
        <v>448</v>
      </c>
      <c r="C86">
        <v>115</v>
      </c>
      <c r="D86" t="s">
        <v>2</v>
      </c>
      <c r="E86">
        <v>1.5047805599999999</v>
      </c>
      <c r="F86">
        <v>1.4191850450000001</v>
      </c>
      <c r="G86">
        <v>1.41418026</v>
      </c>
      <c r="H86">
        <v>1.3805622099999999</v>
      </c>
      <c r="I86">
        <v>1.4016776550000001</v>
      </c>
      <c r="J86">
        <v>1.4306750699999999</v>
      </c>
      <c r="K86">
        <v>1.435226755</v>
      </c>
      <c r="L86">
        <v>1.501789115</v>
      </c>
      <c r="M86">
        <v>1.6284482950000001</v>
      </c>
      <c r="N86">
        <v>1.8624744449999999</v>
      </c>
      <c r="O86">
        <v>2.0065001599999999</v>
      </c>
      <c r="P86">
        <v>2.1313863400000002</v>
      </c>
      <c r="Q86">
        <v>2.2495912649999998</v>
      </c>
      <c r="R86">
        <v>2.19618555</v>
      </c>
      <c r="S86">
        <v>2.1753961400000001</v>
      </c>
      <c r="T86">
        <v>2.0997284399999998</v>
      </c>
      <c r="U86">
        <v>2.0880226999999998</v>
      </c>
      <c r="V86">
        <v>2.0740140299999998</v>
      </c>
      <c r="W86">
        <v>2.0178759249999998</v>
      </c>
      <c r="X86">
        <v>1.9363041350000001</v>
      </c>
      <c r="Y86">
        <v>1.8643134400000001</v>
      </c>
      <c r="Z86">
        <v>1.75515574</v>
      </c>
      <c r="AA86">
        <v>1.680730125</v>
      </c>
      <c r="AB86">
        <v>1.6021182599999999</v>
      </c>
      <c r="AC86">
        <f t="shared" si="2"/>
        <v>1.7856800691666666</v>
      </c>
      <c r="AD86">
        <f t="shared" si="3"/>
        <v>1.8088150924999999</v>
      </c>
    </row>
    <row r="87" spans="1:30" x14ac:dyDescent="0.25">
      <c r="A87" t="s">
        <v>408</v>
      </c>
      <c r="B87" t="s">
        <v>448</v>
      </c>
      <c r="C87">
        <v>115</v>
      </c>
      <c r="D87" t="s">
        <v>3</v>
      </c>
      <c r="E87">
        <v>4.8546659200000002E-2</v>
      </c>
      <c r="F87">
        <v>0.1585143363</v>
      </c>
      <c r="G87">
        <v>0.29707480600000002</v>
      </c>
      <c r="H87">
        <v>5.6283404600000003E-2</v>
      </c>
      <c r="I87">
        <v>0.1959434229</v>
      </c>
      <c r="J87">
        <v>0.4741379147</v>
      </c>
      <c r="K87">
        <v>0.1016765999</v>
      </c>
      <c r="L87">
        <v>9.4165369999999998E-2</v>
      </c>
      <c r="M87">
        <v>0.42362111050000001</v>
      </c>
      <c r="N87">
        <v>0.41367650569999997</v>
      </c>
      <c r="O87">
        <v>0.377031581</v>
      </c>
      <c r="P87">
        <v>0.15310250780000001</v>
      </c>
      <c r="Q87">
        <v>7.4641379399999999E-2</v>
      </c>
      <c r="R87">
        <v>0.16261331479999999</v>
      </c>
      <c r="S87">
        <v>0.15224544800000001</v>
      </c>
      <c r="T87">
        <v>0.39100390419999997</v>
      </c>
      <c r="U87">
        <v>0.32821602459999999</v>
      </c>
      <c r="V87">
        <v>0.16710217829999999</v>
      </c>
      <c r="W87">
        <v>0.35156235450000001</v>
      </c>
      <c r="X87">
        <v>9.1719790400000001E-2</v>
      </c>
      <c r="Y87">
        <v>0.2830504694</v>
      </c>
      <c r="Z87">
        <v>0.22672068619999999</v>
      </c>
      <c r="AA87">
        <v>4.5733398600000003E-2</v>
      </c>
      <c r="AB87">
        <v>0.25790114240000001</v>
      </c>
      <c r="AC87">
        <f t="shared" si="2"/>
        <v>0.22192851289166671</v>
      </c>
      <c r="AD87">
        <f t="shared" si="3"/>
        <v>0.18152280059999998</v>
      </c>
    </row>
    <row r="88" spans="1:30" x14ac:dyDescent="0.25">
      <c r="A88" t="s">
        <v>408</v>
      </c>
      <c r="B88" t="s">
        <v>448</v>
      </c>
      <c r="C88">
        <v>115</v>
      </c>
      <c r="D88" t="s">
        <v>4</v>
      </c>
      <c r="E88">
        <v>2.2915439999999999E-2</v>
      </c>
      <c r="F88">
        <v>2.1611954999999999E-2</v>
      </c>
      <c r="G88">
        <v>2.1535740000000001E-2</v>
      </c>
      <c r="H88">
        <v>2.1023790000000001E-2</v>
      </c>
      <c r="I88">
        <v>2.1345345000000002E-2</v>
      </c>
      <c r="J88">
        <v>2.1786929999999999E-2</v>
      </c>
      <c r="K88">
        <v>2.1856245E-2</v>
      </c>
      <c r="L88">
        <v>2.2869885E-2</v>
      </c>
      <c r="M88">
        <v>2.4798705000000001E-2</v>
      </c>
      <c r="N88">
        <v>2.8362555000000001E-2</v>
      </c>
      <c r="O88">
        <v>3.0555840000000001E-2</v>
      </c>
      <c r="P88">
        <v>3.2457659999999999E-2</v>
      </c>
      <c r="Q88">
        <v>3.4257734999999997E-2</v>
      </c>
      <c r="R88">
        <v>3.3444450000000001E-2</v>
      </c>
      <c r="S88">
        <v>3.3127860000000002E-2</v>
      </c>
      <c r="T88">
        <v>3.197556E-2</v>
      </c>
      <c r="U88">
        <v>3.1797300000000001E-2</v>
      </c>
      <c r="V88">
        <v>3.1583970000000003E-2</v>
      </c>
      <c r="W88">
        <v>3.0729075000000002E-2</v>
      </c>
      <c r="X88">
        <v>2.9486865000000001E-2</v>
      </c>
      <c r="Y88">
        <v>2.8390559999999999E-2</v>
      </c>
      <c r="Z88">
        <v>2.672826E-2</v>
      </c>
      <c r="AA88">
        <v>2.5594875E-2</v>
      </c>
      <c r="AB88">
        <v>2.4397740000000001E-2</v>
      </c>
      <c r="AC88">
        <f t="shared" si="2"/>
        <v>2.7193097499999996E-2</v>
      </c>
      <c r="AD88">
        <f t="shared" si="3"/>
        <v>2.7545407500000001E-2</v>
      </c>
    </row>
    <row r="89" spans="1:30" x14ac:dyDescent="0.25">
      <c r="A89" t="s">
        <v>408</v>
      </c>
      <c r="B89" t="s">
        <v>452</v>
      </c>
      <c r="C89">
        <v>115</v>
      </c>
      <c r="D89" t="s">
        <v>2</v>
      </c>
      <c r="E89">
        <v>9.8410946149999994</v>
      </c>
      <c r="F89">
        <v>9.8854501500000005</v>
      </c>
      <c r="G89">
        <v>9.2135964250000004</v>
      </c>
      <c r="H89">
        <v>10.324897065</v>
      </c>
      <c r="I89">
        <v>9.6425777149999998</v>
      </c>
      <c r="J89">
        <v>10.06415082</v>
      </c>
      <c r="K89">
        <v>9.7141044749999992</v>
      </c>
      <c r="L89">
        <v>8.7683291449999992</v>
      </c>
      <c r="M89">
        <v>7.9457024550000002</v>
      </c>
      <c r="N89">
        <v>7.4043336499999999</v>
      </c>
      <c r="O89">
        <v>6.8651170700000002</v>
      </c>
      <c r="P89">
        <v>7.4460897700000004</v>
      </c>
      <c r="Q89">
        <v>7.1432239400000004</v>
      </c>
      <c r="R89">
        <v>7.6676615799999999</v>
      </c>
      <c r="S89">
        <v>8.2210867850000007</v>
      </c>
      <c r="T89">
        <v>9.0886797099999992</v>
      </c>
      <c r="U89">
        <v>10.258992685000001</v>
      </c>
      <c r="V89">
        <v>11.367261494999999</v>
      </c>
      <c r="W89">
        <v>13.082185895</v>
      </c>
      <c r="X89">
        <v>11.706190145000001</v>
      </c>
      <c r="Y89">
        <v>13.216249319999999</v>
      </c>
      <c r="Z89">
        <v>12.11745818</v>
      </c>
      <c r="AA89">
        <v>11.533726495</v>
      </c>
      <c r="AB89">
        <v>10.76432625</v>
      </c>
      <c r="AC89">
        <f t="shared" si="2"/>
        <v>9.7201035764583352</v>
      </c>
      <c r="AD89">
        <f t="shared" si="3"/>
        <v>9.7775995449999993</v>
      </c>
    </row>
    <row r="90" spans="1:30" x14ac:dyDescent="0.25">
      <c r="A90" t="s">
        <v>408</v>
      </c>
      <c r="B90" t="s">
        <v>452</v>
      </c>
      <c r="C90">
        <v>115</v>
      </c>
      <c r="D90" t="s">
        <v>3</v>
      </c>
      <c r="E90">
        <v>1.2194457726000001</v>
      </c>
      <c r="F90">
        <v>1.1405357821</v>
      </c>
      <c r="G90">
        <v>1.0847999712</v>
      </c>
      <c r="H90">
        <v>1.2075607549</v>
      </c>
      <c r="I90">
        <v>1.1820429990000001</v>
      </c>
      <c r="J90">
        <v>0.6762656816</v>
      </c>
      <c r="K90">
        <v>0.88344733710000001</v>
      </c>
      <c r="L90">
        <v>0.82243109640000001</v>
      </c>
      <c r="M90">
        <v>0.82910327340000001</v>
      </c>
      <c r="N90">
        <v>0.71031620080000002</v>
      </c>
      <c r="O90">
        <v>0.71835190299999996</v>
      </c>
      <c r="P90">
        <v>0.6862421433</v>
      </c>
      <c r="Q90">
        <v>0.73061483839999997</v>
      </c>
      <c r="R90">
        <v>0.74843397909999998</v>
      </c>
      <c r="S90">
        <v>0.67664195549999995</v>
      </c>
      <c r="T90">
        <v>0.84656776990000004</v>
      </c>
      <c r="U90">
        <v>0.77756344980000003</v>
      </c>
      <c r="V90">
        <v>0.94944138609999995</v>
      </c>
      <c r="W90">
        <v>1.1587795620000001</v>
      </c>
      <c r="X90">
        <v>1.4783330524</v>
      </c>
      <c r="Y90">
        <v>1.1338570970999999</v>
      </c>
      <c r="Z90">
        <v>1.0017875688</v>
      </c>
      <c r="AA90">
        <v>1.1762379888000001</v>
      </c>
      <c r="AB90">
        <v>1.4342400975</v>
      </c>
      <c r="AC90">
        <f t="shared" si="2"/>
        <v>0.96971006920000014</v>
      </c>
      <c r="AD90">
        <f t="shared" si="3"/>
        <v>0.91644436159999998</v>
      </c>
    </row>
    <row r="91" spans="1:30" x14ac:dyDescent="0.25">
      <c r="A91" t="s">
        <v>408</v>
      </c>
      <c r="B91" t="s">
        <v>452</v>
      </c>
      <c r="C91">
        <v>115</v>
      </c>
      <c r="D91" t="s">
        <v>4</v>
      </c>
      <c r="E91">
        <v>0.14986438499999999</v>
      </c>
      <c r="F91">
        <v>0.15053985</v>
      </c>
      <c r="G91">
        <v>0.14030857499999999</v>
      </c>
      <c r="H91">
        <v>0.15723193499999999</v>
      </c>
      <c r="I91">
        <v>0.14684128499999999</v>
      </c>
      <c r="J91">
        <v>0.15326118</v>
      </c>
      <c r="K91">
        <v>0.14793052500000001</v>
      </c>
      <c r="L91">
        <v>0.133527855</v>
      </c>
      <c r="M91">
        <v>0.121000545</v>
      </c>
      <c r="N91">
        <v>0.11275635000000001</v>
      </c>
      <c r="O91">
        <v>0.10454492999999999</v>
      </c>
      <c r="P91">
        <v>0.11339223</v>
      </c>
      <c r="Q91">
        <v>0.10878006</v>
      </c>
      <c r="R91">
        <v>0.11676642</v>
      </c>
      <c r="S91">
        <v>0.125194215</v>
      </c>
      <c r="T91">
        <v>0.13840628999999999</v>
      </c>
      <c r="U91">
        <v>0.15622831500000001</v>
      </c>
      <c r="V91">
        <v>0.17310550499999999</v>
      </c>
      <c r="W91">
        <v>0.19922110500000001</v>
      </c>
      <c r="X91">
        <v>0.178266855</v>
      </c>
      <c r="Y91">
        <v>0.20126268</v>
      </c>
      <c r="Z91">
        <v>0.18452982000000001</v>
      </c>
      <c r="AA91">
        <v>0.175640505</v>
      </c>
      <c r="AB91">
        <v>0.16392375000000001</v>
      </c>
      <c r="AC91">
        <f t="shared" si="2"/>
        <v>0.14802188187500001</v>
      </c>
      <c r="AD91">
        <f t="shared" si="3"/>
        <v>0.14889745500000001</v>
      </c>
    </row>
    <row r="92" spans="1:30" x14ac:dyDescent="0.25">
      <c r="A92" t="s">
        <v>408</v>
      </c>
      <c r="B92" t="s">
        <v>453</v>
      </c>
      <c r="C92">
        <v>115</v>
      </c>
      <c r="D92" t="s">
        <v>2</v>
      </c>
      <c r="E92">
        <v>8.0040902999999997</v>
      </c>
      <c r="F92">
        <v>7.7824515099999996</v>
      </c>
      <c r="G92">
        <v>7.7351360500000004</v>
      </c>
      <c r="H92">
        <v>7.7583308300000002</v>
      </c>
      <c r="I92">
        <v>7.8327485650000002</v>
      </c>
      <c r="J92">
        <v>8.0540662449999996</v>
      </c>
      <c r="K92">
        <v>8.0572202149999992</v>
      </c>
      <c r="L92">
        <v>7.6064625450000003</v>
      </c>
      <c r="M92">
        <v>7.319593115</v>
      </c>
      <c r="N92">
        <v>6.6952262400000002</v>
      </c>
      <c r="O92">
        <v>6.358335555</v>
      </c>
      <c r="P92">
        <v>6.6020974450000001</v>
      </c>
      <c r="Q92">
        <v>7.0014686499999996</v>
      </c>
      <c r="R92">
        <v>7.3290560100000004</v>
      </c>
      <c r="S92">
        <v>7.4443955700000002</v>
      </c>
      <c r="T92">
        <v>7.8308711549999996</v>
      </c>
      <c r="U92">
        <v>8.5673861900000006</v>
      </c>
      <c r="V92">
        <v>9.6014057000000008</v>
      </c>
      <c r="W92">
        <v>10.75444867</v>
      </c>
      <c r="X92">
        <v>10.665042189999999</v>
      </c>
      <c r="Y92">
        <v>10.431100750000001</v>
      </c>
      <c r="Z92">
        <v>9.9252342999999996</v>
      </c>
      <c r="AA92">
        <v>9.1588520950000003</v>
      </c>
      <c r="AB92">
        <v>8.6997711750000004</v>
      </c>
    </row>
    <row r="93" spans="1:30" x14ac:dyDescent="0.25">
      <c r="A93" t="s">
        <v>408</v>
      </c>
      <c r="B93" t="s">
        <v>453</v>
      </c>
      <c r="C93">
        <v>115</v>
      </c>
      <c r="D93" t="s">
        <v>3</v>
      </c>
      <c r="E93">
        <v>0.77038575279999999</v>
      </c>
      <c r="F93">
        <v>0.68756549290000002</v>
      </c>
      <c r="G93">
        <v>0.71627323300000001</v>
      </c>
      <c r="H93">
        <v>0.71331166609999996</v>
      </c>
      <c r="I93">
        <v>0.72359662499999999</v>
      </c>
      <c r="J93">
        <v>0.69287582380000001</v>
      </c>
      <c r="K93">
        <v>0.60961073649999997</v>
      </c>
      <c r="L93">
        <v>0.70602023599999997</v>
      </c>
      <c r="M93">
        <v>0.78557229039999998</v>
      </c>
      <c r="N93">
        <v>0.85898628259999998</v>
      </c>
      <c r="O93">
        <v>0.96579117810000004</v>
      </c>
      <c r="P93">
        <v>1.0329802534999999</v>
      </c>
      <c r="Q93">
        <v>1.1202637845000001</v>
      </c>
      <c r="R93">
        <v>1.0700120322</v>
      </c>
      <c r="S93">
        <v>1.1108134488000001</v>
      </c>
      <c r="T93">
        <v>1.0195943953</v>
      </c>
      <c r="U93">
        <v>1.0735771705999999</v>
      </c>
      <c r="V93">
        <v>1.0724186103</v>
      </c>
      <c r="W93">
        <v>1.1754357375</v>
      </c>
      <c r="X93">
        <v>1.383559931</v>
      </c>
      <c r="Y93">
        <v>1.2882425206999999</v>
      </c>
      <c r="Z93">
        <v>1.1949797982999999</v>
      </c>
      <c r="AA93">
        <v>1.0894177987</v>
      </c>
      <c r="AB93">
        <v>0.97567134470000005</v>
      </c>
    </row>
    <row r="94" spans="1:30" x14ac:dyDescent="0.25">
      <c r="A94" t="s">
        <v>408</v>
      </c>
      <c r="B94" t="s">
        <v>453</v>
      </c>
      <c r="C94">
        <v>115</v>
      </c>
      <c r="D94" t="s">
        <v>4</v>
      </c>
      <c r="E94">
        <v>0.1218897</v>
      </c>
      <c r="F94">
        <v>0.11851449</v>
      </c>
      <c r="G94">
        <v>0.11779394999999999</v>
      </c>
      <c r="H94">
        <v>0.11814717</v>
      </c>
      <c r="I94">
        <v>0.119280435</v>
      </c>
      <c r="J94">
        <v>0.122650755</v>
      </c>
      <c r="K94">
        <v>0.122698785</v>
      </c>
      <c r="L94">
        <v>0.115834455</v>
      </c>
      <c r="M94">
        <v>0.111465885</v>
      </c>
      <c r="N94">
        <v>0.10195775999999999</v>
      </c>
      <c r="O94">
        <v>9.6827444999999998E-2</v>
      </c>
      <c r="P94">
        <v>0.100539555</v>
      </c>
      <c r="Q94">
        <v>0.10662135</v>
      </c>
      <c r="R94">
        <v>0.11160999000000001</v>
      </c>
      <c r="S94">
        <v>0.11336643</v>
      </c>
      <c r="T94">
        <v>0.119251845</v>
      </c>
      <c r="U94">
        <v>0.13046780999999999</v>
      </c>
      <c r="V94">
        <v>0.14621429999999999</v>
      </c>
      <c r="W94">
        <v>0.16377332999999999</v>
      </c>
      <c r="X94">
        <v>0.16241180999999999</v>
      </c>
      <c r="Y94">
        <v>0.15884925</v>
      </c>
      <c r="Z94">
        <v>0.15114569999999999</v>
      </c>
      <c r="AA94">
        <v>0.13947490500000001</v>
      </c>
      <c r="AB94">
        <v>0.132483825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6DB31-C6EB-4D3D-9DB1-3A8BCF739B9B}">
  <sheetPr filterMode="1"/>
  <dimension ref="A1:AD2518"/>
  <sheetViews>
    <sheetView topLeftCell="A2161" workbookViewId="0">
      <selection activeCell="A947" sqref="A947:AB2518"/>
    </sheetView>
  </sheetViews>
  <sheetFormatPr baseColWidth="10" defaultRowHeight="15" x14ac:dyDescent="0.25"/>
  <sheetData>
    <row r="1" spans="1:30" x14ac:dyDescent="0.25">
      <c r="A1" t="s">
        <v>569</v>
      </c>
      <c r="B1" t="s">
        <v>570</v>
      </c>
      <c r="C1" t="s">
        <v>571</v>
      </c>
      <c r="D1" t="s">
        <v>572</v>
      </c>
      <c r="E1" t="s">
        <v>573</v>
      </c>
      <c r="F1" t="s">
        <v>574</v>
      </c>
      <c r="G1" t="s">
        <v>575</v>
      </c>
      <c r="H1" t="s">
        <v>576</v>
      </c>
      <c r="I1" t="s">
        <v>577</v>
      </c>
      <c r="J1" t="s">
        <v>578</v>
      </c>
      <c r="K1" t="s">
        <v>579</v>
      </c>
      <c r="L1" t="s">
        <v>580</v>
      </c>
      <c r="M1" t="s">
        <v>581</v>
      </c>
      <c r="N1" t="s">
        <v>582</v>
      </c>
      <c r="O1" t="s">
        <v>583</v>
      </c>
      <c r="P1" t="s">
        <v>584</v>
      </c>
      <c r="Q1" t="s">
        <v>585</v>
      </c>
      <c r="R1" t="s">
        <v>586</v>
      </c>
      <c r="S1" t="s">
        <v>587</v>
      </c>
      <c r="T1" t="s">
        <v>588</v>
      </c>
      <c r="U1" t="s">
        <v>589</v>
      </c>
      <c r="V1" t="s">
        <v>590</v>
      </c>
      <c r="W1" t="s">
        <v>591</v>
      </c>
      <c r="X1" t="s">
        <v>592</v>
      </c>
      <c r="Y1" t="s">
        <v>593</v>
      </c>
      <c r="Z1" t="s">
        <v>594</v>
      </c>
      <c r="AA1" t="s">
        <v>595</v>
      </c>
      <c r="AB1" t="s">
        <v>596</v>
      </c>
      <c r="AC1" t="s">
        <v>597</v>
      </c>
      <c r="AD1" t="s">
        <v>599</v>
      </c>
    </row>
    <row r="2" spans="1:30" hidden="1" x14ac:dyDescent="0.25">
      <c r="A2" t="s">
        <v>0</v>
      </c>
      <c r="B2" t="s">
        <v>1</v>
      </c>
      <c r="C2">
        <v>115</v>
      </c>
      <c r="D2" t="s">
        <v>2</v>
      </c>
      <c r="E2">
        <v>10.776017215</v>
      </c>
      <c r="F2">
        <v>10.52869849</v>
      </c>
      <c r="G2">
        <v>10.467976195</v>
      </c>
      <c r="H2">
        <v>10.03074159</v>
      </c>
      <c r="I2">
        <v>10.349577225000001</v>
      </c>
      <c r="J2">
        <v>10.642960459999999</v>
      </c>
      <c r="K2">
        <v>1.509611</v>
      </c>
      <c r="L2">
        <v>0</v>
      </c>
      <c r="M2">
        <v>0</v>
      </c>
      <c r="N2">
        <v>0</v>
      </c>
      <c r="O2">
        <v>0</v>
      </c>
      <c r="P2">
        <v>4.2356044099999997</v>
      </c>
      <c r="Q2">
        <v>4.4653458099999996</v>
      </c>
      <c r="R2">
        <v>6.05607747</v>
      </c>
      <c r="S2">
        <v>5.8145495599999997</v>
      </c>
      <c r="T2">
        <v>5.844658055</v>
      </c>
      <c r="U2">
        <v>15.869223695000001</v>
      </c>
      <c r="V2">
        <v>16.417827325000001</v>
      </c>
      <c r="W2">
        <v>18.395930920000001</v>
      </c>
      <c r="X2">
        <v>18.126757999999999</v>
      </c>
      <c r="Y2">
        <v>16.755821210000001</v>
      </c>
      <c r="Z2">
        <v>14.96466569</v>
      </c>
      <c r="AA2">
        <v>13.18230031</v>
      </c>
      <c r="AB2">
        <v>12.18076216</v>
      </c>
      <c r="AC2">
        <f>AVERAGE(E2:AB2)</f>
        <v>9.0256294495833327</v>
      </c>
      <c r="AD2">
        <f>MEDIAN(E2:AB2)</f>
        <v>10.408776710000001</v>
      </c>
    </row>
    <row r="3" spans="1:30" hidden="1" x14ac:dyDescent="0.25">
      <c r="A3" t="s">
        <v>0</v>
      </c>
      <c r="B3" t="s">
        <v>1</v>
      </c>
      <c r="C3">
        <v>115</v>
      </c>
      <c r="D3" t="s">
        <v>3</v>
      </c>
      <c r="E3">
        <v>1.6781688518</v>
      </c>
      <c r="F3">
        <v>1.6880491048999999</v>
      </c>
      <c r="G3">
        <v>1.7644493003999999</v>
      </c>
      <c r="H3">
        <v>1.6153467998</v>
      </c>
      <c r="I3">
        <v>1.4483126200000001</v>
      </c>
      <c r="J3">
        <v>1.3135253448999999</v>
      </c>
      <c r="K3">
        <v>0</v>
      </c>
      <c r="L3">
        <v>0</v>
      </c>
      <c r="M3">
        <v>0</v>
      </c>
      <c r="N3">
        <v>0</v>
      </c>
      <c r="O3">
        <v>0</v>
      </c>
      <c r="P3">
        <v>0.7863419036</v>
      </c>
      <c r="Q3">
        <v>0.83906117940000002</v>
      </c>
      <c r="R3">
        <v>1.2373234127999999</v>
      </c>
      <c r="S3">
        <v>1.1386555603999999</v>
      </c>
      <c r="T3">
        <v>1.1054283555</v>
      </c>
      <c r="U3">
        <v>2.6303417802000002</v>
      </c>
      <c r="V3">
        <v>2.6119597033000002</v>
      </c>
      <c r="W3">
        <v>2.7703192840000002</v>
      </c>
      <c r="X3">
        <v>2.0411173903000002</v>
      </c>
      <c r="Y3">
        <v>1.2176330391000001</v>
      </c>
      <c r="Z3">
        <v>0.60268163949999998</v>
      </c>
      <c r="AA3">
        <v>0</v>
      </c>
      <c r="AB3">
        <v>0</v>
      </c>
      <c r="AC3">
        <f t="shared" ref="AC3:AC66" si="0">AVERAGE(E3:AB3)</f>
        <v>1.1036964695791667</v>
      </c>
      <c r="AD3">
        <f t="shared" ref="AD3:AD66" si="1">MEDIAN(E3:AB3)</f>
        <v>1.17814429975</v>
      </c>
    </row>
    <row r="4" spans="1:30" hidden="1" x14ac:dyDescent="0.25">
      <c r="A4" t="s">
        <v>0</v>
      </c>
      <c r="B4" t="s">
        <v>1</v>
      </c>
      <c r="C4">
        <v>115</v>
      </c>
      <c r="D4" t="s">
        <v>4</v>
      </c>
      <c r="E4">
        <v>0.164101785</v>
      </c>
      <c r="F4">
        <v>0.16033550999999999</v>
      </c>
      <c r="G4">
        <v>0.15941080499999999</v>
      </c>
      <c r="H4">
        <v>0.15275241000000001</v>
      </c>
      <c r="I4">
        <v>0.15760777500000001</v>
      </c>
      <c r="J4">
        <v>0.16207553999999999</v>
      </c>
      <c r="K4">
        <v>2.2988999999999999E-2</v>
      </c>
      <c r="L4">
        <v>0</v>
      </c>
      <c r="M4">
        <v>0</v>
      </c>
      <c r="N4">
        <v>0</v>
      </c>
      <c r="O4">
        <v>0</v>
      </c>
      <c r="P4">
        <v>6.4501589999999998E-2</v>
      </c>
      <c r="Q4">
        <v>6.8000190000000002E-2</v>
      </c>
      <c r="R4">
        <v>9.2224529999999999E-2</v>
      </c>
      <c r="S4">
        <v>8.8546440000000004E-2</v>
      </c>
      <c r="T4">
        <v>8.9004945000000002E-2</v>
      </c>
      <c r="U4">
        <v>0.24166330499999999</v>
      </c>
      <c r="V4">
        <v>0.25001767499999999</v>
      </c>
      <c r="W4">
        <v>0.28014107999999999</v>
      </c>
      <c r="X4">
        <v>0.27604200000000001</v>
      </c>
      <c r="Y4">
        <v>0.25516478999999997</v>
      </c>
      <c r="Z4">
        <v>0.22788831000000001</v>
      </c>
      <c r="AA4">
        <v>0.20074569</v>
      </c>
      <c r="AB4">
        <v>0.18549383999999999</v>
      </c>
      <c r="AC4">
        <f t="shared" si="0"/>
        <v>0.13744613375</v>
      </c>
      <c r="AD4">
        <f t="shared" si="1"/>
        <v>0.15850929</v>
      </c>
    </row>
    <row r="5" spans="1:30" hidden="1" x14ac:dyDescent="0.25">
      <c r="A5" t="s">
        <v>0</v>
      </c>
      <c r="B5" t="s">
        <v>5</v>
      </c>
      <c r="C5">
        <v>115</v>
      </c>
      <c r="D5" t="s">
        <v>2</v>
      </c>
      <c r="E5">
        <v>18.775655315000002</v>
      </c>
      <c r="F5">
        <v>17.759806099999999</v>
      </c>
      <c r="G5">
        <v>17.36646408</v>
      </c>
      <c r="H5">
        <v>16.5774121</v>
      </c>
      <c r="I5">
        <v>16.382464840000001</v>
      </c>
      <c r="J5">
        <v>16.993914425</v>
      </c>
      <c r="K5">
        <v>2.4303889999999999</v>
      </c>
      <c r="L5">
        <v>0</v>
      </c>
      <c r="M5">
        <v>0</v>
      </c>
      <c r="N5">
        <v>0</v>
      </c>
      <c r="O5">
        <v>0</v>
      </c>
      <c r="P5">
        <v>7.3231893499999998</v>
      </c>
      <c r="Q5">
        <v>7.5070543750000001</v>
      </c>
      <c r="R5">
        <v>9.7946242849999994</v>
      </c>
      <c r="S5">
        <v>10.05225596</v>
      </c>
      <c r="T5">
        <v>10.033250385000001</v>
      </c>
      <c r="U5">
        <v>27.953884330000001</v>
      </c>
      <c r="V5">
        <v>27.400436469999999</v>
      </c>
      <c r="W5">
        <v>30.561968315000001</v>
      </c>
      <c r="X5">
        <v>30.518702189999999</v>
      </c>
      <c r="Y5">
        <v>28.646755984999999</v>
      </c>
      <c r="Z5">
        <v>25.665958835000001</v>
      </c>
      <c r="AA5">
        <v>23.218815970000001</v>
      </c>
      <c r="AB5">
        <v>21.305870124999998</v>
      </c>
      <c r="AC5">
        <f t="shared" si="0"/>
        <v>15.261203018125</v>
      </c>
      <c r="AD5">
        <f t="shared" si="1"/>
        <v>16.785663262500002</v>
      </c>
    </row>
    <row r="6" spans="1:30" hidden="1" x14ac:dyDescent="0.25">
      <c r="A6" t="s">
        <v>0</v>
      </c>
      <c r="B6" t="s">
        <v>5</v>
      </c>
      <c r="C6">
        <v>115</v>
      </c>
      <c r="D6" t="s">
        <v>3</v>
      </c>
      <c r="E6">
        <v>6.7634561249000003</v>
      </c>
      <c r="F6">
        <v>6.5817036212</v>
      </c>
      <c r="G6">
        <v>6.5427972965999999</v>
      </c>
      <c r="H6">
        <v>5.8615061051000001</v>
      </c>
      <c r="I6">
        <v>5.6594083787000002</v>
      </c>
      <c r="J6">
        <v>6.1572505200999998</v>
      </c>
      <c r="K6">
        <v>0.95350226490000001</v>
      </c>
      <c r="L6">
        <v>0</v>
      </c>
      <c r="M6">
        <v>0</v>
      </c>
      <c r="N6">
        <v>0</v>
      </c>
      <c r="O6">
        <v>0</v>
      </c>
      <c r="P6">
        <v>2.9314869286</v>
      </c>
      <c r="Q6">
        <v>3.0149226148000001</v>
      </c>
      <c r="R6">
        <v>3.8855479724999999</v>
      </c>
      <c r="S6">
        <v>4.0380456289</v>
      </c>
      <c r="T6">
        <v>4.00472991</v>
      </c>
      <c r="U6">
        <v>11.203080551399999</v>
      </c>
      <c r="V6">
        <v>9.6920515982000008</v>
      </c>
      <c r="W6">
        <v>10.6392986589</v>
      </c>
      <c r="X6">
        <v>9.8094245819000001</v>
      </c>
      <c r="Y6">
        <v>9.2046384409000002</v>
      </c>
      <c r="Z6">
        <v>7.9751791075999998</v>
      </c>
      <c r="AA6">
        <v>8.0599997208000005</v>
      </c>
      <c r="AB6">
        <v>7.7894049501999998</v>
      </c>
      <c r="AC6">
        <f t="shared" si="0"/>
        <v>5.4486431240083339</v>
      </c>
      <c r="AD6">
        <f t="shared" si="1"/>
        <v>6.0093783126</v>
      </c>
    </row>
    <row r="7" spans="1:30" hidden="1" x14ac:dyDescent="0.25">
      <c r="A7" t="s">
        <v>0</v>
      </c>
      <c r="B7" t="s">
        <v>5</v>
      </c>
      <c r="C7">
        <v>115</v>
      </c>
      <c r="D7" t="s">
        <v>4</v>
      </c>
      <c r="E7">
        <v>0.28592368499999998</v>
      </c>
      <c r="F7">
        <v>0.27045390000000002</v>
      </c>
      <c r="G7">
        <v>0.26446392000000002</v>
      </c>
      <c r="H7">
        <v>0.2524479</v>
      </c>
      <c r="I7">
        <v>0.24947916000000001</v>
      </c>
      <c r="J7">
        <v>0.25879057500000002</v>
      </c>
      <c r="K7">
        <v>3.7011000000000002E-2</v>
      </c>
      <c r="L7">
        <v>0</v>
      </c>
      <c r="M7">
        <v>0</v>
      </c>
      <c r="N7">
        <v>0</v>
      </c>
      <c r="O7">
        <v>0</v>
      </c>
      <c r="P7">
        <v>0.11152065</v>
      </c>
      <c r="Q7">
        <v>0.114320625</v>
      </c>
      <c r="R7">
        <v>0.149156715</v>
      </c>
      <c r="S7">
        <v>0.15308004</v>
      </c>
      <c r="T7">
        <v>0.15279061499999999</v>
      </c>
      <c r="U7">
        <v>0.42569367000000002</v>
      </c>
      <c r="V7">
        <v>0.41726553</v>
      </c>
      <c r="W7">
        <v>0.46541068499999999</v>
      </c>
      <c r="X7">
        <v>0.46475180999999999</v>
      </c>
      <c r="Y7">
        <v>0.43624501500000001</v>
      </c>
      <c r="Z7">
        <v>0.39085216499999997</v>
      </c>
      <c r="AA7">
        <v>0.35358603</v>
      </c>
      <c r="AB7">
        <v>0.32445487499999998</v>
      </c>
      <c r="AC7">
        <f t="shared" si="0"/>
        <v>0.23240410687499999</v>
      </c>
      <c r="AD7">
        <f t="shared" si="1"/>
        <v>0.25561923750000004</v>
      </c>
    </row>
    <row r="8" spans="1:30" hidden="1" x14ac:dyDescent="0.25">
      <c r="A8" t="s">
        <v>0</v>
      </c>
      <c r="B8" t="s">
        <v>6</v>
      </c>
      <c r="C8">
        <v>115</v>
      </c>
      <c r="D8" t="s">
        <v>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f t="shared" si="0"/>
        <v>0</v>
      </c>
      <c r="AD8">
        <f t="shared" si="1"/>
        <v>0</v>
      </c>
    </row>
    <row r="9" spans="1:30" hidden="1" x14ac:dyDescent="0.25">
      <c r="A9" t="s">
        <v>0</v>
      </c>
      <c r="B9" t="s">
        <v>6</v>
      </c>
      <c r="C9">
        <v>115</v>
      </c>
      <c r="D9" t="s">
        <v>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f t="shared" si="0"/>
        <v>0</v>
      </c>
      <c r="AD9">
        <f t="shared" si="1"/>
        <v>0</v>
      </c>
    </row>
    <row r="10" spans="1:30" hidden="1" x14ac:dyDescent="0.25">
      <c r="A10" t="s">
        <v>0</v>
      </c>
      <c r="B10" t="s">
        <v>6</v>
      </c>
      <c r="C10">
        <v>115</v>
      </c>
      <c r="D10" t="s">
        <v>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f t="shared" si="0"/>
        <v>0</v>
      </c>
      <c r="AD10">
        <f t="shared" si="1"/>
        <v>0</v>
      </c>
    </row>
    <row r="11" spans="1:30" hidden="1" x14ac:dyDescent="0.25">
      <c r="A11" t="s">
        <v>7</v>
      </c>
      <c r="B11" t="s">
        <v>8</v>
      </c>
      <c r="C11">
        <v>110</v>
      </c>
      <c r="D11" t="s">
        <v>2</v>
      </c>
      <c r="E11">
        <v>12.0567546</v>
      </c>
      <c r="F11">
        <v>11.14232</v>
      </c>
      <c r="G11">
        <v>11.863379399999999</v>
      </c>
      <c r="H11">
        <v>12.530894200000001</v>
      </c>
      <c r="I11">
        <v>13.27081635</v>
      </c>
      <c r="J11">
        <v>13.450243950000001</v>
      </c>
      <c r="K11">
        <v>14.307184100000001</v>
      </c>
      <c r="L11">
        <v>16.625775600000001</v>
      </c>
      <c r="M11">
        <v>16.954253399999999</v>
      </c>
      <c r="N11">
        <v>16.648883699999999</v>
      </c>
      <c r="O11">
        <v>17.418897600000001</v>
      </c>
      <c r="P11">
        <v>18.106388200000001</v>
      </c>
      <c r="Q11">
        <v>17.141452650000002</v>
      </c>
      <c r="R11">
        <v>16.279656450000001</v>
      </c>
      <c r="S11">
        <v>16.01687815</v>
      </c>
      <c r="T11">
        <v>15.625064849999999</v>
      </c>
      <c r="U11">
        <v>15.659136</v>
      </c>
      <c r="V11">
        <v>16.274889049999999</v>
      </c>
      <c r="W11">
        <v>22.15303415</v>
      </c>
      <c r="X11">
        <v>22.243516249999999</v>
      </c>
      <c r="Y11">
        <v>20.409239400000001</v>
      </c>
      <c r="Z11">
        <v>16.6990005</v>
      </c>
      <c r="AA11">
        <v>15.449862899999999</v>
      </c>
      <c r="AB11">
        <v>13.201758</v>
      </c>
      <c r="AC11">
        <f t="shared" si="0"/>
        <v>15.897053310416668</v>
      </c>
      <c r="AD11">
        <f t="shared" si="1"/>
        <v>16.145883599999998</v>
      </c>
    </row>
    <row r="12" spans="1:30" hidden="1" x14ac:dyDescent="0.25">
      <c r="A12" t="s">
        <v>7</v>
      </c>
      <c r="B12" t="s">
        <v>8</v>
      </c>
      <c r="C12">
        <v>110</v>
      </c>
      <c r="D12" t="s">
        <v>3</v>
      </c>
      <c r="E12">
        <v>6.0898289927000002</v>
      </c>
      <c r="F12">
        <v>4.8444888997</v>
      </c>
      <c r="G12">
        <v>5.8544636472000002</v>
      </c>
      <c r="H12">
        <v>5.7180001422000002</v>
      </c>
      <c r="I12">
        <v>5.9847519453000002</v>
      </c>
      <c r="J12">
        <v>6.1703510354000004</v>
      </c>
      <c r="K12">
        <v>6.4964418679999998</v>
      </c>
      <c r="L12">
        <v>7.4655866921999996</v>
      </c>
      <c r="M12">
        <v>7.8617764604999998</v>
      </c>
      <c r="N12">
        <v>8.3619709243999996</v>
      </c>
      <c r="O12">
        <v>8.6722777399000002</v>
      </c>
      <c r="P12">
        <v>8.9083456087999995</v>
      </c>
      <c r="Q12">
        <v>8.5868756423000008</v>
      </c>
      <c r="R12">
        <v>7.8421279218000004</v>
      </c>
      <c r="S12">
        <v>8.1083485775999993</v>
      </c>
      <c r="T12">
        <v>7.7292508416999999</v>
      </c>
      <c r="U12">
        <v>7.9607562325999996</v>
      </c>
      <c r="V12">
        <v>7.0750707065</v>
      </c>
      <c r="W12">
        <v>7.3884923907999998</v>
      </c>
      <c r="X12">
        <v>6.9412691556999997</v>
      </c>
      <c r="Y12">
        <v>6.4504373358000002</v>
      </c>
      <c r="Z12">
        <v>5.8041759507000004</v>
      </c>
      <c r="AA12">
        <v>5.8122086371000004</v>
      </c>
      <c r="AB12">
        <v>5.6988764662999998</v>
      </c>
      <c r="AC12">
        <f t="shared" si="0"/>
        <v>6.9927572422999988</v>
      </c>
      <c r="AD12">
        <f t="shared" si="1"/>
        <v>7.0081699310999994</v>
      </c>
    </row>
    <row r="13" spans="1:30" hidden="1" x14ac:dyDescent="0.25">
      <c r="A13" t="s">
        <v>7</v>
      </c>
      <c r="B13" t="s">
        <v>8</v>
      </c>
      <c r="C13">
        <v>110</v>
      </c>
      <c r="D13" t="s">
        <v>4</v>
      </c>
      <c r="E13">
        <v>0.1836054</v>
      </c>
      <c r="F13">
        <v>0.16968</v>
      </c>
      <c r="G13">
        <v>0.1806606</v>
      </c>
      <c r="H13">
        <v>0.19082579999999999</v>
      </c>
      <c r="I13">
        <v>0.20209365000000001</v>
      </c>
      <c r="J13">
        <v>0.20482605000000001</v>
      </c>
      <c r="K13">
        <v>0.21787590000000001</v>
      </c>
      <c r="L13">
        <v>0.25318439999999998</v>
      </c>
      <c r="M13">
        <v>0.25818659999999999</v>
      </c>
      <c r="N13">
        <v>0.25353629999999999</v>
      </c>
      <c r="O13">
        <v>0.26526240000000001</v>
      </c>
      <c r="P13">
        <v>0.27573180000000003</v>
      </c>
      <c r="Q13">
        <v>0.26103735</v>
      </c>
      <c r="R13">
        <v>0.24791355000000001</v>
      </c>
      <c r="S13">
        <v>0.24391185000000001</v>
      </c>
      <c r="T13">
        <v>0.23794514999999999</v>
      </c>
      <c r="U13">
        <v>0.23846400000000001</v>
      </c>
      <c r="V13">
        <v>0.24784095</v>
      </c>
      <c r="W13">
        <v>0.33735585000000001</v>
      </c>
      <c r="X13">
        <v>0.33873375</v>
      </c>
      <c r="Y13">
        <v>0.31080059999999998</v>
      </c>
      <c r="Z13">
        <v>0.25429950000000001</v>
      </c>
      <c r="AA13">
        <v>0.23527709999999999</v>
      </c>
      <c r="AB13">
        <v>0.201042</v>
      </c>
      <c r="AC13">
        <f t="shared" si="0"/>
        <v>0.24208710625000004</v>
      </c>
      <c r="AD13">
        <f t="shared" si="1"/>
        <v>0.24587639999999999</v>
      </c>
    </row>
    <row r="14" spans="1:30" hidden="1" x14ac:dyDescent="0.25">
      <c r="A14" t="s">
        <v>7</v>
      </c>
      <c r="B14" t="s">
        <v>9</v>
      </c>
      <c r="C14">
        <v>110</v>
      </c>
      <c r="D14" t="s">
        <v>2</v>
      </c>
      <c r="E14">
        <v>64.252633500000002</v>
      </c>
      <c r="F14">
        <v>61.213120500000002</v>
      </c>
      <c r="G14">
        <v>61.715234100000004</v>
      </c>
      <c r="H14">
        <v>61.731348699999998</v>
      </c>
      <c r="I14">
        <v>65.961096299999994</v>
      </c>
      <c r="J14">
        <v>68.014131800000001</v>
      </c>
      <c r="K14">
        <v>75.107136499999996</v>
      </c>
      <c r="L14">
        <v>80.633203199999997</v>
      </c>
      <c r="M14">
        <v>83.758115700000005</v>
      </c>
      <c r="N14">
        <v>84.384753000000003</v>
      </c>
      <c r="O14">
        <v>87.778403049999994</v>
      </c>
      <c r="P14">
        <v>88.298867200000004</v>
      </c>
      <c r="Q14">
        <v>85.607354700000002</v>
      </c>
      <c r="R14">
        <v>79.163819599999997</v>
      </c>
      <c r="S14">
        <v>76.768664049999998</v>
      </c>
      <c r="T14">
        <v>75.291833850000003</v>
      </c>
      <c r="U14">
        <v>74.650092999999998</v>
      </c>
      <c r="V14">
        <v>73.563030800000007</v>
      </c>
      <c r="W14">
        <v>82.791121500000003</v>
      </c>
      <c r="X14">
        <v>79.392345849999998</v>
      </c>
      <c r="Y14">
        <v>74.801940200000004</v>
      </c>
      <c r="Z14">
        <v>60.970353500000002</v>
      </c>
      <c r="AA14">
        <v>56.818578500000001</v>
      </c>
      <c r="AB14">
        <v>54.338608499999999</v>
      </c>
      <c r="AC14">
        <f t="shared" si="0"/>
        <v>73.208574483333351</v>
      </c>
      <c r="AD14">
        <f t="shared" si="1"/>
        <v>74.954538350000007</v>
      </c>
    </row>
    <row r="15" spans="1:30" hidden="1" x14ac:dyDescent="0.25">
      <c r="A15" t="s">
        <v>7</v>
      </c>
      <c r="B15" t="s">
        <v>9</v>
      </c>
      <c r="C15">
        <v>110</v>
      </c>
      <c r="D15" t="s">
        <v>3</v>
      </c>
      <c r="E15">
        <v>24.981965850000002</v>
      </c>
      <c r="F15">
        <v>23.914739578500001</v>
      </c>
      <c r="G15">
        <v>24.577369010999998</v>
      </c>
      <c r="H15">
        <v>24.5334947652</v>
      </c>
      <c r="I15">
        <v>25.419318726499998</v>
      </c>
      <c r="J15">
        <v>24.384563384100002</v>
      </c>
      <c r="K15">
        <v>29.5114713613</v>
      </c>
      <c r="L15">
        <v>33.6652647182</v>
      </c>
      <c r="M15">
        <v>35.448099650300001</v>
      </c>
      <c r="N15">
        <v>35.886673378399998</v>
      </c>
      <c r="O15">
        <v>38.660217889899997</v>
      </c>
      <c r="P15">
        <v>39.1166651853</v>
      </c>
      <c r="Q15">
        <v>37.521212546800001</v>
      </c>
      <c r="R15">
        <v>33.8738132589</v>
      </c>
      <c r="S15">
        <v>31.857237539900002</v>
      </c>
      <c r="T15">
        <v>31.416821811199998</v>
      </c>
      <c r="U15">
        <v>30.501136797000001</v>
      </c>
      <c r="V15">
        <v>28.985958701600001</v>
      </c>
      <c r="W15">
        <v>28.506864146600002</v>
      </c>
      <c r="X15">
        <v>26.151304690300002</v>
      </c>
      <c r="Y15">
        <v>23.605999063399999</v>
      </c>
      <c r="Z15">
        <v>18.534192934899998</v>
      </c>
      <c r="AA15">
        <v>15.755000323799999</v>
      </c>
      <c r="AB15">
        <v>15.874014943400001</v>
      </c>
      <c r="AC15">
        <f t="shared" si="0"/>
        <v>28.445141677354169</v>
      </c>
      <c r="AD15">
        <f t="shared" si="1"/>
        <v>28.746411424100003</v>
      </c>
    </row>
    <row r="16" spans="1:30" hidden="1" x14ac:dyDescent="0.25">
      <c r="A16" t="s">
        <v>7</v>
      </c>
      <c r="B16" t="s">
        <v>9</v>
      </c>
      <c r="C16">
        <v>110</v>
      </c>
      <c r="D16" t="s">
        <v>4</v>
      </c>
      <c r="E16">
        <v>0.97846650000000002</v>
      </c>
      <c r="F16">
        <v>0.93217950000000005</v>
      </c>
      <c r="G16">
        <v>0.93982589999999999</v>
      </c>
      <c r="H16">
        <v>0.94007130000000005</v>
      </c>
      <c r="I16">
        <v>1.0044837</v>
      </c>
      <c r="J16">
        <v>1.0357482</v>
      </c>
      <c r="K16">
        <v>1.1437634999999999</v>
      </c>
      <c r="L16">
        <v>1.2279168</v>
      </c>
      <c r="M16">
        <v>1.2755042999999999</v>
      </c>
      <c r="N16">
        <v>1.2850470000000001</v>
      </c>
      <c r="O16">
        <v>1.3367269500000001</v>
      </c>
      <c r="P16">
        <v>1.3446528</v>
      </c>
      <c r="Q16">
        <v>1.3036653</v>
      </c>
      <c r="R16">
        <v>1.2055404000000001</v>
      </c>
      <c r="S16">
        <v>1.16906595</v>
      </c>
      <c r="T16">
        <v>1.14657615</v>
      </c>
      <c r="U16">
        <v>1.1368034467000001</v>
      </c>
      <c r="V16">
        <v>1.1202491999999999</v>
      </c>
      <c r="W16">
        <v>1.2607785</v>
      </c>
      <c r="X16">
        <v>1.2090204951000001</v>
      </c>
      <c r="Y16">
        <v>1.1391158405999999</v>
      </c>
      <c r="Z16">
        <v>0.92848254060000002</v>
      </c>
      <c r="AA16">
        <v>0.86525754060000004</v>
      </c>
      <c r="AB16">
        <v>0.82749150000000005</v>
      </c>
      <c r="AC16">
        <f t="shared" si="0"/>
        <v>1.1148513880666668</v>
      </c>
      <c r="AD16">
        <f t="shared" si="1"/>
        <v>1.1414396703</v>
      </c>
    </row>
    <row r="17" spans="1:30" hidden="1" x14ac:dyDescent="0.25">
      <c r="A17" t="s">
        <v>7</v>
      </c>
      <c r="B17" t="s">
        <v>10</v>
      </c>
      <c r="C17">
        <v>44</v>
      </c>
      <c r="D17" t="s">
        <v>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f t="shared" si="0"/>
        <v>0</v>
      </c>
      <c r="AD17">
        <f t="shared" si="1"/>
        <v>0</v>
      </c>
    </row>
    <row r="18" spans="1:30" hidden="1" x14ac:dyDescent="0.25">
      <c r="A18" t="s">
        <v>7</v>
      </c>
      <c r="B18" t="s">
        <v>10</v>
      </c>
      <c r="C18">
        <v>44</v>
      </c>
      <c r="D18" t="s">
        <v>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f t="shared" si="0"/>
        <v>0</v>
      </c>
      <c r="AD18">
        <f t="shared" si="1"/>
        <v>0</v>
      </c>
    </row>
    <row r="19" spans="1:30" hidden="1" x14ac:dyDescent="0.25">
      <c r="A19" t="s">
        <v>7</v>
      </c>
      <c r="B19" t="s">
        <v>10</v>
      </c>
      <c r="C19">
        <v>44</v>
      </c>
      <c r="D19" t="s">
        <v>4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f t="shared" si="0"/>
        <v>0</v>
      </c>
      <c r="AD19">
        <f t="shared" si="1"/>
        <v>0</v>
      </c>
    </row>
    <row r="20" spans="1:30" hidden="1" x14ac:dyDescent="0.25">
      <c r="A20" t="s">
        <v>7</v>
      </c>
      <c r="B20" t="s">
        <v>11</v>
      </c>
      <c r="C20">
        <v>110</v>
      </c>
      <c r="D20" t="s">
        <v>2</v>
      </c>
      <c r="E20">
        <v>7.2726686999999997</v>
      </c>
      <c r="F20">
        <v>7.0932804999999997</v>
      </c>
      <c r="G20">
        <v>7.2176204000000004</v>
      </c>
      <c r="H20">
        <v>7.2110307499999999</v>
      </c>
      <c r="I20">
        <v>7.3287284000000001</v>
      </c>
      <c r="J20">
        <v>7.1413814000000002</v>
      </c>
      <c r="K20">
        <v>7.0531515999999996</v>
      </c>
      <c r="L20">
        <v>6.8480352</v>
      </c>
      <c r="M20">
        <v>7.0407602999999996</v>
      </c>
      <c r="N20">
        <v>7.3383878999999999</v>
      </c>
      <c r="O20">
        <v>7.55098045</v>
      </c>
      <c r="P20">
        <v>7.9508805999999996</v>
      </c>
      <c r="Q20">
        <v>7.9926839999999997</v>
      </c>
      <c r="R20">
        <v>8.0079810499999997</v>
      </c>
      <c r="S20">
        <v>7.79606815</v>
      </c>
      <c r="T20">
        <v>7.7376084000000001</v>
      </c>
      <c r="U20">
        <v>7.8975330000000001</v>
      </c>
      <c r="V20">
        <v>7.7714923999999996</v>
      </c>
      <c r="W20">
        <v>8.7164423000000006</v>
      </c>
      <c r="X20">
        <v>8.5807191500000002</v>
      </c>
      <c r="Y20">
        <v>8.5384133999999996</v>
      </c>
      <c r="Z20">
        <v>7.8907365</v>
      </c>
      <c r="AA20">
        <v>7.5095415000000001</v>
      </c>
      <c r="AB20">
        <v>7.3990245000000003</v>
      </c>
      <c r="AC20">
        <f t="shared" si="0"/>
        <v>7.6202146062499994</v>
      </c>
      <c r="AD20">
        <f t="shared" si="1"/>
        <v>7.530260975</v>
      </c>
    </row>
    <row r="21" spans="1:30" hidden="1" x14ac:dyDescent="0.25">
      <c r="A21" t="s">
        <v>7</v>
      </c>
      <c r="B21" t="s">
        <v>11</v>
      </c>
      <c r="C21">
        <v>110</v>
      </c>
      <c r="D21" t="s">
        <v>3</v>
      </c>
      <c r="E21">
        <v>2.1855578938</v>
      </c>
      <c r="F21">
        <v>2.1316487564000002</v>
      </c>
      <c r="G21">
        <v>2.1690149641000001</v>
      </c>
      <c r="H21">
        <v>2.1670346648000001</v>
      </c>
      <c r="I21">
        <v>2.2024047659999999</v>
      </c>
      <c r="J21">
        <v>2.1461038766999998</v>
      </c>
      <c r="K21">
        <v>2.1195893546</v>
      </c>
      <c r="L21">
        <v>2.0579484651</v>
      </c>
      <c r="M21">
        <v>2.0183994633000002</v>
      </c>
      <c r="N21">
        <v>2.2039172563</v>
      </c>
      <c r="O21">
        <v>2.2988011243000002</v>
      </c>
      <c r="P21">
        <v>2.3736701104</v>
      </c>
      <c r="Q21">
        <v>2.3712039131</v>
      </c>
      <c r="R21">
        <v>2.4633683998999998</v>
      </c>
      <c r="S21">
        <v>2.3185346623999998</v>
      </c>
      <c r="T21">
        <v>2.1467781109000001</v>
      </c>
      <c r="U21">
        <v>2.1575406839000002</v>
      </c>
      <c r="V21">
        <v>2.1398511974000001</v>
      </c>
      <c r="W21">
        <v>2.1951948925</v>
      </c>
      <c r="X21">
        <v>2.1610136570999998</v>
      </c>
      <c r="Y21">
        <v>2.1503591536000002</v>
      </c>
      <c r="Z21">
        <v>2.0193305451999999</v>
      </c>
      <c r="AA21">
        <v>2.1633829085</v>
      </c>
      <c r="AB21">
        <v>2.2235299131000001</v>
      </c>
      <c r="AC21">
        <f t="shared" si="0"/>
        <v>2.1910074472249996</v>
      </c>
      <c r="AD21">
        <f t="shared" si="1"/>
        <v>2.1652087866500001</v>
      </c>
    </row>
    <row r="22" spans="1:30" hidden="1" x14ac:dyDescent="0.25">
      <c r="A22" t="s">
        <v>7</v>
      </c>
      <c r="B22" t="s">
        <v>11</v>
      </c>
      <c r="C22">
        <v>110</v>
      </c>
      <c r="D22" t="s">
        <v>4</v>
      </c>
      <c r="E22">
        <v>0.1107513</v>
      </c>
      <c r="F22">
        <v>0.1080195</v>
      </c>
      <c r="G22">
        <v>0.109913001</v>
      </c>
      <c r="H22">
        <v>0.109812651</v>
      </c>
      <c r="I22">
        <v>0.111605001</v>
      </c>
      <c r="J22">
        <v>0.108752001</v>
      </c>
      <c r="K22">
        <v>0.1074084</v>
      </c>
      <c r="L22">
        <v>0.1042848</v>
      </c>
      <c r="M22">
        <v>0.1072197</v>
      </c>
      <c r="N22">
        <v>0.11175209999999999</v>
      </c>
      <c r="O22">
        <v>0.11498955</v>
      </c>
      <c r="P22">
        <v>0.1210794</v>
      </c>
      <c r="Q22">
        <v>0.121716</v>
      </c>
      <c r="R22">
        <v>0.12194895</v>
      </c>
      <c r="S22">
        <v>0.11872185</v>
      </c>
      <c r="T22">
        <v>0.11783159999999999</v>
      </c>
      <c r="U22">
        <v>0.120267</v>
      </c>
      <c r="V22">
        <v>0.1183476</v>
      </c>
      <c r="W22">
        <v>0.13273769999999999</v>
      </c>
      <c r="X22">
        <v>0.13067085000000001</v>
      </c>
      <c r="Y22">
        <v>0.13002659999999999</v>
      </c>
      <c r="Z22">
        <v>0.12016350000000001</v>
      </c>
      <c r="AA22">
        <v>0.1143585</v>
      </c>
      <c r="AB22">
        <v>0.1126755</v>
      </c>
      <c r="AC22">
        <f t="shared" si="0"/>
        <v>0.11604387724999997</v>
      </c>
      <c r="AD22">
        <f t="shared" si="1"/>
        <v>0.114674025</v>
      </c>
    </row>
    <row r="23" spans="1:30" hidden="1" x14ac:dyDescent="0.25">
      <c r="A23" t="s">
        <v>7</v>
      </c>
      <c r="B23" t="s">
        <v>12</v>
      </c>
      <c r="C23">
        <v>110</v>
      </c>
      <c r="D23" t="s">
        <v>2</v>
      </c>
      <c r="E23">
        <v>31.26818475</v>
      </c>
      <c r="F23">
        <v>29.109311000000002</v>
      </c>
      <c r="G23">
        <v>28.7800452</v>
      </c>
      <c r="H23">
        <v>28.047205200000001</v>
      </c>
      <c r="I23">
        <v>28.436024100000001</v>
      </c>
      <c r="J23">
        <v>28.259098399999999</v>
      </c>
      <c r="K23">
        <v>28.056365700000001</v>
      </c>
      <c r="L23">
        <v>30.538861199999999</v>
      </c>
      <c r="M23">
        <v>33.2544471</v>
      </c>
      <c r="N23">
        <v>36.101648699999998</v>
      </c>
      <c r="O23">
        <v>37.699072450000003</v>
      </c>
      <c r="P23">
        <v>39.100126600000003</v>
      </c>
      <c r="Q23">
        <v>38.536155000000001</v>
      </c>
      <c r="R23">
        <v>38.527132399999999</v>
      </c>
      <c r="S23">
        <v>37.815725999999998</v>
      </c>
      <c r="T23">
        <v>36.903487949999999</v>
      </c>
      <c r="U23">
        <v>36.225344999999997</v>
      </c>
      <c r="V23">
        <v>35.264477499999998</v>
      </c>
      <c r="W23">
        <v>39.646240149999997</v>
      </c>
      <c r="X23">
        <v>39.239070699999999</v>
      </c>
      <c r="Y23">
        <v>37.528972799999998</v>
      </c>
      <c r="Z23">
        <v>32.994288900000001</v>
      </c>
      <c r="AA23">
        <v>33.228265800000003</v>
      </c>
      <c r="AB23">
        <v>31.602247500000001</v>
      </c>
      <c r="AC23">
        <f t="shared" si="0"/>
        <v>34.006741670833328</v>
      </c>
      <c r="AD23">
        <f t="shared" si="1"/>
        <v>34.259462299999996</v>
      </c>
    </row>
    <row r="24" spans="1:30" hidden="1" x14ac:dyDescent="0.25">
      <c r="A24" t="s">
        <v>7</v>
      </c>
      <c r="B24" t="s">
        <v>12</v>
      </c>
      <c r="C24">
        <v>110</v>
      </c>
      <c r="D24" t="s">
        <v>3</v>
      </c>
      <c r="E24">
        <v>15.8891023914</v>
      </c>
      <c r="F24">
        <v>13.411411811700001</v>
      </c>
      <c r="G24">
        <v>11.9042966808</v>
      </c>
      <c r="H24">
        <v>11.647523963399999</v>
      </c>
      <c r="I24">
        <v>11.6449223675</v>
      </c>
      <c r="J24">
        <v>12.1258999611</v>
      </c>
      <c r="K24">
        <v>14.2951617745</v>
      </c>
      <c r="L24">
        <v>13.3423483304</v>
      </c>
      <c r="M24">
        <v>14.3939262468</v>
      </c>
      <c r="N24">
        <v>14.7105738391</v>
      </c>
      <c r="O24">
        <v>15.411531221700001</v>
      </c>
      <c r="P24">
        <v>16.107029375500002</v>
      </c>
      <c r="Q24">
        <v>17.851604882899998</v>
      </c>
      <c r="R24">
        <v>18.076079584799999</v>
      </c>
      <c r="S24">
        <v>17.617177564199999</v>
      </c>
      <c r="T24">
        <v>18.677833526000001</v>
      </c>
      <c r="U24">
        <v>18.324529337200001</v>
      </c>
      <c r="V24">
        <v>16.964337265400001</v>
      </c>
      <c r="W24">
        <v>18.448242317999998</v>
      </c>
      <c r="X24">
        <v>18.139790554699999</v>
      </c>
      <c r="Y24">
        <v>17.370934533</v>
      </c>
      <c r="Z24">
        <v>15.3091533672</v>
      </c>
      <c r="AA24">
        <v>15.9536354048</v>
      </c>
      <c r="AB24">
        <v>15.7779025859</v>
      </c>
      <c r="AC24">
        <f t="shared" si="0"/>
        <v>15.558122870333335</v>
      </c>
      <c r="AD24">
        <f t="shared" si="1"/>
        <v>15.83350248865</v>
      </c>
    </row>
    <row r="25" spans="1:30" hidden="1" x14ac:dyDescent="0.25">
      <c r="A25" t="s">
        <v>7</v>
      </c>
      <c r="B25" t="s">
        <v>12</v>
      </c>
      <c r="C25">
        <v>110</v>
      </c>
      <c r="D25" t="s">
        <v>4</v>
      </c>
      <c r="E25">
        <v>0.47616524999999998</v>
      </c>
      <c r="F25">
        <v>0.44328899999999999</v>
      </c>
      <c r="G25">
        <v>0.43827480000000002</v>
      </c>
      <c r="H25">
        <v>0.42711480000000002</v>
      </c>
      <c r="I25">
        <v>0.43303589999999997</v>
      </c>
      <c r="J25">
        <v>0.43034159999999999</v>
      </c>
      <c r="K25">
        <v>0.42725429999999998</v>
      </c>
      <c r="L25">
        <v>0.46505879999999999</v>
      </c>
      <c r="M25">
        <v>0.50641290000000005</v>
      </c>
      <c r="N25">
        <v>0.54977129999999996</v>
      </c>
      <c r="O25">
        <v>0.57409754999999996</v>
      </c>
      <c r="P25">
        <v>0.5954334</v>
      </c>
      <c r="Q25">
        <v>0.58684499999999995</v>
      </c>
      <c r="R25">
        <v>0.5867076</v>
      </c>
      <c r="S25">
        <v>0.575874</v>
      </c>
      <c r="T25">
        <v>0.56198205000000001</v>
      </c>
      <c r="U25">
        <v>0.55165500000000001</v>
      </c>
      <c r="V25">
        <v>0.53702249999999996</v>
      </c>
      <c r="W25">
        <v>0.60374985000000003</v>
      </c>
      <c r="X25">
        <v>0.59754929999999995</v>
      </c>
      <c r="Y25">
        <v>0.57150719999999999</v>
      </c>
      <c r="Z25">
        <v>0.50245110000000004</v>
      </c>
      <c r="AA25">
        <v>0.50601419999999997</v>
      </c>
      <c r="AB25">
        <v>0.48125250000000003</v>
      </c>
      <c r="AC25">
        <f t="shared" si="0"/>
        <v>0.51786916250000004</v>
      </c>
      <c r="AD25">
        <f t="shared" si="1"/>
        <v>0.52171769999999995</v>
      </c>
    </row>
    <row r="26" spans="1:30" hidden="1" x14ac:dyDescent="0.25">
      <c r="A26" t="s">
        <v>7</v>
      </c>
      <c r="B26" t="s">
        <v>13</v>
      </c>
      <c r="C26">
        <v>110</v>
      </c>
      <c r="D26" t="s">
        <v>2</v>
      </c>
      <c r="E26">
        <v>19.94084235</v>
      </c>
      <c r="F26">
        <v>18.484313</v>
      </c>
      <c r="G26">
        <v>18.6932118</v>
      </c>
      <c r="H26">
        <v>18.747239050000001</v>
      </c>
      <c r="I26">
        <v>19.306669800000002</v>
      </c>
      <c r="J26">
        <v>18.644316400000001</v>
      </c>
      <c r="K26">
        <v>18.202041550000001</v>
      </c>
      <c r="L26">
        <v>19.386691200000001</v>
      </c>
      <c r="M26">
        <v>20.327149500000001</v>
      </c>
      <c r="N26">
        <v>21.277300199999999</v>
      </c>
      <c r="O26">
        <v>22.680856250000001</v>
      </c>
      <c r="P26">
        <v>23.1983654</v>
      </c>
      <c r="Q26">
        <v>22.7506041</v>
      </c>
      <c r="R26">
        <v>23.080194949999999</v>
      </c>
      <c r="S26">
        <v>22.81274775</v>
      </c>
      <c r="T26">
        <v>21.918682950000001</v>
      </c>
      <c r="U26">
        <v>19.601106000000001</v>
      </c>
      <c r="V26">
        <v>18.8432076</v>
      </c>
      <c r="W26">
        <v>19.634615700000001</v>
      </c>
      <c r="X26">
        <v>20.494195650000002</v>
      </c>
      <c r="Y26">
        <v>20.1374976</v>
      </c>
      <c r="Z26">
        <v>16.882505999999999</v>
      </c>
      <c r="AA26">
        <v>16.672346399999999</v>
      </c>
      <c r="AB26">
        <v>16.64241225</v>
      </c>
      <c r="AC26">
        <f t="shared" si="0"/>
        <v>19.931629727083337</v>
      </c>
      <c r="AD26">
        <f t="shared" si="1"/>
        <v>19.61786085</v>
      </c>
    </row>
    <row r="27" spans="1:30" hidden="1" x14ac:dyDescent="0.25">
      <c r="A27" t="s">
        <v>7</v>
      </c>
      <c r="B27" t="s">
        <v>13</v>
      </c>
      <c r="C27">
        <v>110</v>
      </c>
      <c r="D27" t="s">
        <v>3</v>
      </c>
      <c r="E27">
        <v>7.7030259379999997</v>
      </c>
      <c r="F27">
        <v>6.9291657763999996</v>
      </c>
      <c r="G27">
        <v>7.2019808019999996</v>
      </c>
      <c r="H27">
        <v>7.1205426039999997</v>
      </c>
      <c r="I27">
        <v>7.1821029163999999</v>
      </c>
      <c r="J27">
        <v>7.2324722029000004</v>
      </c>
      <c r="K27">
        <v>6.8987923683999997</v>
      </c>
      <c r="L27">
        <v>7.6828281615999998</v>
      </c>
      <c r="M27">
        <v>7.8936776658000003</v>
      </c>
      <c r="N27">
        <v>7.9913662443</v>
      </c>
      <c r="O27">
        <v>8.2771132584</v>
      </c>
      <c r="P27">
        <v>7.9534013017999996</v>
      </c>
      <c r="Q27">
        <v>7.9865249176999997</v>
      </c>
      <c r="R27">
        <v>8.024491008</v>
      </c>
      <c r="S27">
        <v>7.9913088400000003</v>
      </c>
      <c r="T27">
        <v>7.7026549789000001</v>
      </c>
      <c r="U27">
        <v>6.4959736296999999</v>
      </c>
      <c r="V27">
        <v>6.1182485755</v>
      </c>
      <c r="W27">
        <v>6.0654308921000002</v>
      </c>
      <c r="X27">
        <v>6.0627834854999998</v>
      </c>
      <c r="Y27">
        <v>5.8968125991000004</v>
      </c>
      <c r="Z27">
        <v>5.1238134541999996</v>
      </c>
      <c r="AA27">
        <v>4.8788996994999998</v>
      </c>
      <c r="AB27">
        <v>5.1903333629999997</v>
      </c>
      <c r="AC27">
        <f t="shared" si="0"/>
        <v>6.9834893618000002</v>
      </c>
      <c r="AD27">
        <f t="shared" si="1"/>
        <v>7.1920418591999997</v>
      </c>
    </row>
    <row r="28" spans="1:30" hidden="1" x14ac:dyDescent="0.25">
      <c r="A28" t="s">
        <v>7</v>
      </c>
      <c r="B28" t="s">
        <v>13</v>
      </c>
      <c r="C28">
        <v>110</v>
      </c>
      <c r="D28" t="s">
        <v>4</v>
      </c>
      <c r="E28">
        <v>0.30366765000000001</v>
      </c>
      <c r="F28">
        <v>0.28148699999999999</v>
      </c>
      <c r="G28">
        <v>0.28466819999999998</v>
      </c>
      <c r="H28">
        <v>0.28549095000000002</v>
      </c>
      <c r="I28">
        <v>0.2940102</v>
      </c>
      <c r="J28">
        <v>0.2839236</v>
      </c>
      <c r="K28">
        <v>0.27718844999999998</v>
      </c>
      <c r="L28">
        <v>0.29522880000000001</v>
      </c>
      <c r="M28">
        <v>0.30955050000000001</v>
      </c>
      <c r="N28">
        <v>0.32401980000000002</v>
      </c>
      <c r="O28">
        <v>0.34539375</v>
      </c>
      <c r="P28">
        <v>0.35327459999999999</v>
      </c>
      <c r="Q28">
        <v>0.34645589999999998</v>
      </c>
      <c r="R28">
        <v>0.35147505000000001</v>
      </c>
      <c r="S28">
        <v>0.34740225000000002</v>
      </c>
      <c r="T28">
        <v>0.33378704999999997</v>
      </c>
      <c r="U28">
        <v>0.29849399999999998</v>
      </c>
      <c r="V28">
        <v>0.2869524</v>
      </c>
      <c r="W28">
        <v>0.2990043</v>
      </c>
      <c r="X28">
        <v>0.31209435000000002</v>
      </c>
      <c r="Y28">
        <v>0.3066624</v>
      </c>
      <c r="Z28">
        <v>0.25709399999999999</v>
      </c>
      <c r="AA28">
        <v>0.2538936</v>
      </c>
      <c r="AB28">
        <v>0.25343775000000002</v>
      </c>
      <c r="AC28">
        <f t="shared" si="0"/>
        <v>0.30352735624999988</v>
      </c>
      <c r="AD28">
        <f t="shared" si="1"/>
        <v>0.29874915000000002</v>
      </c>
    </row>
    <row r="29" spans="1:30" hidden="1" x14ac:dyDescent="0.25">
      <c r="A29" t="s">
        <v>7</v>
      </c>
      <c r="B29" t="s">
        <v>14</v>
      </c>
      <c r="C29">
        <v>110</v>
      </c>
      <c r="D29" t="s">
        <v>2</v>
      </c>
      <c r="E29">
        <v>39.37753215</v>
      </c>
      <c r="F29">
        <v>35.287329499999998</v>
      </c>
      <c r="G29">
        <v>32.185091700000001</v>
      </c>
      <c r="H29">
        <v>31.238851449999999</v>
      </c>
      <c r="I29">
        <v>33.544834950000002</v>
      </c>
      <c r="J29">
        <v>36.118137599999997</v>
      </c>
      <c r="K29">
        <v>40.075739550000002</v>
      </c>
      <c r="L29">
        <v>45.597304800000003</v>
      </c>
      <c r="M29">
        <v>49.695712499999999</v>
      </c>
      <c r="N29">
        <v>54.293337899999997</v>
      </c>
      <c r="O29">
        <v>57.169715199999999</v>
      </c>
      <c r="P29">
        <v>58.500844200000003</v>
      </c>
      <c r="Q29">
        <v>59.103043649999996</v>
      </c>
      <c r="R29">
        <v>57.971121050000001</v>
      </c>
      <c r="S29">
        <v>53.585979850000001</v>
      </c>
      <c r="T29">
        <v>52.909984199999997</v>
      </c>
      <c r="U29">
        <v>52.795211999999999</v>
      </c>
      <c r="V29">
        <v>51.392985699999997</v>
      </c>
      <c r="W29">
        <v>57.652178050000003</v>
      </c>
      <c r="X29">
        <v>59.084811299999998</v>
      </c>
      <c r="Y29">
        <v>56.765431800000002</v>
      </c>
      <c r="Z29">
        <v>52.996388400000001</v>
      </c>
      <c r="AA29">
        <v>50.8203855</v>
      </c>
      <c r="AB29">
        <v>46.518939750000001</v>
      </c>
      <c r="AC29">
        <f t="shared" si="0"/>
        <v>48.528370531250005</v>
      </c>
      <c r="AD29">
        <f t="shared" si="1"/>
        <v>52.094098849999995</v>
      </c>
    </row>
    <row r="30" spans="1:30" hidden="1" x14ac:dyDescent="0.25">
      <c r="A30" t="s">
        <v>7</v>
      </c>
      <c r="B30" t="s">
        <v>14</v>
      </c>
      <c r="C30">
        <v>110</v>
      </c>
      <c r="D30" t="s">
        <v>3</v>
      </c>
      <c r="E30">
        <v>19.689557354600002</v>
      </c>
      <c r="F30">
        <v>16.8146165874</v>
      </c>
      <c r="G30">
        <v>13.999281637099999</v>
      </c>
      <c r="H30">
        <v>14.7363448452</v>
      </c>
      <c r="I30">
        <v>16.296826355899999</v>
      </c>
      <c r="J30">
        <v>15.4297816599</v>
      </c>
      <c r="K30">
        <v>19.2583480889</v>
      </c>
      <c r="L30">
        <v>21.458693217699999</v>
      </c>
      <c r="M30">
        <v>22.7952139209</v>
      </c>
      <c r="N30">
        <v>24.483126095199999</v>
      </c>
      <c r="O30">
        <v>26.0139790536</v>
      </c>
      <c r="P30">
        <v>26.517291008400001</v>
      </c>
      <c r="Q30">
        <v>26.709086788699999</v>
      </c>
      <c r="R30">
        <v>26.874815781300001</v>
      </c>
      <c r="S30">
        <v>25.6500823075</v>
      </c>
      <c r="T30">
        <v>25.6644247509</v>
      </c>
      <c r="U30">
        <v>25.616224682399999</v>
      </c>
      <c r="V30">
        <v>25.2549838658</v>
      </c>
      <c r="W30">
        <v>24.672554478399999</v>
      </c>
      <c r="X30">
        <v>24.1486390942</v>
      </c>
      <c r="Y30">
        <v>22.588387792399999</v>
      </c>
      <c r="Z30">
        <v>21.212902499799998</v>
      </c>
      <c r="AA30">
        <v>21.5235695573</v>
      </c>
      <c r="AB30">
        <v>21.851042303100002</v>
      </c>
      <c r="AC30">
        <f t="shared" si="0"/>
        <v>22.052490571941664</v>
      </c>
      <c r="AD30">
        <f t="shared" si="1"/>
        <v>22.691800856649998</v>
      </c>
    </row>
    <row r="31" spans="1:30" hidden="1" x14ac:dyDescent="0.25">
      <c r="A31" t="s">
        <v>7</v>
      </c>
      <c r="B31" t="s">
        <v>14</v>
      </c>
      <c r="C31">
        <v>110</v>
      </c>
      <c r="D31" t="s">
        <v>4</v>
      </c>
      <c r="E31">
        <v>0.59965785000000005</v>
      </c>
      <c r="F31">
        <v>0.53737049999999997</v>
      </c>
      <c r="G31">
        <v>0.49012830000000002</v>
      </c>
      <c r="H31">
        <v>0.47571855000000002</v>
      </c>
      <c r="I31">
        <v>0.51083504999999996</v>
      </c>
      <c r="J31">
        <v>0.55002240000000002</v>
      </c>
      <c r="K31">
        <v>0.61029045000000004</v>
      </c>
      <c r="L31">
        <v>0.69437519999999997</v>
      </c>
      <c r="M31">
        <v>0.75678749999999995</v>
      </c>
      <c r="N31">
        <v>0.82680209999999998</v>
      </c>
      <c r="O31">
        <v>0.87060479999999996</v>
      </c>
      <c r="P31">
        <v>0.8908758</v>
      </c>
      <c r="Q31">
        <v>0.90004635</v>
      </c>
      <c r="R31">
        <v>0.88280895000000004</v>
      </c>
      <c r="S31">
        <v>0.81603015000000001</v>
      </c>
      <c r="T31">
        <v>0.8057358</v>
      </c>
      <c r="U31">
        <v>0.80398800000000004</v>
      </c>
      <c r="V31">
        <v>0.7826343</v>
      </c>
      <c r="W31">
        <v>0.87795195000000004</v>
      </c>
      <c r="X31">
        <v>0.89976869999999998</v>
      </c>
      <c r="Y31">
        <v>0.8644482</v>
      </c>
      <c r="Z31">
        <v>0.80705159999999998</v>
      </c>
      <c r="AA31">
        <v>0.77391449999999995</v>
      </c>
      <c r="AB31">
        <v>0.70841025000000002</v>
      </c>
      <c r="AC31">
        <f t="shared" si="0"/>
        <v>0.73901071874999991</v>
      </c>
      <c r="AD31">
        <f t="shared" si="1"/>
        <v>0.79331115000000008</v>
      </c>
    </row>
    <row r="32" spans="1:30" hidden="1" x14ac:dyDescent="0.25">
      <c r="A32" t="s">
        <v>7</v>
      </c>
      <c r="B32" t="s">
        <v>15</v>
      </c>
      <c r="C32">
        <v>110</v>
      </c>
      <c r="D32" t="s">
        <v>2</v>
      </c>
      <c r="E32">
        <v>25.979946300000002</v>
      </c>
      <c r="F32">
        <v>23.796811999999999</v>
      </c>
      <c r="G32">
        <v>24.091937699999999</v>
      </c>
      <c r="H32">
        <v>23.8636935</v>
      </c>
      <c r="I32">
        <v>26.501326500000001</v>
      </c>
      <c r="J32">
        <v>29.920783549999999</v>
      </c>
      <c r="K32">
        <v>32.431105299999999</v>
      </c>
      <c r="L32">
        <v>34.589811599999997</v>
      </c>
      <c r="M32">
        <v>35.4859449</v>
      </c>
      <c r="N32">
        <v>36.276052800000002</v>
      </c>
      <c r="O32">
        <v>36.945370150000002</v>
      </c>
      <c r="P32">
        <v>36.7390422</v>
      </c>
      <c r="Q32">
        <v>36.752073750000001</v>
      </c>
      <c r="R32">
        <v>35.626494549999997</v>
      </c>
      <c r="S32">
        <v>35.541301900000001</v>
      </c>
      <c r="T32">
        <v>37.080581100000003</v>
      </c>
      <c r="U32">
        <v>38.604120000000002</v>
      </c>
      <c r="V32">
        <v>37.167428549999997</v>
      </c>
      <c r="W32">
        <v>41.953533700000001</v>
      </c>
      <c r="X32">
        <v>41.048712700000003</v>
      </c>
      <c r="Y32">
        <v>37.257230999999997</v>
      </c>
      <c r="Z32">
        <v>30.633184799999999</v>
      </c>
      <c r="AA32">
        <v>28.827325200000001</v>
      </c>
      <c r="AB32">
        <v>26.123086499999999</v>
      </c>
      <c r="AC32">
        <f t="shared" si="0"/>
        <v>33.051537510416672</v>
      </c>
      <c r="AD32">
        <f t="shared" si="1"/>
        <v>35.5136234</v>
      </c>
    </row>
    <row r="33" spans="1:30" hidden="1" x14ac:dyDescent="0.25">
      <c r="A33" t="s">
        <v>7</v>
      </c>
      <c r="B33" t="s">
        <v>15</v>
      </c>
      <c r="C33">
        <v>110</v>
      </c>
      <c r="D33" t="s">
        <v>3</v>
      </c>
      <c r="E33">
        <v>11.197792421999999</v>
      </c>
      <c r="F33">
        <v>10.923786137800001</v>
      </c>
      <c r="G33">
        <v>10.831592563199999</v>
      </c>
      <c r="H33">
        <v>10.9454828097</v>
      </c>
      <c r="I33">
        <v>12.4741544915</v>
      </c>
      <c r="J33">
        <v>14.048482997300001</v>
      </c>
      <c r="K33">
        <v>15.701589649700001</v>
      </c>
      <c r="L33">
        <v>16.748691492100001</v>
      </c>
      <c r="M33">
        <v>17.530914358699999</v>
      </c>
      <c r="N33">
        <v>16.8507213054</v>
      </c>
      <c r="O33">
        <v>17.9561963592</v>
      </c>
      <c r="P33">
        <v>17.630881168599998</v>
      </c>
      <c r="Q33">
        <v>17.435970365799999</v>
      </c>
      <c r="R33">
        <v>16.956917020300001</v>
      </c>
      <c r="S33">
        <v>17.3992385341</v>
      </c>
      <c r="T33">
        <v>18.808706163899998</v>
      </c>
      <c r="U33">
        <v>18.510551122700001</v>
      </c>
      <c r="V33">
        <v>17.622399054900001</v>
      </c>
      <c r="W33">
        <v>17.782212676899999</v>
      </c>
      <c r="X33">
        <v>16.1057315308</v>
      </c>
      <c r="Y33">
        <v>13.886477687299999</v>
      </c>
      <c r="Z33">
        <v>11.4405313664</v>
      </c>
      <c r="AA33">
        <v>11.742003478199999</v>
      </c>
      <c r="AB33">
        <v>10.3269694747</v>
      </c>
      <c r="AC33">
        <f t="shared" si="0"/>
        <v>15.035749759633333</v>
      </c>
      <c r="AD33">
        <f t="shared" si="1"/>
        <v>16.42721151145</v>
      </c>
    </row>
    <row r="34" spans="1:30" hidden="1" x14ac:dyDescent="0.25">
      <c r="A34" t="s">
        <v>7</v>
      </c>
      <c r="B34" t="s">
        <v>15</v>
      </c>
      <c r="C34">
        <v>110</v>
      </c>
      <c r="D34" t="s">
        <v>4</v>
      </c>
      <c r="E34">
        <v>0.39563369999999998</v>
      </c>
      <c r="F34">
        <v>0.36238799999999999</v>
      </c>
      <c r="G34">
        <v>0.36688229999999999</v>
      </c>
      <c r="H34">
        <v>0.36340650000000002</v>
      </c>
      <c r="I34">
        <v>0.40357349999999997</v>
      </c>
      <c r="J34">
        <v>0.45564644999999998</v>
      </c>
      <c r="K34">
        <v>0.4938747</v>
      </c>
      <c r="L34">
        <v>0.52674840000000001</v>
      </c>
      <c r="M34">
        <v>0.54039510000000002</v>
      </c>
      <c r="N34">
        <v>0.55242720000000001</v>
      </c>
      <c r="O34">
        <v>0.56261985000000003</v>
      </c>
      <c r="P34">
        <v>0.55947780000000003</v>
      </c>
      <c r="Q34">
        <v>0.55967624999999999</v>
      </c>
      <c r="R34">
        <v>0.54253545000000003</v>
      </c>
      <c r="S34">
        <v>0.54123810000000006</v>
      </c>
      <c r="T34">
        <v>0.56467889999999998</v>
      </c>
      <c r="U34">
        <v>0.58787999999999996</v>
      </c>
      <c r="V34">
        <v>0.56600145000000002</v>
      </c>
      <c r="W34">
        <v>0.63888630000000002</v>
      </c>
      <c r="X34">
        <v>0.62510730000000003</v>
      </c>
      <c r="Y34">
        <v>0.56736900000000001</v>
      </c>
      <c r="Z34">
        <v>0.4664952</v>
      </c>
      <c r="AA34">
        <v>0.43899480000000002</v>
      </c>
      <c r="AB34">
        <v>0.39781349999999999</v>
      </c>
      <c r="AC34">
        <f t="shared" si="0"/>
        <v>0.50332290624999987</v>
      </c>
      <c r="AD34">
        <f t="shared" si="1"/>
        <v>0.54081660000000009</v>
      </c>
    </row>
    <row r="35" spans="1:30" hidden="1" x14ac:dyDescent="0.25">
      <c r="A35" t="s">
        <v>7</v>
      </c>
      <c r="B35" t="s">
        <v>16</v>
      </c>
      <c r="C35">
        <v>110</v>
      </c>
      <c r="D35" t="s">
        <v>2</v>
      </c>
      <c r="E35">
        <v>12.947066550000001</v>
      </c>
      <c r="F35">
        <v>11.2915475</v>
      </c>
      <c r="G35">
        <v>11.1231519</v>
      </c>
      <c r="H35">
        <v>10.822135899999999</v>
      </c>
      <c r="I35">
        <v>11.61826215</v>
      </c>
      <c r="J35">
        <v>12.36335555</v>
      </c>
      <c r="K35">
        <v>12.7670972</v>
      </c>
      <c r="L35">
        <v>12.984742799999999</v>
      </c>
      <c r="M35">
        <v>14.3123652</v>
      </c>
      <c r="N35">
        <v>15.830526000000001</v>
      </c>
      <c r="O35">
        <v>16.762897450000001</v>
      </c>
      <c r="P35">
        <v>17.480558599999998</v>
      </c>
      <c r="Q35">
        <v>17.940721050000001</v>
      </c>
      <c r="R35">
        <v>17.514856300000002</v>
      </c>
      <c r="S35">
        <v>17.359610450000002</v>
      </c>
      <c r="T35">
        <v>17.532221849999999</v>
      </c>
      <c r="U35">
        <v>17.331074999999998</v>
      </c>
      <c r="V35">
        <v>16.447884599999998</v>
      </c>
      <c r="W35">
        <v>19.317928349999999</v>
      </c>
      <c r="X35">
        <v>20.1775083</v>
      </c>
      <c r="Y35">
        <v>19.679827199999998</v>
      </c>
      <c r="Z35">
        <v>16.882505999999999</v>
      </c>
      <c r="AA35">
        <v>15.834072000000001</v>
      </c>
      <c r="AB35">
        <v>13.805759999999999</v>
      </c>
      <c r="AC35">
        <f t="shared" si="0"/>
        <v>15.421986579166663</v>
      </c>
      <c r="AD35">
        <f t="shared" si="1"/>
        <v>16.1409783</v>
      </c>
    </row>
    <row r="36" spans="1:30" hidden="1" x14ac:dyDescent="0.25">
      <c r="A36" t="s">
        <v>7</v>
      </c>
      <c r="B36" t="s">
        <v>16</v>
      </c>
      <c r="C36">
        <v>110</v>
      </c>
      <c r="D36" t="s">
        <v>3</v>
      </c>
      <c r="E36">
        <v>5.5804027469999999</v>
      </c>
      <c r="F36">
        <v>5.1833182550999997</v>
      </c>
      <c r="G36">
        <v>5.0009032439999999</v>
      </c>
      <c r="H36">
        <v>4.9637539326000004</v>
      </c>
      <c r="I36">
        <v>5.4687072732999997</v>
      </c>
      <c r="J36">
        <v>5.8048743924000004</v>
      </c>
      <c r="K36">
        <v>6.1812176735</v>
      </c>
      <c r="L36">
        <v>6.2873268514999996</v>
      </c>
      <c r="M36">
        <v>7.0706542913000003</v>
      </c>
      <c r="N36">
        <v>7.3534952442000003</v>
      </c>
      <c r="O36">
        <v>8.1471068483</v>
      </c>
      <c r="P36">
        <v>8.3888319612999993</v>
      </c>
      <c r="Q36">
        <v>8.5114620386999995</v>
      </c>
      <c r="R36">
        <v>8.3364352472000007</v>
      </c>
      <c r="S36">
        <v>8.4983944573999999</v>
      </c>
      <c r="T36">
        <v>8.8930216138000002</v>
      </c>
      <c r="U36">
        <v>8.3101946060999996</v>
      </c>
      <c r="V36">
        <v>7.7985267567000003</v>
      </c>
      <c r="W36">
        <v>8.1879994389000004</v>
      </c>
      <c r="X36">
        <v>7.9167776591000001</v>
      </c>
      <c r="Y36">
        <v>7.3350454117000004</v>
      </c>
      <c r="Z36">
        <v>6.3050851778999997</v>
      </c>
      <c r="AA36">
        <v>6.4495657231000001</v>
      </c>
      <c r="AB36">
        <v>5.4576882441999999</v>
      </c>
      <c r="AC36">
        <f t="shared" si="0"/>
        <v>6.9762828787208333</v>
      </c>
      <c r="AD36">
        <f t="shared" si="1"/>
        <v>7.2028498514999999</v>
      </c>
    </row>
    <row r="37" spans="1:30" hidden="1" x14ac:dyDescent="0.25">
      <c r="A37" t="s">
        <v>7</v>
      </c>
      <c r="B37" t="s">
        <v>16</v>
      </c>
      <c r="C37">
        <v>110</v>
      </c>
      <c r="D37" t="s">
        <v>4</v>
      </c>
      <c r="E37">
        <v>0.19716344999999999</v>
      </c>
      <c r="F37">
        <v>0.17195250000000001</v>
      </c>
      <c r="G37">
        <v>0.16938810000000001</v>
      </c>
      <c r="H37">
        <v>0.16480410000000001</v>
      </c>
      <c r="I37">
        <v>0.17692785</v>
      </c>
      <c r="J37">
        <v>0.18827445000000001</v>
      </c>
      <c r="K37">
        <v>0.19442280000000001</v>
      </c>
      <c r="L37">
        <v>0.1977372</v>
      </c>
      <c r="M37">
        <v>0.2179548</v>
      </c>
      <c r="N37">
        <v>0.24107400000000001</v>
      </c>
      <c r="O37">
        <v>0.25527254999999999</v>
      </c>
      <c r="P37">
        <v>0.26620139999999998</v>
      </c>
      <c r="Q37">
        <v>0.27320895000000001</v>
      </c>
      <c r="R37">
        <v>0.26672370000000001</v>
      </c>
      <c r="S37">
        <v>0.26435955</v>
      </c>
      <c r="T37">
        <v>0.26698814999999998</v>
      </c>
      <c r="U37">
        <v>0.26392500000000002</v>
      </c>
      <c r="V37">
        <v>0.25047540000000001</v>
      </c>
      <c r="W37">
        <v>0.29418165000000002</v>
      </c>
      <c r="X37">
        <v>0.30727169999999998</v>
      </c>
      <c r="Y37">
        <v>0.29969279999999998</v>
      </c>
      <c r="Z37">
        <v>0.25709399999999999</v>
      </c>
      <c r="AA37">
        <v>0.24112800000000001</v>
      </c>
      <c r="AB37">
        <v>0.21024000000000001</v>
      </c>
      <c r="AC37">
        <f t="shared" si="0"/>
        <v>0.23485258749999996</v>
      </c>
      <c r="AD37">
        <f t="shared" si="1"/>
        <v>0.24580170000000001</v>
      </c>
    </row>
    <row r="38" spans="1:30" hidden="1" x14ac:dyDescent="0.25">
      <c r="A38" t="s">
        <v>7</v>
      </c>
      <c r="B38" t="s">
        <v>17</v>
      </c>
      <c r="C38">
        <v>110</v>
      </c>
      <c r="D38" t="s">
        <v>2</v>
      </c>
      <c r="E38">
        <v>2.1346033499999999</v>
      </c>
      <c r="F38">
        <v>2.0891850000000001</v>
      </c>
      <c r="G38">
        <v>2.1713339999999999</v>
      </c>
      <c r="H38">
        <v>2.1899603499999998</v>
      </c>
      <c r="I38">
        <v>2.1664582499999998</v>
      </c>
      <c r="J38">
        <v>2.64406505</v>
      </c>
      <c r="K38">
        <v>5.8925064000000003</v>
      </c>
      <c r="L38">
        <v>5.2204211999999997</v>
      </c>
      <c r="M38">
        <v>5.1683541000000002</v>
      </c>
      <c r="N38">
        <v>5.6211783000000004</v>
      </c>
      <c r="O38">
        <v>5.4294480500000004</v>
      </c>
      <c r="P38">
        <v>5.5186792000000002</v>
      </c>
      <c r="Q38">
        <v>5.5520608500000002</v>
      </c>
      <c r="R38">
        <v>5.4959454000000001</v>
      </c>
      <c r="S38">
        <v>5.7408656499999999</v>
      </c>
      <c r="T38">
        <v>5.5988680500000001</v>
      </c>
      <c r="U38">
        <v>5.7634319999999999</v>
      </c>
      <c r="V38">
        <v>5.8286192999999997</v>
      </c>
      <c r="W38">
        <v>5.7003722999999997</v>
      </c>
      <c r="X38">
        <v>5.3686046000000003</v>
      </c>
      <c r="Y38">
        <v>5.2346051999999998</v>
      </c>
      <c r="Z38">
        <v>5.0035832999999998</v>
      </c>
      <c r="AA38">
        <v>3.1086008999999999</v>
      </c>
      <c r="AB38">
        <v>2.0061494999999998</v>
      </c>
      <c r="AC38">
        <f t="shared" si="0"/>
        <v>4.4436625125000004</v>
      </c>
      <c r="AD38">
        <f t="shared" si="1"/>
        <v>5.3016049000000001</v>
      </c>
    </row>
    <row r="39" spans="1:30" hidden="1" x14ac:dyDescent="0.25">
      <c r="A39" t="s">
        <v>7</v>
      </c>
      <c r="B39" t="s">
        <v>17</v>
      </c>
      <c r="C39">
        <v>110</v>
      </c>
      <c r="D39" t="s">
        <v>3</v>
      </c>
      <c r="E39">
        <v>0.17621321819999999</v>
      </c>
      <c r="F39">
        <v>0.1704064337</v>
      </c>
      <c r="G39">
        <v>0.1716472033</v>
      </c>
      <c r="H39">
        <v>0.1767180897</v>
      </c>
      <c r="I39">
        <v>0.20437123879999999</v>
      </c>
      <c r="J39">
        <v>0.2000504391</v>
      </c>
      <c r="K39">
        <v>0.43308047970000002</v>
      </c>
      <c r="L39">
        <v>0.41666266210000003</v>
      </c>
      <c r="M39">
        <v>0.40392065160000001</v>
      </c>
      <c r="N39">
        <v>0.40848683749999998</v>
      </c>
      <c r="O39">
        <v>0.41151607039999999</v>
      </c>
      <c r="P39">
        <v>0.41310709280000002</v>
      </c>
      <c r="Q39">
        <v>0.42228463529999999</v>
      </c>
      <c r="R39">
        <v>0.43023192690000001</v>
      </c>
      <c r="S39">
        <v>0.44643452890000002</v>
      </c>
      <c r="T39">
        <v>0.44969225839999999</v>
      </c>
      <c r="U39">
        <v>0.45707724799999999</v>
      </c>
      <c r="V39">
        <v>0.55730296570000004</v>
      </c>
      <c r="W39">
        <v>0.50622187210000003</v>
      </c>
      <c r="X39">
        <v>0.46185072500000002</v>
      </c>
      <c r="Y39">
        <v>0.43019477169999998</v>
      </c>
      <c r="Z39">
        <v>0.38974901940000001</v>
      </c>
      <c r="AA39">
        <v>0.28271110249999998</v>
      </c>
      <c r="AB39">
        <v>0.2005577419</v>
      </c>
      <c r="AC39">
        <f t="shared" si="0"/>
        <v>0.35918705052916677</v>
      </c>
      <c r="AD39">
        <f t="shared" si="1"/>
        <v>0.41231158160000003</v>
      </c>
    </row>
    <row r="40" spans="1:30" hidden="1" x14ac:dyDescent="0.25">
      <c r="A40" t="s">
        <v>7</v>
      </c>
      <c r="B40" t="s">
        <v>17</v>
      </c>
      <c r="C40">
        <v>110</v>
      </c>
      <c r="D40" t="s">
        <v>4</v>
      </c>
      <c r="E40">
        <v>3.2506649999999998E-2</v>
      </c>
      <c r="F40">
        <v>3.1815000000000003E-2</v>
      </c>
      <c r="G40">
        <v>3.3065999999999998E-2</v>
      </c>
      <c r="H40">
        <v>3.3349650000000002E-2</v>
      </c>
      <c r="I40">
        <v>3.299175E-2</v>
      </c>
      <c r="J40">
        <v>4.0264950000000001E-2</v>
      </c>
      <c r="K40">
        <v>8.9733599999999997E-2</v>
      </c>
      <c r="L40">
        <v>7.9498799999999994E-2</v>
      </c>
      <c r="M40">
        <v>7.8705899999999995E-2</v>
      </c>
      <c r="N40">
        <v>8.5601700000000003E-2</v>
      </c>
      <c r="O40">
        <v>8.2681950000000004E-2</v>
      </c>
      <c r="P40">
        <v>8.4040799999999999E-2</v>
      </c>
      <c r="Q40">
        <v>8.4549150000000003E-2</v>
      </c>
      <c r="R40">
        <v>8.3694599999999994E-2</v>
      </c>
      <c r="S40">
        <v>8.7424349999999998E-2</v>
      </c>
      <c r="T40">
        <v>8.5261950000000003E-2</v>
      </c>
      <c r="U40">
        <v>8.7767999999999999E-2</v>
      </c>
      <c r="V40">
        <v>8.8760699999999998E-2</v>
      </c>
      <c r="W40">
        <v>8.6807700000000002E-2</v>
      </c>
      <c r="X40">
        <v>8.1755400000000006E-2</v>
      </c>
      <c r="Y40">
        <v>7.9714800000000002E-2</v>
      </c>
      <c r="Z40">
        <v>7.6196700000000006E-2</v>
      </c>
      <c r="AA40">
        <v>4.7339100000000002E-2</v>
      </c>
      <c r="AB40">
        <v>3.0550500000000001E-2</v>
      </c>
      <c r="AC40">
        <f t="shared" si="0"/>
        <v>6.7669987500000001E-2</v>
      </c>
      <c r="AD40">
        <f t="shared" si="1"/>
        <v>8.0735100000000004E-2</v>
      </c>
    </row>
    <row r="41" spans="1:30" hidden="1" x14ac:dyDescent="0.25">
      <c r="A41" t="s">
        <v>7</v>
      </c>
      <c r="B41" t="s">
        <v>18</v>
      </c>
      <c r="C41">
        <v>115</v>
      </c>
      <c r="D41" t="s">
        <v>2</v>
      </c>
      <c r="E41">
        <v>5.1380653499999998</v>
      </c>
      <c r="F41">
        <v>4.5763100000000003</v>
      </c>
      <c r="G41">
        <v>4.4512346999999997</v>
      </c>
      <c r="H41">
        <v>4.4290229500000002</v>
      </c>
      <c r="I41">
        <v>4.6855957500000001</v>
      </c>
      <c r="J41">
        <v>5.0895639499999996</v>
      </c>
      <c r="K41">
        <v>5.3568239999999996</v>
      </c>
      <c r="L41">
        <v>5.6906207999999996</v>
      </c>
      <c r="M41">
        <v>6.3867006000000002</v>
      </c>
      <c r="N41">
        <v>6.6541872</v>
      </c>
      <c r="O41">
        <v>7.1043420499999996</v>
      </c>
      <c r="P41">
        <v>7.5526254000000002</v>
      </c>
      <c r="Q41">
        <v>7.5930498000000002</v>
      </c>
      <c r="R41">
        <v>7.4250777499999998</v>
      </c>
      <c r="S41">
        <v>7.27541685</v>
      </c>
      <c r="T41">
        <v>7.2199514999999996</v>
      </c>
      <c r="U41">
        <v>7.2042900000000003</v>
      </c>
      <c r="V41">
        <v>7.1593543000000004</v>
      </c>
      <c r="W41">
        <v>8.3997549500000002</v>
      </c>
      <c r="X41">
        <v>8.5656388000000003</v>
      </c>
      <c r="Y41">
        <v>8.0664408000000005</v>
      </c>
      <c r="Z41">
        <v>7.0710785999999999</v>
      </c>
      <c r="AA41">
        <v>6.7644086999999997</v>
      </c>
      <c r="AB41">
        <v>5.9537339999999999</v>
      </c>
      <c r="AC41">
        <f t="shared" si="0"/>
        <v>6.4922203666666656</v>
      </c>
      <c r="AD41">
        <f t="shared" si="1"/>
        <v>6.9177436500000002</v>
      </c>
    </row>
    <row r="42" spans="1:30" hidden="1" x14ac:dyDescent="0.25">
      <c r="A42" t="s">
        <v>7</v>
      </c>
      <c r="B42" t="s">
        <v>18</v>
      </c>
      <c r="C42">
        <v>115</v>
      </c>
      <c r="D42" t="s">
        <v>3</v>
      </c>
      <c r="E42">
        <v>2.6066540518000001</v>
      </c>
      <c r="F42">
        <v>2.4329870174999999</v>
      </c>
      <c r="G42">
        <v>2.3297838783999998</v>
      </c>
      <c r="H42">
        <v>2.4732963672000001</v>
      </c>
      <c r="I42">
        <v>2.4773767964000002</v>
      </c>
      <c r="J42">
        <v>2.5918010110999998</v>
      </c>
      <c r="K42">
        <v>2.2981155593000002</v>
      </c>
      <c r="L42">
        <v>2.8379452588</v>
      </c>
      <c r="M42">
        <v>2.9513929061000002</v>
      </c>
      <c r="N42">
        <v>2.9825075791</v>
      </c>
      <c r="O42">
        <v>3.3686242822999999</v>
      </c>
      <c r="P42">
        <v>3.6668829914000001</v>
      </c>
      <c r="Q42">
        <v>3.8927674872</v>
      </c>
      <c r="R42">
        <v>3.9489493550999999</v>
      </c>
      <c r="S42">
        <v>3.2861105311999999</v>
      </c>
      <c r="T42">
        <v>3.5542483274999999</v>
      </c>
      <c r="U42">
        <v>3.3709824415999998</v>
      </c>
      <c r="V42">
        <v>3.3744191344000001</v>
      </c>
      <c r="W42">
        <v>3.8223916474999999</v>
      </c>
      <c r="X42">
        <v>3.7303200058999999</v>
      </c>
      <c r="Y42">
        <v>3.7124440176000002</v>
      </c>
      <c r="Z42">
        <v>3.2350520583</v>
      </c>
      <c r="AA42">
        <v>3.3271384130000001</v>
      </c>
      <c r="AB42">
        <v>2.9653288855</v>
      </c>
      <c r="AC42">
        <f t="shared" si="0"/>
        <v>3.1348966668416662</v>
      </c>
      <c r="AD42">
        <f t="shared" si="1"/>
        <v>3.2605812947499997</v>
      </c>
    </row>
    <row r="43" spans="1:30" hidden="1" x14ac:dyDescent="0.25">
      <c r="A43" t="s">
        <v>7</v>
      </c>
      <c r="B43" t="s">
        <v>18</v>
      </c>
      <c r="C43">
        <v>115</v>
      </c>
      <c r="D43" t="s">
        <v>4</v>
      </c>
      <c r="E43">
        <v>7.8244649999999999E-2</v>
      </c>
      <c r="F43">
        <v>6.9690000000000002E-2</v>
      </c>
      <c r="G43">
        <v>6.7785300000000007E-2</v>
      </c>
      <c r="H43">
        <v>6.7447049999999995E-2</v>
      </c>
      <c r="I43">
        <v>7.1354249999999994E-2</v>
      </c>
      <c r="J43">
        <v>7.7506050000000007E-2</v>
      </c>
      <c r="K43">
        <v>8.1575999999999996E-2</v>
      </c>
      <c r="L43">
        <v>8.6659200000000006E-2</v>
      </c>
      <c r="M43">
        <v>9.7259399999999996E-2</v>
      </c>
      <c r="N43">
        <v>0.1013328</v>
      </c>
      <c r="O43">
        <v>0.10818795</v>
      </c>
      <c r="P43">
        <v>0.11501459999999999</v>
      </c>
      <c r="Q43">
        <v>0.1156302</v>
      </c>
      <c r="R43">
        <v>0.11307225</v>
      </c>
      <c r="S43">
        <v>0.11079315000000001</v>
      </c>
      <c r="T43">
        <v>0.1099485</v>
      </c>
      <c r="U43">
        <v>0.10971</v>
      </c>
      <c r="V43">
        <v>0.1090257</v>
      </c>
      <c r="W43">
        <v>0.12791505</v>
      </c>
      <c r="X43">
        <v>0.13044120000000001</v>
      </c>
      <c r="Y43">
        <v>0.1228392</v>
      </c>
      <c r="Z43">
        <v>0.1076814</v>
      </c>
      <c r="AA43">
        <v>0.1030113</v>
      </c>
      <c r="AB43">
        <v>9.0665999999999997E-2</v>
      </c>
      <c r="AC43">
        <f t="shared" si="0"/>
        <v>9.8866300000000018E-2</v>
      </c>
      <c r="AD43">
        <f t="shared" si="1"/>
        <v>0.10534635000000001</v>
      </c>
    </row>
    <row r="44" spans="1:30" hidden="1" x14ac:dyDescent="0.25">
      <c r="A44" t="s">
        <v>7</v>
      </c>
      <c r="B44" t="s">
        <v>19</v>
      </c>
      <c r="C44">
        <v>110</v>
      </c>
      <c r="D44" t="s">
        <v>2</v>
      </c>
      <c r="E44">
        <v>14.309351100000001</v>
      </c>
      <c r="F44">
        <v>12.813668</v>
      </c>
      <c r="G44">
        <v>12.514779600000001</v>
      </c>
      <c r="H44">
        <v>12.26574205</v>
      </c>
      <c r="I44">
        <v>13.069285349999999</v>
      </c>
      <c r="J44">
        <v>14.34901705</v>
      </c>
      <c r="K44">
        <v>15.03258735</v>
      </c>
      <c r="L44">
        <v>16.2881964</v>
      </c>
      <c r="M44">
        <v>16.518213599999999</v>
      </c>
      <c r="N44">
        <v>17.373331499999999</v>
      </c>
      <c r="O44">
        <v>17.712004050000001</v>
      </c>
      <c r="P44">
        <v>18.205952</v>
      </c>
      <c r="Q44">
        <v>17.698086</v>
      </c>
      <c r="R44">
        <v>17.667521449999999</v>
      </c>
      <c r="S44">
        <v>17.3733118</v>
      </c>
      <c r="T44">
        <v>16.878339449999999</v>
      </c>
      <c r="U44">
        <v>16.44753</v>
      </c>
      <c r="V44">
        <v>15.995434700000001</v>
      </c>
      <c r="W44">
        <v>16.889991999999999</v>
      </c>
      <c r="X44">
        <v>17.6138488</v>
      </c>
      <c r="Y44">
        <v>16.2616014</v>
      </c>
      <c r="Z44">
        <v>14.753842199999999</v>
      </c>
      <c r="AA44">
        <v>13.878098400000001</v>
      </c>
      <c r="AB44">
        <v>12.996828750000001</v>
      </c>
      <c r="AC44">
        <f t="shared" si="0"/>
        <v>15.621106791666669</v>
      </c>
      <c r="AD44">
        <f t="shared" si="1"/>
        <v>16.2748989</v>
      </c>
    </row>
    <row r="45" spans="1:30" hidden="1" x14ac:dyDescent="0.25">
      <c r="A45" t="s">
        <v>7</v>
      </c>
      <c r="B45" t="s">
        <v>19</v>
      </c>
      <c r="C45">
        <v>110</v>
      </c>
      <c r="D45" t="s">
        <v>3</v>
      </c>
      <c r="E45">
        <v>5.1726882806000001</v>
      </c>
      <c r="F45">
        <v>4.8055075548000001</v>
      </c>
      <c r="G45">
        <v>4.7706637185999998</v>
      </c>
      <c r="H45">
        <v>4.7319199142999997</v>
      </c>
      <c r="I45">
        <v>5.0206114181999997</v>
      </c>
      <c r="J45">
        <v>5.3190894439000003</v>
      </c>
      <c r="K45">
        <v>5.3970502903000002</v>
      </c>
      <c r="L45">
        <v>5.8728398107000004</v>
      </c>
      <c r="M45">
        <v>6.0406783923000003</v>
      </c>
      <c r="N45">
        <v>6.4322212182999996</v>
      </c>
      <c r="O45">
        <v>6.5291471504</v>
      </c>
      <c r="P45">
        <v>6.8153484488</v>
      </c>
      <c r="Q45">
        <v>6.5883296086999996</v>
      </c>
      <c r="R45">
        <v>6.5567510465999996</v>
      </c>
      <c r="S45">
        <v>6.5493153414999998</v>
      </c>
      <c r="T45">
        <v>6.399271851</v>
      </c>
      <c r="U45">
        <v>6.2354036687000001</v>
      </c>
      <c r="V45">
        <v>5.9758754747999996</v>
      </c>
      <c r="W45">
        <v>6.0231841873</v>
      </c>
      <c r="X45">
        <v>5.7096220278000001</v>
      </c>
      <c r="Y45">
        <v>4.8967312379000001</v>
      </c>
      <c r="Z45">
        <v>4.5115165082999997</v>
      </c>
      <c r="AA45">
        <v>4.2234504233000001</v>
      </c>
      <c r="AB45">
        <v>4.1450600974</v>
      </c>
      <c r="AC45">
        <f t="shared" si="0"/>
        <v>5.6134282131041671</v>
      </c>
      <c r="AD45">
        <f t="shared" si="1"/>
        <v>5.7912309192500002</v>
      </c>
    </row>
    <row r="46" spans="1:30" hidden="1" x14ac:dyDescent="0.25">
      <c r="A46" t="s">
        <v>7</v>
      </c>
      <c r="B46" t="s">
        <v>19</v>
      </c>
      <c r="C46">
        <v>110</v>
      </c>
      <c r="D46" t="s">
        <v>4</v>
      </c>
      <c r="E46">
        <v>0.21790889999999999</v>
      </c>
      <c r="F46">
        <v>0.195132</v>
      </c>
      <c r="G46">
        <v>0.19058040000000001</v>
      </c>
      <c r="H46">
        <v>0.18678795000000001</v>
      </c>
      <c r="I46">
        <v>0.19902465</v>
      </c>
      <c r="J46">
        <v>0.21851295000000001</v>
      </c>
      <c r="K46">
        <v>0.22892265000000001</v>
      </c>
      <c r="L46">
        <v>0.2480436</v>
      </c>
      <c r="M46">
        <v>0.2515464</v>
      </c>
      <c r="N46">
        <v>0.26456849999999998</v>
      </c>
      <c r="O46">
        <v>0.26972594999999999</v>
      </c>
      <c r="P46">
        <v>0.27724799999999999</v>
      </c>
      <c r="Q46">
        <v>0.26951399999999998</v>
      </c>
      <c r="R46">
        <v>0.26904855</v>
      </c>
      <c r="S46">
        <v>0.26456819999999998</v>
      </c>
      <c r="T46">
        <v>0.25703055000000002</v>
      </c>
      <c r="U46">
        <v>0.25047000000000003</v>
      </c>
      <c r="V46">
        <v>0.2435853</v>
      </c>
      <c r="W46">
        <v>0.25720799999999999</v>
      </c>
      <c r="X46">
        <v>0.2682312</v>
      </c>
      <c r="Y46">
        <v>0.24763859999999999</v>
      </c>
      <c r="Z46">
        <v>0.22467780000000001</v>
      </c>
      <c r="AA46">
        <v>0.21134159999999999</v>
      </c>
      <c r="AB46">
        <v>0.19792124999999999</v>
      </c>
      <c r="AC46">
        <f t="shared" si="0"/>
        <v>0.23788487500000002</v>
      </c>
      <c r="AD46">
        <f t="shared" si="1"/>
        <v>0.24784109999999998</v>
      </c>
    </row>
    <row r="47" spans="1:30" hidden="1" x14ac:dyDescent="0.25">
      <c r="A47" t="s">
        <v>7</v>
      </c>
      <c r="B47" t="s">
        <v>20</v>
      </c>
      <c r="C47">
        <v>110</v>
      </c>
      <c r="D47" t="s">
        <v>2</v>
      </c>
      <c r="E47">
        <v>25.089634350000001</v>
      </c>
      <c r="F47">
        <v>24.483258500000002</v>
      </c>
      <c r="G47">
        <v>24.782816700000001</v>
      </c>
      <c r="H47">
        <v>24.806456699999998</v>
      </c>
      <c r="I47">
        <v>24.536399249999999</v>
      </c>
      <c r="J47">
        <v>24.245971999999998</v>
      </c>
      <c r="K47">
        <v>23.82670675</v>
      </c>
      <c r="L47">
        <v>23.7390516</v>
      </c>
      <c r="M47">
        <v>23.558973900000002</v>
      </c>
      <c r="N47">
        <v>24.094597199999999</v>
      </c>
      <c r="O47">
        <v>23.7834948</v>
      </c>
      <c r="P47">
        <v>23.5255036</v>
      </c>
      <c r="Q47">
        <v>23.407146000000001</v>
      </c>
      <c r="R47">
        <v>23.565947699999999</v>
      </c>
      <c r="S47">
        <v>23.525217949999998</v>
      </c>
      <c r="T47">
        <v>23.635124250000001</v>
      </c>
      <c r="U47">
        <v>24.480993000000002</v>
      </c>
      <c r="V47">
        <v>24.432294599999999</v>
      </c>
      <c r="W47">
        <v>26.119166199999999</v>
      </c>
      <c r="X47">
        <v>25.47071115</v>
      </c>
      <c r="Y47">
        <v>24.9859434</v>
      </c>
      <c r="Z47">
        <v>22.510007999999999</v>
      </c>
      <c r="AA47">
        <v>23.331970800000001</v>
      </c>
      <c r="AB47">
        <v>23.3619345</v>
      </c>
      <c r="AC47">
        <f t="shared" si="0"/>
        <v>24.137471787500001</v>
      </c>
      <c r="AD47">
        <f t="shared" si="1"/>
        <v>23.960651974999998</v>
      </c>
    </row>
    <row r="48" spans="1:30" hidden="1" x14ac:dyDescent="0.25">
      <c r="A48" t="s">
        <v>7</v>
      </c>
      <c r="B48" t="s">
        <v>20</v>
      </c>
      <c r="C48">
        <v>110</v>
      </c>
      <c r="D48" t="s">
        <v>3</v>
      </c>
      <c r="E48">
        <v>11.124414807599999</v>
      </c>
      <c r="F48">
        <v>10.6711663492</v>
      </c>
      <c r="G48">
        <v>10.915089136300001</v>
      </c>
      <c r="H48">
        <v>11.0105715524</v>
      </c>
      <c r="I48">
        <v>11.0040689855</v>
      </c>
      <c r="J48">
        <v>10.491054695900001</v>
      </c>
      <c r="K48">
        <v>11.375982414299999</v>
      </c>
      <c r="L48">
        <v>11.994485656</v>
      </c>
      <c r="M48">
        <v>11.6102342987</v>
      </c>
      <c r="N48">
        <v>12.1680931234</v>
      </c>
      <c r="O48">
        <v>9.4714981899000001</v>
      </c>
      <c r="P48">
        <v>11.3298778027</v>
      </c>
      <c r="Q48">
        <v>10.9626088692</v>
      </c>
      <c r="R48">
        <v>11.240735415</v>
      </c>
      <c r="S48">
        <v>11.1628840048</v>
      </c>
      <c r="T48">
        <v>11.0442269455</v>
      </c>
      <c r="U48">
        <v>11.934926818799999</v>
      </c>
      <c r="V48">
        <v>11.8331003457</v>
      </c>
      <c r="W48">
        <v>10.685673659900001</v>
      </c>
      <c r="X48">
        <v>10.454117779100001</v>
      </c>
      <c r="Y48">
        <v>10.1107857133</v>
      </c>
      <c r="Z48">
        <v>9.1674296037000005</v>
      </c>
      <c r="AA48">
        <v>9.4067088261999992</v>
      </c>
      <c r="AB48">
        <v>9.5266568140000008</v>
      </c>
      <c r="AC48">
        <f t="shared" si="0"/>
        <v>10.862349658629165</v>
      </c>
      <c r="AD48">
        <f t="shared" si="1"/>
        <v>11.00732026895</v>
      </c>
    </row>
    <row r="49" spans="1:30" hidden="1" x14ac:dyDescent="0.25">
      <c r="A49" t="s">
        <v>7</v>
      </c>
      <c r="B49" t="s">
        <v>20</v>
      </c>
      <c r="C49">
        <v>110</v>
      </c>
      <c r="D49" t="s">
        <v>4</v>
      </c>
      <c r="E49">
        <v>0.38207564999999999</v>
      </c>
      <c r="F49">
        <v>0.37284149999999999</v>
      </c>
      <c r="G49">
        <v>0.3774033</v>
      </c>
      <c r="H49">
        <v>0.37776330000000002</v>
      </c>
      <c r="I49">
        <v>0.37365074999999998</v>
      </c>
      <c r="J49">
        <v>0.369228</v>
      </c>
      <c r="K49">
        <v>0.36284325000000001</v>
      </c>
      <c r="L49">
        <v>0.36150840000000001</v>
      </c>
      <c r="M49">
        <v>0.35876609999999998</v>
      </c>
      <c r="N49">
        <v>0.36692279999999999</v>
      </c>
      <c r="O49">
        <v>0.36218519999999998</v>
      </c>
      <c r="P49">
        <v>0.35825639999999997</v>
      </c>
      <c r="Q49">
        <v>0.35645399999999999</v>
      </c>
      <c r="R49">
        <v>0.35887229999999998</v>
      </c>
      <c r="S49">
        <v>0.35825204999999999</v>
      </c>
      <c r="T49">
        <v>0.35992574999999999</v>
      </c>
      <c r="U49">
        <v>0.372807</v>
      </c>
      <c r="V49">
        <v>0.37206539999999999</v>
      </c>
      <c r="W49">
        <v>0.39775379999999999</v>
      </c>
      <c r="X49">
        <v>0.38787885</v>
      </c>
      <c r="Y49">
        <v>0.38049660000000002</v>
      </c>
      <c r="Z49">
        <v>0.34279199999999999</v>
      </c>
      <c r="AA49">
        <v>0.35530919999999999</v>
      </c>
      <c r="AB49">
        <v>0.35576550000000001</v>
      </c>
      <c r="AC49">
        <f t="shared" si="0"/>
        <v>0.36757571250000004</v>
      </c>
      <c r="AD49">
        <f t="shared" si="1"/>
        <v>0.36488302500000003</v>
      </c>
    </row>
    <row r="50" spans="1:30" hidden="1" x14ac:dyDescent="0.25">
      <c r="A50" t="s">
        <v>7</v>
      </c>
      <c r="B50" t="s">
        <v>21</v>
      </c>
      <c r="C50">
        <v>110</v>
      </c>
      <c r="D50" t="s">
        <v>2</v>
      </c>
      <c r="E50">
        <v>28.082369700000001</v>
      </c>
      <c r="F50">
        <v>24.841404499999999</v>
      </c>
      <c r="G50">
        <v>23.618192100000002</v>
      </c>
      <c r="H50">
        <v>23.362850550000001</v>
      </c>
      <c r="I50">
        <v>24.153490349999998</v>
      </c>
      <c r="J50">
        <v>25.311958700000002</v>
      </c>
      <c r="K50">
        <v>25.969436349999999</v>
      </c>
      <c r="L50">
        <v>27.898509600000001</v>
      </c>
      <c r="M50">
        <v>30.753630600000001</v>
      </c>
      <c r="N50">
        <v>33.485587199999998</v>
      </c>
      <c r="O50">
        <v>36.05209335</v>
      </c>
      <c r="P50">
        <v>38.189829000000003</v>
      </c>
      <c r="Q50">
        <v>39.335423400000003</v>
      </c>
      <c r="R50">
        <v>39.359851399999997</v>
      </c>
      <c r="S50">
        <v>38.925535349999997</v>
      </c>
      <c r="T50">
        <v>38.510948849999998</v>
      </c>
      <c r="U50">
        <v>39.120654000000002</v>
      </c>
      <c r="V50">
        <v>38.830847300000002</v>
      </c>
      <c r="W50">
        <v>47.095933049999999</v>
      </c>
      <c r="X50">
        <v>48.392843149999997</v>
      </c>
      <c r="Y50">
        <v>46.9970292</v>
      </c>
      <c r="Z50">
        <v>40.897259099999999</v>
      </c>
      <c r="AA50">
        <v>38.735262900000002</v>
      </c>
      <c r="AB50">
        <v>34.039827000000002</v>
      </c>
      <c r="AC50">
        <f t="shared" si="0"/>
        <v>34.665031945833334</v>
      </c>
      <c r="AD50">
        <f t="shared" si="1"/>
        <v>37.120961175000005</v>
      </c>
    </row>
    <row r="51" spans="1:30" hidden="1" x14ac:dyDescent="0.25">
      <c r="A51" t="s">
        <v>7</v>
      </c>
      <c r="B51" t="s">
        <v>21</v>
      </c>
      <c r="C51">
        <v>110</v>
      </c>
      <c r="D51" t="s">
        <v>3</v>
      </c>
      <c r="E51">
        <v>14.230413301</v>
      </c>
      <c r="F51">
        <v>14.5297197129</v>
      </c>
      <c r="G51">
        <v>12.3481737646</v>
      </c>
      <c r="H51">
        <v>13.032669676599999</v>
      </c>
      <c r="I51">
        <v>14.059261445500001</v>
      </c>
      <c r="J51">
        <v>13.223976496100001</v>
      </c>
      <c r="K51">
        <v>13.764717687899999</v>
      </c>
      <c r="L51">
        <v>13.3303862263</v>
      </c>
      <c r="M51">
        <v>15.241377500900001</v>
      </c>
      <c r="N51">
        <v>15.378162999000001</v>
      </c>
      <c r="O51">
        <v>16.4646484947</v>
      </c>
      <c r="P51">
        <v>15.950500592699999</v>
      </c>
      <c r="Q51">
        <v>18.431576399099999</v>
      </c>
      <c r="R51">
        <v>18.6450227252</v>
      </c>
      <c r="S51">
        <v>19.293524892899999</v>
      </c>
      <c r="T51">
        <v>17.258929656700001</v>
      </c>
      <c r="U51">
        <v>17.604466657700002</v>
      </c>
      <c r="V51">
        <v>18.999780466000001</v>
      </c>
      <c r="W51">
        <v>22.084194525299999</v>
      </c>
      <c r="X51">
        <v>21.772738639100002</v>
      </c>
      <c r="Y51">
        <v>21.100642863200001</v>
      </c>
      <c r="Z51">
        <v>18.570157792900002</v>
      </c>
      <c r="AA51">
        <v>18.475251736299999</v>
      </c>
      <c r="AB51">
        <v>16.244441114200001</v>
      </c>
      <c r="AC51">
        <f t="shared" si="0"/>
        <v>16.668113973616666</v>
      </c>
      <c r="AD51">
        <f t="shared" si="1"/>
        <v>16.354544804450001</v>
      </c>
    </row>
    <row r="52" spans="1:30" hidden="1" x14ac:dyDescent="0.25">
      <c r="A52" t="s">
        <v>7</v>
      </c>
      <c r="B52" t="s">
        <v>21</v>
      </c>
      <c r="C52">
        <v>110</v>
      </c>
      <c r="D52" t="s">
        <v>4</v>
      </c>
      <c r="E52">
        <v>0.42765029999999998</v>
      </c>
      <c r="F52">
        <v>0.37829550000000001</v>
      </c>
      <c r="G52">
        <v>0.35966789999999998</v>
      </c>
      <c r="H52">
        <v>0.35577945</v>
      </c>
      <c r="I52">
        <v>0.36781965</v>
      </c>
      <c r="J52">
        <v>0.38546130000000001</v>
      </c>
      <c r="K52">
        <v>0.39547365000000001</v>
      </c>
      <c r="L52">
        <v>0.42485040000000002</v>
      </c>
      <c r="M52">
        <v>0.46832940000000001</v>
      </c>
      <c r="N52">
        <v>0.50993279999999996</v>
      </c>
      <c r="O52">
        <v>0.54901664999999999</v>
      </c>
      <c r="P52">
        <v>0.58157099999999995</v>
      </c>
      <c r="Q52">
        <v>0.59901660000000001</v>
      </c>
      <c r="R52">
        <v>0.59938860000000005</v>
      </c>
      <c r="S52">
        <v>0.59277464999999996</v>
      </c>
      <c r="T52">
        <v>0.58646114999999999</v>
      </c>
      <c r="U52">
        <v>0.595746</v>
      </c>
      <c r="V52">
        <v>0.59133270000000004</v>
      </c>
      <c r="W52">
        <v>0.71719695000000006</v>
      </c>
      <c r="X52">
        <v>0.73694685000000004</v>
      </c>
      <c r="Y52">
        <v>0.71569079999999996</v>
      </c>
      <c r="Z52">
        <v>0.62280089999999999</v>
      </c>
      <c r="AA52">
        <v>0.58987710000000004</v>
      </c>
      <c r="AB52">
        <v>0.51837299999999997</v>
      </c>
      <c r="AC52">
        <f t="shared" si="0"/>
        <v>0.52789388749999999</v>
      </c>
      <c r="AD52">
        <f t="shared" si="1"/>
        <v>0.56529382499999992</v>
      </c>
    </row>
    <row r="53" spans="1:30" hidden="1" x14ac:dyDescent="0.25">
      <c r="A53" t="s">
        <v>7</v>
      </c>
      <c r="B53" t="s">
        <v>22</v>
      </c>
      <c r="C53">
        <v>44</v>
      </c>
      <c r="D53" t="s">
        <v>2</v>
      </c>
      <c r="E53">
        <v>6.1055874000000001</v>
      </c>
      <c r="F53">
        <v>5.5353050000000001</v>
      </c>
      <c r="G53">
        <v>5.7830430000000002</v>
      </c>
      <c r="H53">
        <v>5.9572744000000002</v>
      </c>
      <c r="I53">
        <v>4.9317807</v>
      </c>
      <c r="J53">
        <v>4.2710555000000001</v>
      </c>
      <c r="K53">
        <v>4.1872280999999996</v>
      </c>
      <c r="L53">
        <v>4.3573176</v>
      </c>
      <c r="M53">
        <v>4.7739132</v>
      </c>
      <c r="N53">
        <v>4.6900469999999999</v>
      </c>
      <c r="O53">
        <v>4.8519496999999996</v>
      </c>
      <c r="P53">
        <v>4.7342984000000001</v>
      </c>
      <c r="Q53">
        <v>5.4253457999999997</v>
      </c>
      <c r="R53">
        <v>6.3279598999999997</v>
      </c>
      <c r="S53">
        <v>5.8423391000000002</v>
      </c>
      <c r="T53">
        <v>6.7209650999999999</v>
      </c>
      <c r="U53">
        <v>6.1709459999999998</v>
      </c>
      <c r="V53">
        <v>6.3819888999999996</v>
      </c>
      <c r="W53">
        <v>7.5441555999999999</v>
      </c>
      <c r="X53">
        <v>7.9154230999999999</v>
      </c>
      <c r="Y53">
        <v>7.8309264000000001</v>
      </c>
      <c r="Z53">
        <v>7.2645822000000004</v>
      </c>
      <c r="AA53">
        <v>7.6015601999999998</v>
      </c>
      <c r="AB53">
        <v>6.8402459999999996</v>
      </c>
      <c r="AC53">
        <f t="shared" si="0"/>
        <v>5.9185515958333328</v>
      </c>
      <c r="AD53">
        <f t="shared" si="1"/>
        <v>5.8998067499999998</v>
      </c>
    </row>
    <row r="54" spans="1:30" hidden="1" x14ac:dyDescent="0.25">
      <c r="A54" t="s">
        <v>7</v>
      </c>
      <c r="B54" t="s">
        <v>22</v>
      </c>
      <c r="C54">
        <v>44</v>
      </c>
      <c r="D54" t="s">
        <v>3</v>
      </c>
      <c r="E54">
        <v>0.50402113579999996</v>
      </c>
      <c r="F54">
        <v>0.45149260829999999</v>
      </c>
      <c r="G54">
        <v>0.45715820680000002</v>
      </c>
      <c r="H54">
        <v>0.48072018859999999</v>
      </c>
      <c r="I54">
        <v>0.46523588960000001</v>
      </c>
      <c r="J54">
        <v>0.32314883039999998</v>
      </c>
      <c r="K54">
        <v>0.30774794820000001</v>
      </c>
      <c r="L54">
        <v>0.34777491719999998</v>
      </c>
      <c r="M54">
        <v>0.37309404369999999</v>
      </c>
      <c r="N54">
        <v>0.3408222199</v>
      </c>
      <c r="O54">
        <v>0.36774553430000001</v>
      </c>
      <c r="P54">
        <v>0.35439136389999998</v>
      </c>
      <c r="Q54">
        <v>0.41264680520000002</v>
      </c>
      <c r="R54">
        <v>0.49536343309999997</v>
      </c>
      <c r="S54">
        <v>0.454325543</v>
      </c>
      <c r="T54">
        <v>0.53981732520000003</v>
      </c>
      <c r="U54">
        <v>0.48939573079999998</v>
      </c>
      <c r="V54">
        <v>0.61021335539999999</v>
      </c>
      <c r="W54">
        <v>0.66995914830000003</v>
      </c>
      <c r="X54">
        <v>0.68094862069999995</v>
      </c>
      <c r="Y54">
        <v>0.64356784639999998</v>
      </c>
      <c r="Z54">
        <v>0.56586722339999995</v>
      </c>
      <c r="AA54">
        <v>0.69132241000000005</v>
      </c>
      <c r="AB54">
        <v>0.68382954139999996</v>
      </c>
      <c r="AC54">
        <f t="shared" si="0"/>
        <v>0.48794207789999994</v>
      </c>
      <c r="AD54">
        <f t="shared" si="1"/>
        <v>0.47297803910000003</v>
      </c>
    </row>
    <row r="55" spans="1:30" hidden="1" x14ac:dyDescent="0.25">
      <c r="A55" t="s">
        <v>7</v>
      </c>
      <c r="B55" t="s">
        <v>22</v>
      </c>
      <c r="C55">
        <v>44</v>
      </c>
      <c r="D55" t="s">
        <v>4</v>
      </c>
      <c r="E55">
        <v>0.18883259999999999</v>
      </c>
      <c r="F55">
        <v>0.17119500000000001</v>
      </c>
      <c r="G55">
        <v>0.17885699999999999</v>
      </c>
      <c r="H55">
        <v>0.18424560000000001</v>
      </c>
      <c r="I55">
        <v>0.15252930000000001</v>
      </c>
      <c r="J55">
        <v>0.1320945</v>
      </c>
      <c r="K55">
        <v>0.1295019</v>
      </c>
      <c r="L55">
        <v>0.1347624</v>
      </c>
      <c r="M55">
        <v>0.14764679999999999</v>
      </c>
      <c r="N55">
        <v>0.14505299999999999</v>
      </c>
      <c r="O55">
        <v>0.15006030000000001</v>
      </c>
      <c r="P55">
        <v>0.14642160000000001</v>
      </c>
      <c r="Q55">
        <v>0.1677942</v>
      </c>
      <c r="R55">
        <v>0.1957101</v>
      </c>
      <c r="S55">
        <v>0.18069089999999999</v>
      </c>
      <c r="T55">
        <v>0.20786489999999999</v>
      </c>
      <c r="U55">
        <v>0.190854</v>
      </c>
      <c r="V55">
        <v>0.1973811</v>
      </c>
      <c r="W55">
        <v>0.23332439999999999</v>
      </c>
      <c r="X55">
        <v>0.24480689999999999</v>
      </c>
      <c r="Y55">
        <v>0.24219360000000001</v>
      </c>
      <c r="Z55">
        <v>0.22467780000000001</v>
      </c>
      <c r="AA55">
        <v>0.2350998</v>
      </c>
      <c r="AB55">
        <v>0.21155399999999999</v>
      </c>
      <c r="AC55">
        <f t="shared" si="0"/>
        <v>0.18304798749999995</v>
      </c>
      <c r="AD55">
        <f t="shared" si="1"/>
        <v>0.18246825</v>
      </c>
    </row>
    <row r="56" spans="1:30" hidden="1" x14ac:dyDescent="0.25">
      <c r="A56" t="s">
        <v>7</v>
      </c>
      <c r="B56" t="s">
        <v>23</v>
      </c>
      <c r="C56">
        <v>44</v>
      </c>
      <c r="D56" t="s">
        <v>2</v>
      </c>
      <c r="E56">
        <v>12.591453599999999</v>
      </c>
      <c r="F56">
        <v>11.922948999999999</v>
      </c>
      <c r="G56">
        <v>11.634121800000001</v>
      </c>
      <c r="H56">
        <v>12.3884229</v>
      </c>
      <c r="I56">
        <v>11.6497194</v>
      </c>
      <c r="J56">
        <v>11.1047443</v>
      </c>
      <c r="K56">
        <v>10.6384168</v>
      </c>
      <c r="L56">
        <v>11.112940800000001</v>
      </c>
      <c r="M56">
        <v>11.644306800000001</v>
      </c>
      <c r="N56">
        <v>11.401438199999999</v>
      </c>
      <c r="O56">
        <v>11.793124199999999</v>
      </c>
      <c r="P56">
        <v>11.415542</v>
      </c>
      <c r="Q56">
        <v>12.5513829</v>
      </c>
      <c r="R56">
        <v>14.077318999999999</v>
      </c>
      <c r="S56">
        <v>12.8990212</v>
      </c>
      <c r="T56">
        <v>14.3273268</v>
      </c>
      <c r="U56">
        <v>12.890718</v>
      </c>
      <c r="V56">
        <v>13.314375200000001</v>
      </c>
      <c r="W56">
        <v>18.682180599999999</v>
      </c>
      <c r="X56">
        <v>18.4891215</v>
      </c>
      <c r="Y56">
        <v>16.619592000000001</v>
      </c>
      <c r="Z56">
        <v>14.3243586</v>
      </c>
      <c r="AA56">
        <v>13.930460999999999</v>
      </c>
      <c r="AB56">
        <v>12.6926925</v>
      </c>
      <c r="AC56">
        <f t="shared" si="0"/>
        <v>13.087322045833332</v>
      </c>
      <c r="AD56">
        <f t="shared" si="1"/>
        <v>12.571418250000001</v>
      </c>
    </row>
    <row r="57" spans="1:30" hidden="1" x14ac:dyDescent="0.25">
      <c r="A57" t="s">
        <v>7</v>
      </c>
      <c r="B57" t="s">
        <v>23</v>
      </c>
      <c r="C57">
        <v>44</v>
      </c>
      <c r="D57" t="s">
        <v>3</v>
      </c>
      <c r="E57">
        <v>1.0394345917000001</v>
      </c>
      <c r="F57">
        <v>0.97250708760000004</v>
      </c>
      <c r="G57">
        <v>0.91969474569999998</v>
      </c>
      <c r="H57">
        <v>0.9996794833</v>
      </c>
      <c r="I57">
        <v>1.0989676749999999</v>
      </c>
      <c r="J57">
        <v>0.84018695919999997</v>
      </c>
      <c r="K57">
        <v>0.78188980029999999</v>
      </c>
      <c r="L57">
        <v>0.88696818129999999</v>
      </c>
      <c r="M57">
        <v>0.9100336201</v>
      </c>
      <c r="N57">
        <v>0.82853401640000002</v>
      </c>
      <c r="O57">
        <v>0.89384042070000003</v>
      </c>
      <c r="P57">
        <v>0.85452355499999999</v>
      </c>
      <c r="Q57">
        <v>0.95464662469999995</v>
      </c>
      <c r="R57">
        <v>1.1019964064000001</v>
      </c>
      <c r="S57">
        <v>1.003083647</v>
      </c>
      <c r="T57">
        <v>1.15074831</v>
      </c>
      <c r="U57">
        <v>1.0223168954999999</v>
      </c>
      <c r="V57">
        <v>1.2730529142</v>
      </c>
      <c r="W57">
        <v>1.6590720644000001</v>
      </c>
      <c r="X57">
        <v>1.5905835513</v>
      </c>
      <c r="Y57">
        <v>1.3658454297</v>
      </c>
      <c r="Z57">
        <v>1.1157813079000001</v>
      </c>
      <c r="AA57">
        <v>1.2669030590999999</v>
      </c>
      <c r="AB57">
        <v>1.2689073012000001</v>
      </c>
      <c r="AC57">
        <f t="shared" si="0"/>
        <v>1.0749665686541667</v>
      </c>
      <c r="AD57">
        <f t="shared" si="1"/>
        <v>1.01270027125</v>
      </c>
    </row>
    <row r="58" spans="1:30" hidden="1" x14ac:dyDescent="0.25">
      <c r="A58" t="s">
        <v>7</v>
      </c>
      <c r="B58" t="s">
        <v>23</v>
      </c>
      <c r="C58">
        <v>44</v>
      </c>
      <c r="D58" t="s">
        <v>4</v>
      </c>
      <c r="E58">
        <v>0.38942640000000001</v>
      </c>
      <c r="F58">
        <v>0.368751</v>
      </c>
      <c r="G58">
        <v>0.35981819999999998</v>
      </c>
      <c r="H58">
        <v>0.38314710000000002</v>
      </c>
      <c r="I58">
        <v>0.36030060000000003</v>
      </c>
      <c r="J58">
        <v>0.34344570000000002</v>
      </c>
      <c r="K58">
        <v>0.32902320000000002</v>
      </c>
      <c r="L58">
        <v>0.34369919999999998</v>
      </c>
      <c r="M58">
        <v>0.36013319999999999</v>
      </c>
      <c r="N58">
        <v>0.35262179999999999</v>
      </c>
      <c r="O58">
        <v>0.3647358</v>
      </c>
      <c r="P58">
        <v>0.35305799999999998</v>
      </c>
      <c r="Q58">
        <v>0.38818710000000001</v>
      </c>
      <c r="R58">
        <v>0.43538100000000002</v>
      </c>
      <c r="S58">
        <v>0.39893879999999998</v>
      </c>
      <c r="T58">
        <v>0.44311319999999998</v>
      </c>
      <c r="U58">
        <v>0.39868199999999998</v>
      </c>
      <c r="V58">
        <v>0.41178480000000001</v>
      </c>
      <c r="W58">
        <v>0.57779939999999996</v>
      </c>
      <c r="X58">
        <v>0.57182849999999996</v>
      </c>
      <c r="Y58">
        <v>0.51400800000000002</v>
      </c>
      <c r="Z58">
        <v>0.44302140000000001</v>
      </c>
      <c r="AA58">
        <v>0.43083900000000003</v>
      </c>
      <c r="AB58">
        <v>0.3925575</v>
      </c>
      <c r="AC58">
        <f t="shared" si="0"/>
        <v>0.40476253750000007</v>
      </c>
      <c r="AD58">
        <f t="shared" si="1"/>
        <v>0.38880674999999998</v>
      </c>
    </row>
    <row r="59" spans="1:30" hidden="1" x14ac:dyDescent="0.25">
      <c r="A59" t="s">
        <v>7</v>
      </c>
      <c r="B59" t="s">
        <v>24</v>
      </c>
      <c r="C59">
        <v>13</v>
      </c>
      <c r="D59" t="s">
        <v>2</v>
      </c>
      <c r="E59">
        <v>5.4831149999999997</v>
      </c>
      <c r="F59">
        <v>4.9318299999999997</v>
      </c>
      <c r="G59">
        <v>5.0926650000000002</v>
      </c>
      <c r="H59">
        <v>5.1714390000000003</v>
      </c>
      <c r="I59">
        <v>4.2567029999999999</v>
      </c>
      <c r="J59">
        <v>3.7193355000000001</v>
      </c>
      <c r="K59">
        <v>3.6380629999999998</v>
      </c>
      <c r="L59">
        <v>3.7674720000000002</v>
      </c>
      <c r="M59">
        <v>4.0446629999999999</v>
      </c>
      <c r="N59">
        <v>4.3086869999999999</v>
      </c>
      <c r="O59">
        <v>4.4961409999999997</v>
      </c>
      <c r="P59">
        <v>4.3897599999999999</v>
      </c>
      <c r="Q59">
        <v>4.9831110000000001</v>
      </c>
      <c r="R59">
        <v>5.8093070000000004</v>
      </c>
      <c r="S59">
        <v>5.4311594999999997</v>
      </c>
      <c r="T59">
        <v>6.4247265000000002</v>
      </c>
      <c r="U59">
        <v>5.9519399999999996</v>
      </c>
      <c r="V59">
        <v>6.1605600000000003</v>
      </c>
      <c r="W59">
        <v>7.1849829999999999</v>
      </c>
      <c r="X59">
        <v>7.1704385000000004</v>
      </c>
      <c r="Y59">
        <v>7.0763220000000002</v>
      </c>
      <c r="Z59">
        <v>6.6074400000000004</v>
      </c>
      <c r="AA59">
        <v>6.9619799999999996</v>
      </c>
      <c r="AB59">
        <v>6.2623049999999996</v>
      </c>
      <c r="AC59">
        <f t="shared" si="0"/>
        <v>5.3885060833333336</v>
      </c>
      <c r="AD59">
        <f t="shared" si="1"/>
        <v>5.3012992499999996</v>
      </c>
    </row>
    <row r="60" spans="1:30" hidden="1" x14ac:dyDescent="0.25">
      <c r="A60" t="s">
        <v>7</v>
      </c>
      <c r="B60" t="s">
        <v>24</v>
      </c>
      <c r="C60">
        <v>13</v>
      </c>
      <c r="D60" t="s">
        <v>3</v>
      </c>
      <c r="E60">
        <v>0.45263554010000001</v>
      </c>
      <c r="F60">
        <v>0.4022695751</v>
      </c>
      <c r="G60">
        <v>0.4025827924</v>
      </c>
      <c r="H60">
        <v>0.41730747400000001</v>
      </c>
      <c r="I60">
        <v>0.40155293339999998</v>
      </c>
      <c r="J60">
        <v>0.28140559549999999</v>
      </c>
      <c r="K60">
        <v>0.26738605989999997</v>
      </c>
      <c r="L60">
        <v>0.30069698449999999</v>
      </c>
      <c r="M60">
        <v>0.31610119650000001</v>
      </c>
      <c r="N60">
        <v>0.31310907300000002</v>
      </c>
      <c r="O60">
        <v>0.34077760010000002</v>
      </c>
      <c r="P60">
        <v>0.3286005447</v>
      </c>
      <c r="Q60">
        <v>0.37901083359999999</v>
      </c>
      <c r="R60">
        <v>0.45476240449999999</v>
      </c>
      <c r="S60">
        <v>0.42235043989999999</v>
      </c>
      <c r="T60">
        <v>0.51602390760000005</v>
      </c>
      <c r="U60">
        <v>0.47202714559999998</v>
      </c>
      <c r="V60">
        <v>0.58904144899999999</v>
      </c>
      <c r="W60">
        <v>0.63806280609999999</v>
      </c>
      <c r="X60">
        <v>0.61685902889999999</v>
      </c>
      <c r="Y60">
        <v>0.5815523065</v>
      </c>
      <c r="Z60">
        <v>0.51467980170000005</v>
      </c>
      <c r="AA60">
        <v>0.63315591339999999</v>
      </c>
      <c r="AB60">
        <v>0.62605192220000005</v>
      </c>
      <c r="AC60">
        <f t="shared" si="0"/>
        <v>0.44450013867500004</v>
      </c>
      <c r="AD60">
        <f t="shared" si="1"/>
        <v>0.41982895695</v>
      </c>
    </row>
    <row r="61" spans="1:30" hidden="1" x14ac:dyDescent="0.25">
      <c r="A61" t="s">
        <v>7</v>
      </c>
      <c r="B61" t="s">
        <v>24</v>
      </c>
      <c r="C61">
        <v>13</v>
      </c>
      <c r="D61" t="s">
        <v>4</v>
      </c>
      <c r="E61">
        <v>0.28858499999999998</v>
      </c>
      <c r="F61">
        <v>0.25957000000000002</v>
      </c>
      <c r="G61">
        <v>0.26803500000000002</v>
      </c>
      <c r="H61">
        <v>0.27218100000000001</v>
      </c>
      <c r="I61">
        <v>0.22403699999999999</v>
      </c>
      <c r="J61">
        <v>0.1957545</v>
      </c>
      <c r="K61">
        <v>0.19147700000000001</v>
      </c>
      <c r="L61">
        <v>0.19828799999999999</v>
      </c>
      <c r="M61">
        <v>0.21287700000000001</v>
      </c>
      <c r="N61">
        <v>0.226773</v>
      </c>
      <c r="O61">
        <v>0.23663899999999999</v>
      </c>
      <c r="P61">
        <v>0.23104</v>
      </c>
      <c r="Q61">
        <v>0.26226899999999997</v>
      </c>
      <c r="R61">
        <v>0.305753</v>
      </c>
      <c r="S61">
        <v>0.28585050000000001</v>
      </c>
      <c r="T61">
        <v>0.33814349999999999</v>
      </c>
      <c r="U61">
        <v>0.31325999999999998</v>
      </c>
      <c r="V61">
        <v>0.32423999999999997</v>
      </c>
      <c r="W61">
        <v>0.37815700000000002</v>
      </c>
      <c r="X61">
        <v>0.37739149999999999</v>
      </c>
      <c r="Y61">
        <v>0.37243799999999999</v>
      </c>
      <c r="Z61">
        <v>0.34776000000000001</v>
      </c>
      <c r="AA61">
        <v>0.36642000000000002</v>
      </c>
      <c r="AB61">
        <v>0.32959500000000003</v>
      </c>
      <c r="AC61">
        <f t="shared" si="0"/>
        <v>0.2836055833333333</v>
      </c>
      <c r="AD61">
        <f t="shared" si="1"/>
        <v>0.27901575000000001</v>
      </c>
    </row>
    <row r="62" spans="1:30" hidden="1" x14ac:dyDescent="0.25">
      <c r="A62" t="s">
        <v>7</v>
      </c>
      <c r="B62" t="s">
        <v>25</v>
      </c>
      <c r="C62">
        <v>115</v>
      </c>
      <c r="D62" t="s">
        <v>2</v>
      </c>
      <c r="E62">
        <v>5.97474405</v>
      </c>
      <c r="F62">
        <v>5.7004904999999999</v>
      </c>
      <c r="G62">
        <v>5.7540351000000003</v>
      </c>
      <c r="H62">
        <v>5.6663996499999998</v>
      </c>
      <c r="I62">
        <v>5.7134038499999997</v>
      </c>
      <c r="J62">
        <v>5.6539098499999998</v>
      </c>
      <c r="K62">
        <v>5.4461044000000003</v>
      </c>
      <c r="L62">
        <v>5.5338875999999999</v>
      </c>
      <c r="M62">
        <v>5.5274457000000004</v>
      </c>
      <c r="N62">
        <v>5.5406841</v>
      </c>
      <c r="O62">
        <v>5.6527672500000001</v>
      </c>
      <c r="P62">
        <v>5.7178068</v>
      </c>
      <c r="Q62">
        <v>5.8232412</v>
      </c>
      <c r="R62">
        <v>5.9261835500000002</v>
      </c>
      <c r="S62">
        <v>6.0148926500000002</v>
      </c>
      <c r="T62">
        <v>5.9666769000000004</v>
      </c>
      <c r="U62">
        <v>6.0760709999999998</v>
      </c>
      <c r="V62">
        <v>6.08145895</v>
      </c>
      <c r="W62">
        <v>6.9218806500000003</v>
      </c>
      <c r="X62">
        <v>7.13300555</v>
      </c>
      <c r="Y62">
        <v>6.8936603999999999</v>
      </c>
      <c r="Z62">
        <v>6.1902521999999998</v>
      </c>
      <c r="AA62">
        <v>6.1240601999999997</v>
      </c>
      <c r="AB62">
        <v>5.9860912500000003</v>
      </c>
      <c r="AC62">
        <f t="shared" si="0"/>
        <v>5.9591313895833329</v>
      </c>
      <c r="AD62">
        <f t="shared" si="1"/>
        <v>5.8747123749999997</v>
      </c>
    </row>
    <row r="63" spans="1:30" hidden="1" x14ac:dyDescent="0.25">
      <c r="A63" t="s">
        <v>7</v>
      </c>
      <c r="B63" t="s">
        <v>25</v>
      </c>
      <c r="C63">
        <v>115</v>
      </c>
      <c r="D63" t="s">
        <v>3</v>
      </c>
      <c r="E63">
        <v>0.24650236210000001</v>
      </c>
      <c r="F63">
        <v>0.30837540190000001</v>
      </c>
      <c r="G63">
        <v>0.3644640569</v>
      </c>
      <c r="H63">
        <v>0.48211263529999998</v>
      </c>
      <c r="I63">
        <v>0.45745261720000002</v>
      </c>
      <c r="J63">
        <v>0.51419372870000002</v>
      </c>
      <c r="K63">
        <v>0.72311742889999997</v>
      </c>
      <c r="L63">
        <v>0.42745722250000001</v>
      </c>
      <c r="M63">
        <v>0.26646867140000002</v>
      </c>
      <c r="N63">
        <v>0.1445197516</v>
      </c>
      <c r="O63">
        <v>4.3787459899999999E-2</v>
      </c>
      <c r="P63">
        <v>0.1576744524</v>
      </c>
      <c r="Q63">
        <v>0.21486030810000001</v>
      </c>
      <c r="R63">
        <v>0.23718967939999999</v>
      </c>
      <c r="S63">
        <v>0.31861284299999998</v>
      </c>
      <c r="T63">
        <v>0.2033058254</v>
      </c>
      <c r="U63">
        <v>8.5935064699999994E-2</v>
      </c>
      <c r="V63">
        <v>0.24492252119999999</v>
      </c>
      <c r="W63">
        <v>4.3778692500000001E-2</v>
      </c>
      <c r="X63">
        <v>4.5113990299999997E-2</v>
      </c>
      <c r="Y63">
        <v>6.1661238799999997E-2</v>
      </c>
      <c r="Z63">
        <v>0.17293515540000001</v>
      </c>
      <c r="AA63">
        <v>0.34137034970000002</v>
      </c>
      <c r="AB63">
        <v>0.45767186339999999</v>
      </c>
      <c r="AC63">
        <f t="shared" si="0"/>
        <v>0.27347847169583339</v>
      </c>
      <c r="AD63">
        <f t="shared" si="1"/>
        <v>0.24571244165</v>
      </c>
    </row>
    <row r="64" spans="1:30" hidden="1" x14ac:dyDescent="0.25">
      <c r="A64" t="s">
        <v>7</v>
      </c>
      <c r="B64" t="s">
        <v>25</v>
      </c>
      <c r="C64">
        <v>115</v>
      </c>
      <c r="D64" t="s">
        <v>4</v>
      </c>
      <c r="E64">
        <v>9.0985949999999996E-2</v>
      </c>
      <c r="F64">
        <v>8.6809499999999998E-2</v>
      </c>
      <c r="G64">
        <v>8.7624900000000006E-2</v>
      </c>
      <c r="H64">
        <v>8.6290350000000002E-2</v>
      </c>
      <c r="I64">
        <v>8.7006150000000004E-2</v>
      </c>
      <c r="J64">
        <v>8.610015E-2</v>
      </c>
      <c r="K64">
        <v>8.2935599999999998E-2</v>
      </c>
      <c r="L64">
        <v>8.4272399999999997E-2</v>
      </c>
      <c r="M64">
        <v>8.4174299999999994E-2</v>
      </c>
      <c r="N64">
        <v>8.4375900000000004E-2</v>
      </c>
      <c r="O64">
        <v>8.608275E-2</v>
      </c>
      <c r="P64">
        <v>8.7073200000000003E-2</v>
      </c>
      <c r="Q64">
        <v>8.8678800000000002E-2</v>
      </c>
      <c r="R64">
        <v>9.0246450000000006E-2</v>
      </c>
      <c r="S64">
        <v>9.1597349999999994E-2</v>
      </c>
      <c r="T64">
        <v>9.0863100000000002E-2</v>
      </c>
      <c r="U64">
        <v>9.2529E-2</v>
      </c>
      <c r="V64">
        <v>9.261105E-2</v>
      </c>
      <c r="W64">
        <v>0.10540935</v>
      </c>
      <c r="X64">
        <v>0.10862445</v>
      </c>
      <c r="Y64">
        <v>0.10497960000000001</v>
      </c>
      <c r="Z64">
        <v>9.4267799999999999E-2</v>
      </c>
      <c r="AA64">
        <v>9.3259800000000004E-2</v>
      </c>
      <c r="AB64">
        <v>9.1158749999999997E-2</v>
      </c>
      <c r="AC64">
        <f t="shared" si="0"/>
        <v>9.0748193749999984E-2</v>
      </c>
      <c r="AD64">
        <f t="shared" si="1"/>
        <v>8.9462625000000004E-2</v>
      </c>
    </row>
    <row r="65" spans="1:30" hidden="1" x14ac:dyDescent="0.25">
      <c r="A65" t="s">
        <v>7</v>
      </c>
      <c r="B65" t="s">
        <v>26</v>
      </c>
      <c r="C65">
        <v>110</v>
      </c>
      <c r="D65" t="s">
        <v>2</v>
      </c>
      <c r="E65">
        <v>48.956430599999997</v>
      </c>
      <c r="F65">
        <v>45.355211500000003</v>
      </c>
      <c r="G65">
        <v>45.351271500000003</v>
      </c>
      <c r="H65">
        <v>44.388433999999997</v>
      </c>
      <c r="I65">
        <v>44.729805450000001</v>
      </c>
      <c r="J65">
        <v>45.941936599999998</v>
      </c>
      <c r="K65">
        <v>52.15091365</v>
      </c>
      <c r="L65">
        <v>61.692598799999999</v>
      </c>
      <c r="M65">
        <v>73.716375600000006</v>
      </c>
      <c r="N65">
        <v>82.265072399999994</v>
      </c>
      <c r="O65">
        <v>87.178232699999995</v>
      </c>
      <c r="P65">
        <v>87.971728999999996</v>
      </c>
      <c r="Q65">
        <v>85.393264950000003</v>
      </c>
      <c r="R65">
        <v>81.537068750000003</v>
      </c>
      <c r="S65">
        <v>79.782961049999997</v>
      </c>
      <c r="T65">
        <v>77.049142799999998</v>
      </c>
      <c r="U65">
        <v>84.616425000000007</v>
      </c>
      <c r="V65">
        <v>80.815536550000004</v>
      </c>
      <c r="W65">
        <v>74.150080950000003</v>
      </c>
      <c r="X65">
        <v>68.540190749999994</v>
      </c>
      <c r="Y65">
        <v>61.113300600000002</v>
      </c>
      <c r="Z65">
        <v>51.626213999999997</v>
      </c>
      <c r="AA65">
        <v>49.3301199</v>
      </c>
      <c r="AB65">
        <v>46.777797749999998</v>
      </c>
      <c r="AC65">
        <f t="shared" si="0"/>
        <v>65.017921452083314</v>
      </c>
      <c r="AD65">
        <f t="shared" si="1"/>
        <v>65.116394775000003</v>
      </c>
    </row>
    <row r="66" spans="1:30" hidden="1" x14ac:dyDescent="0.25">
      <c r="A66" t="s">
        <v>7</v>
      </c>
      <c r="B66" t="s">
        <v>26</v>
      </c>
      <c r="C66">
        <v>110</v>
      </c>
      <c r="D66" t="s">
        <v>3</v>
      </c>
      <c r="E66">
        <v>19.135599245200002</v>
      </c>
      <c r="F66">
        <v>18.154363126500002</v>
      </c>
      <c r="G66">
        <v>18.205131526900001</v>
      </c>
      <c r="H66">
        <v>17.811706313399998</v>
      </c>
      <c r="I66">
        <v>17.4083715127</v>
      </c>
      <c r="J66">
        <v>17.088951764800001</v>
      </c>
      <c r="K66">
        <v>19.1230868243</v>
      </c>
      <c r="L66">
        <v>22.1140288251</v>
      </c>
      <c r="M66">
        <v>27.6338637512</v>
      </c>
      <c r="N66">
        <v>31.436292726400001</v>
      </c>
      <c r="O66">
        <v>34.083635210499999</v>
      </c>
      <c r="P66">
        <v>34.156622098500002</v>
      </c>
      <c r="Q66">
        <v>33.185342827900001</v>
      </c>
      <c r="R66">
        <v>31.7074800635</v>
      </c>
      <c r="S66">
        <v>30.852738534099998</v>
      </c>
      <c r="T66">
        <v>29.869163931399999</v>
      </c>
      <c r="U66">
        <v>33.4185902846</v>
      </c>
      <c r="V66">
        <v>32.074909698100001</v>
      </c>
      <c r="W66">
        <v>26.890742329199998</v>
      </c>
      <c r="X66">
        <v>24.787994159299998</v>
      </c>
      <c r="Y66">
        <v>21.8900218741</v>
      </c>
      <c r="Z66">
        <v>17.854006793500002</v>
      </c>
      <c r="AA66">
        <v>17.515485335099999</v>
      </c>
      <c r="AB66">
        <v>16.689400386599999</v>
      </c>
      <c r="AC66">
        <f t="shared" si="0"/>
        <v>24.711980380954174</v>
      </c>
      <c r="AD66">
        <f t="shared" si="1"/>
        <v>23.451011492199999</v>
      </c>
    </row>
    <row r="67" spans="1:30" hidden="1" x14ac:dyDescent="0.25">
      <c r="A67" t="s">
        <v>7</v>
      </c>
      <c r="B67" t="s">
        <v>26</v>
      </c>
      <c r="C67">
        <v>110</v>
      </c>
      <c r="D67" t="s">
        <v>4</v>
      </c>
      <c r="E67">
        <v>0.74552940000000001</v>
      </c>
      <c r="F67">
        <v>0.69068850000000004</v>
      </c>
      <c r="G67">
        <v>0.69062849999999998</v>
      </c>
      <c r="H67">
        <v>0.67596599999999996</v>
      </c>
      <c r="I67">
        <v>0.68116454999999998</v>
      </c>
      <c r="J67">
        <v>0.69962340000000001</v>
      </c>
      <c r="K67">
        <v>0.79417634999999998</v>
      </c>
      <c r="L67">
        <v>0.93948120000000002</v>
      </c>
      <c r="M67">
        <v>1.1225844</v>
      </c>
      <c r="N67">
        <v>1.2527676000000001</v>
      </c>
      <c r="O67">
        <v>1.3275873</v>
      </c>
      <c r="P67">
        <v>1.3396710000000001</v>
      </c>
      <c r="Q67">
        <v>1.30040505</v>
      </c>
      <c r="R67">
        <v>1.2416812500000001</v>
      </c>
      <c r="S67">
        <v>1.21496895</v>
      </c>
      <c r="T67">
        <v>1.1733372</v>
      </c>
      <c r="U67">
        <v>1.288575</v>
      </c>
      <c r="V67">
        <v>1.23069345</v>
      </c>
      <c r="W67">
        <v>1.1291890499999999</v>
      </c>
      <c r="X67">
        <v>1.0437592499999999</v>
      </c>
      <c r="Y67">
        <v>0.93065940000000003</v>
      </c>
      <c r="Z67">
        <v>0.78618600000000005</v>
      </c>
      <c r="AA67">
        <v>0.75122009999999995</v>
      </c>
      <c r="AB67">
        <v>0.71235225000000002</v>
      </c>
      <c r="AC67">
        <f t="shared" ref="AC67:AC91" si="2">AVERAGE(E67:AB67)</f>
        <v>0.99012063125000005</v>
      </c>
      <c r="AD67">
        <f t="shared" ref="AD67:AD91" si="3">MEDIAN(E67:AB67)</f>
        <v>0.99162022499999991</v>
      </c>
    </row>
    <row r="68" spans="1:30" hidden="1" x14ac:dyDescent="0.25">
      <c r="A68" t="s">
        <v>7</v>
      </c>
      <c r="B68" t="s">
        <v>27</v>
      </c>
      <c r="C68">
        <v>44</v>
      </c>
      <c r="D68" t="s">
        <v>2</v>
      </c>
      <c r="E68">
        <v>8.1759941999999999</v>
      </c>
      <c r="F68">
        <v>7.9159759999999997</v>
      </c>
      <c r="G68">
        <v>8.0865407999999999</v>
      </c>
      <c r="H68">
        <v>8.0365178999999998</v>
      </c>
      <c r="I68">
        <v>7.9285569000000002</v>
      </c>
      <c r="J68">
        <v>7.7702334999999998</v>
      </c>
      <c r="K68">
        <v>7.7370304000000001</v>
      </c>
      <c r="L68">
        <v>7.71732</v>
      </c>
      <c r="M68">
        <v>7.6786751999999998</v>
      </c>
      <c r="N68">
        <v>7.728669</v>
      </c>
      <c r="O68">
        <v>7.6971439999999998</v>
      </c>
      <c r="P68">
        <v>7.6196992000000003</v>
      </c>
      <c r="Q68">
        <v>7.6601385000000004</v>
      </c>
      <c r="R68">
        <v>7.7220244999999998</v>
      </c>
      <c r="S68">
        <v>7.8122733000000002</v>
      </c>
      <c r="T68">
        <v>7.8210033000000001</v>
      </c>
      <c r="U68">
        <v>7.8977399999999998</v>
      </c>
      <c r="V68">
        <v>7.8497152999999997</v>
      </c>
      <c r="W68">
        <v>8.5094510999999997</v>
      </c>
      <c r="X68">
        <v>8.4500483000000006</v>
      </c>
      <c r="Y68">
        <v>8.3943024000000008</v>
      </c>
      <c r="Z68">
        <v>7.7946678</v>
      </c>
      <c r="AA68">
        <v>8.1289686000000003</v>
      </c>
      <c r="AB68">
        <v>8.1785549999999994</v>
      </c>
      <c r="AC68">
        <f t="shared" si="2"/>
        <v>7.929635216666667</v>
      </c>
      <c r="AD68">
        <f t="shared" si="3"/>
        <v>7.8353593000000004</v>
      </c>
    </row>
    <row r="69" spans="1:30" hidden="1" x14ac:dyDescent="0.25">
      <c r="A69" t="s">
        <v>7</v>
      </c>
      <c r="B69" t="s">
        <v>27</v>
      </c>
      <c r="C69">
        <v>44</v>
      </c>
      <c r="D69" t="s">
        <v>3</v>
      </c>
      <c r="E69">
        <v>3.1476348072999998</v>
      </c>
      <c r="F69">
        <v>3.0437355054999999</v>
      </c>
      <c r="G69">
        <v>2.9925987008999999</v>
      </c>
      <c r="H69">
        <v>2.6698859597000002</v>
      </c>
      <c r="I69">
        <v>2.4489573158</v>
      </c>
      <c r="J69">
        <v>2.2241616823000001</v>
      </c>
      <c r="K69">
        <v>2.1199952400000002</v>
      </c>
      <c r="L69">
        <v>2.3828513997999998</v>
      </c>
      <c r="M69">
        <v>2.6686628673000001</v>
      </c>
      <c r="N69">
        <v>3.0167425254000002</v>
      </c>
      <c r="O69">
        <v>3.0614393902999999</v>
      </c>
      <c r="P69">
        <v>3.0239462741000001</v>
      </c>
      <c r="Q69">
        <v>3.1550710445000001</v>
      </c>
      <c r="R69">
        <v>3.1403360385000001</v>
      </c>
      <c r="S69">
        <v>3.2500323234000001</v>
      </c>
      <c r="T69">
        <v>2.9652636392999998</v>
      </c>
      <c r="U69">
        <v>2.7788983271999999</v>
      </c>
      <c r="V69">
        <v>2.7020261769</v>
      </c>
      <c r="W69">
        <v>2.6748266540999999</v>
      </c>
      <c r="X69">
        <v>2.7884755012000002</v>
      </c>
      <c r="Y69">
        <v>2.7931810021999999</v>
      </c>
      <c r="Z69">
        <v>2.6467479002999998</v>
      </c>
      <c r="AA69">
        <v>2.9420546406999999</v>
      </c>
      <c r="AB69">
        <v>3.1514950347999999</v>
      </c>
      <c r="AC69">
        <f t="shared" si="2"/>
        <v>2.8245424979791665</v>
      </c>
      <c r="AD69">
        <f t="shared" si="3"/>
        <v>2.8676178214499997</v>
      </c>
    </row>
    <row r="70" spans="1:30" hidden="1" x14ac:dyDescent="0.25">
      <c r="A70" t="s">
        <v>7</v>
      </c>
      <c r="B70" t="s">
        <v>27</v>
      </c>
      <c r="C70">
        <v>44</v>
      </c>
      <c r="D70" t="s">
        <v>4</v>
      </c>
      <c r="E70">
        <v>0.25286579999999997</v>
      </c>
      <c r="F70">
        <v>0.24482400000000001</v>
      </c>
      <c r="G70">
        <v>0.25009920000000002</v>
      </c>
      <c r="H70">
        <v>0.2485521</v>
      </c>
      <c r="I70">
        <v>0.24521309999999999</v>
      </c>
      <c r="J70">
        <v>0.24031649999999999</v>
      </c>
      <c r="K70">
        <v>0.23928959999999999</v>
      </c>
      <c r="L70">
        <v>0.23868</v>
      </c>
      <c r="M70">
        <v>0.2374848</v>
      </c>
      <c r="N70">
        <v>0.23903099999999999</v>
      </c>
      <c r="O70">
        <v>0.23805599999999999</v>
      </c>
      <c r="P70">
        <v>0.2356608</v>
      </c>
      <c r="Q70">
        <v>0.2369115</v>
      </c>
      <c r="R70">
        <v>0.2388255</v>
      </c>
      <c r="S70">
        <v>0.24161669999999999</v>
      </c>
      <c r="T70">
        <v>0.24188670000000001</v>
      </c>
      <c r="U70">
        <v>0.24426</v>
      </c>
      <c r="V70">
        <v>0.24277470000000001</v>
      </c>
      <c r="W70">
        <v>0.26317889999999999</v>
      </c>
      <c r="X70">
        <v>0.26134170000000001</v>
      </c>
      <c r="Y70">
        <v>0.2596176</v>
      </c>
      <c r="Z70">
        <v>0.24107219999999999</v>
      </c>
      <c r="AA70">
        <v>0.25141140000000001</v>
      </c>
      <c r="AB70">
        <v>0.25294499999999998</v>
      </c>
      <c r="AC70">
        <f t="shared" si="2"/>
        <v>0.24524645</v>
      </c>
      <c r="AD70">
        <f t="shared" si="3"/>
        <v>0.24233070000000001</v>
      </c>
    </row>
    <row r="71" spans="1:30" hidden="1" x14ac:dyDescent="0.25">
      <c r="A71" t="s">
        <v>7</v>
      </c>
      <c r="B71" t="s">
        <v>28</v>
      </c>
      <c r="C71">
        <v>110</v>
      </c>
      <c r="D71" t="s">
        <v>2</v>
      </c>
      <c r="E71">
        <v>19.61904285</v>
      </c>
      <c r="F71">
        <v>19.0115835</v>
      </c>
      <c r="G71">
        <v>19.413699900000001</v>
      </c>
      <c r="H71">
        <v>19.267722899999999</v>
      </c>
      <c r="I71">
        <v>19.014449849999998</v>
      </c>
      <c r="J71">
        <v>18.644316400000001</v>
      </c>
      <c r="K71">
        <v>18.548003099999999</v>
      </c>
      <c r="L71">
        <v>18.530686800000002</v>
      </c>
      <c r="M71">
        <v>18.3777951</v>
      </c>
      <c r="N71">
        <v>18.513666000000001</v>
      </c>
      <c r="O71">
        <v>18.437791449999999</v>
      </c>
      <c r="P71">
        <v>18.305515799999998</v>
      </c>
      <c r="Q71">
        <v>18.368900549999999</v>
      </c>
      <c r="R71">
        <v>18.50024045</v>
      </c>
      <c r="S71">
        <v>18.729745449999999</v>
      </c>
      <c r="T71">
        <v>18.744628800000001</v>
      </c>
      <c r="U71">
        <v>18.921455999999999</v>
      </c>
      <c r="V71">
        <v>18.763363500000001</v>
      </c>
      <c r="W71">
        <v>20.358472500000001</v>
      </c>
      <c r="X71">
        <v>20.237829699999999</v>
      </c>
      <c r="Y71">
        <v>20.108893200000001</v>
      </c>
      <c r="Z71">
        <v>18.7053273</v>
      </c>
      <c r="AA71">
        <v>19.478237100000001</v>
      </c>
      <c r="AB71">
        <v>19.630064999999998</v>
      </c>
      <c r="AC71">
        <f t="shared" si="2"/>
        <v>19.009643050000001</v>
      </c>
      <c r="AD71">
        <f t="shared" si="3"/>
        <v>18.753996149999999</v>
      </c>
    </row>
    <row r="72" spans="1:30" hidden="1" x14ac:dyDescent="0.25">
      <c r="A72" t="s">
        <v>7</v>
      </c>
      <c r="B72" t="s">
        <v>28</v>
      </c>
      <c r="C72">
        <v>110</v>
      </c>
      <c r="D72" t="s">
        <v>3</v>
      </c>
      <c r="E72">
        <v>5.0283232276999996</v>
      </c>
      <c r="F72">
        <v>4.8595616606999998</v>
      </c>
      <c r="G72">
        <v>4.5623059372999997</v>
      </c>
      <c r="H72">
        <v>3.3684480337</v>
      </c>
      <c r="I72">
        <v>2.4561746972999998</v>
      </c>
      <c r="J72">
        <v>1.2044014338</v>
      </c>
      <c r="K72">
        <v>1.1981797052000001</v>
      </c>
      <c r="L72">
        <v>2.3877958986999999</v>
      </c>
      <c r="M72">
        <v>3.6863312325000002</v>
      </c>
      <c r="N72">
        <v>4.8824734548000004</v>
      </c>
      <c r="O72">
        <v>5.0475692441</v>
      </c>
      <c r="P72">
        <v>4.9897085854999998</v>
      </c>
      <c r="Q72">
        <v>5.3739493507000002</v>
      </c>
      <c r="R72">
        <v>5.2853421524000002</v>
      </c>
      <c r="S72">
        <v>5.5794792293000004</v>
      </c>
      <c r="T72">
        <v>4.6501168121000003</v>
      </c>
      <c r="U72">
        <v>3.9245527877000002</v>
      </c>
      <c r="V72">
        <v>3.6622212473000002</v>
      </c>
      <c r="W72">
        <v>2.8668703842999999</v>
      </c>
      <c r="X72">
        <v>3.4585083749000001</v>
      </c>
      <c r="Y72">
        <v>3.5347102507999999</v>
      </c>
      <c r="Z72">
        <v>3.5064281013</v>
      </c>
      <c r="AA72">
        <v>4.3423348658999998</v>
      </c>
      <c r="AB72">
        <v>5.0412514875000003</v>
      </c>
      <c r="AC72">
        <f t="shared" si="2"/>
        <v>3.9540432564791668</v>
      </c>
      <c r="AD72">
        <f t="shared" si="3"/>
        <v>4.1334438267999998</v>
      </c>
    </row>
    <row r="73" spans="1:30" hidden="1" x14ac:dyDescent="0.25">
      <c r="A73" t="s">
        <v>7</v>
      </c>
      <c r="B73" t="s">
        <v>28</v>
      </c>
      <c r="C73">
        <v>110</v>
      </c>
      <c r="D73" t="s">
        <v>4</v>
      </c>
      <c r="E73">
        <v>0.29876714999999998</v>
      </c>
      <c r="F73">
        <v>0.28951650000000001</v>
      </c>
      <c r="G73">
        <v>0.29564010000000002</v>
      </c>
      <c r="H73">
        <v>0.29341709999999999</v>
      </c>
      <c r="I73">
        <v>0.28956015000000002</v>
      </c>
      <c r="J73">
        <v>0.2839236</v>
      </c>
      <c r="K73">
        <v>0.28245690000000001</v>
      </c>
      <c r="L73">
        <v>0.28219319999999998</v>
      </c>
      <c r="M73">
        <v>0.27986490000000003</v>
      </c>
      <c r="N73">
        <v>0.28193400000000002</v>
      </c>
      <c r="O73">
        <v>0.28077855000000002</v>
      </c>
      <c r="P73">
        <v>0.27876420000000002</v>
      </c>
      <c r="Q73">
        <v>0.27972944999999999</v>
      </c>
      <c r="R73">
        <v>0.28172955</v>
      </c>
      <c r="S73">
        <v>0.28522455000000002</v>
      </c>
      <c r="T73">
        <v>0.28545120000000002</v>
      </c>
      <c r="U73">
        <v>0.28814400000000001</v>
      </c>
      <c r="V73">
        <v>0.2857365</v>
      </c>
      <c r="W73">
        <v>0.31002750000000001</v>
      </c>
      <c r="X73">
        <v>0.30819029999999997</v>
      </c>
      <c r="Y73">
        <v>0.30622680000000002</v>
      </c>
      <c r="Z73">
        <v>0.28485270000000001</v>
      </c>
      <c r="AA73">
        <v>0.29662290000000002</v>
      </c>
      <c r="AB73">
        <v>0.29893500000000001</v>
      </c>
      <c r="AC73">
        <f t="shared" si="2"/>
        <v>0.28948694999999997</v>
      </c>
      <c r="AD73">
        <f t="shared" si="3"/>
        <v>0.28559385000000004</v>
      </c>
    </row>
    <row r="74" spans="1:30" hidden="1" x14ac:dyDescent="0.25">
      <c r="A74" t="s">
        <v>7</v>
      </c>
      <c r="B74" t="s">
        <v>29</v>
      </c>
      <c r="C74">
        <v>110</v>
      </c>
      <c r="D74" t="s">
        <v>2</v>
      </c>
      <c r="E74">
        <v>4.3121133</v>
      </c>
      <c r="F74">
        <v>4.1584729999999999</v>
      </c>
      <c r="G74">
        <v>4.0761861000000001</v>
      </c>
      <c r="H74">
        <v>4.0165640500000004</v>
      </c>
      <c r="I74">
        <v>3.9298544999999998</v>
      </c>
      <c r="J74">
        <v>3.7205026000000001</v>
      </c>
      <c r="K74">
        <v>3.6828164999999999</v>
      </c>
      <c r="L74">
        <v>3.8339352</v>
      </c>
      <c r="M74">
        <v>3.6422148000000001</v>
      </c>
      <c r="N74">
        <v>3.7966430999999998</v>
      </c>
      <c r="O74">
        <v>3.9220434499999999</v>
      </c>
      <c r="P74">
        <v>4.1532327999999996</v>
      </c>
      <c r="Q74">
        <v>4.1533411500000001</v>
      </c>
      <c r="R74">
        <v>4.1913523000000001</v>
      </c>
      <c r="S74">
        <v>4.1926131</v>
      </c>
      <c r="T74">
        <v>4.34559345</v>
      </c>
      <c r="U74">
        <v>4.48569</v>
      </c>
      <c r="V74">
        <v>4.3914255000000004</v>
      </c>
      <c r="W74">
        <v>4.8558726999999999</v>
      </c>
      <c r="X74">
        <v>4.6447478000000002</v>
      </c>
      <c r="Y74">
        <v>4.5480995999999996</v>
      </c>
      <c r="Z74">
        <v>4.0493547000000003</v>
      </c>
      <c r="AA74">
        <v>4.0167314999999997</v>
      </c>
      <c r="AB74">
        <v>4.2387997500000001</v>
      </c>
      <c r="AC74">
        <f t="shared" si="2"/>
        <v>4.1399250395833338</v>
      </c>
      <c r="AD74">
        <f t="shared" si="3"/>
        <v>4.1532869750000003</v>
      </c>
    </row>
    <row r="75" spans="1:30" hidden="1" x14ac:dyDescent="0.25">
      <c r="A75" t="s">
        <v>7</v>
      </c>
      <c r="B75" t="s">
        <v>29</v>
      </c>
      <c r="C75">
        <v>110</v>
      </c>
      <c r="D75" t="s">
        <v>3</v>
      </c>
      <c r="E75">
        <v>1.9119344815999999</v>
      </c>
      <c r="F75">
        <v>1.8124939186</v>
      </c>
      <c r="G75">
        <v>1.7952735218</v>
      </c>
      <c r="H75">
        <v>1.7827885053999999</v>
      </c>
      <c r="I75">
        <v>1.7624586875999999</v>
      </c>
      <c r="J75">
        <v>1.609834255</v>
      </c>
      <c r="K75">
        <v>1.7583485698000001</v>
      </c>
      <c r="L75">
        <v>1.9371490291</v>
      </c>
      <c r="M75">
        <v>1.7949409585</v>
      </c>
      <c r="N75">
        <v>1.9173554308</v>
      </c>
      <c r="O75">
        <v>1.7978859929</v>
      </c>
      <c r="P75">
        <v>2.0001960811999999</v>
      </c>
      <c r="Q75">
        <v>1.9451946224000001</v>
      </c>
      <c r="R75">
        <v>1.9992356274</v>
      </c>
      <c r="S75">
        <v>1.9894248721000001</v>
      </c>
      <c r="T75">
        <v>2.0306100262000002</v>
      </c>
      <c r="U75">
        <v>2.1868549973000002</v>
      </c>
      <c r="V75">
        <v>2.1268644412</v>
      </c>
      <c r="W75">
        <v>1.9865975279000001</v>
      </c>
      <c r="X75">
        <v>1.9063755334000001</v>
      </c>
      <c r="Y75">
        <v>1.8404292254000001</v>
      </c>
      <c r="Z75">
        <v>1.6491408688</v>
      </c>
      <c r="AA75">
        <v>1.6194184356000001</v>
      </c>
      <c r="AB75">
        <v>1.7285208345</v>
      </c>
      <c r="AC75">
        <f t="shared" si="2"/>
        <v>1.8703886018541667</v>
      </c>
      <c r="AD75">
        <f t="shared" si="3"/>
        <v>1.8734023794000001</v>
      </c>
    </row>
    <row r="76" spans="1:30" hidden="1" x14ac:dyDescent="0.25">
      <c r="A76" t="s">
        <v>7</v>
      </c>
      <c r="B76" t="s">
        <v>29</v>
      </c>
      <c r="C76">
        <v>110</v>
      </c>
      <c r="D76" t="s">
        <v>4</v>
      </c>
      <c r="E76">
        <v>6.5666699999999995E-2</v>
      </c>
      <c r="F76">
        <v>6.3326999999999994E-2</v>
      </c>
      <c r="G76">
        <v>6.2073900000000001E-2</v>
      </c>
      <c r="H76">
        <v>6.1165949999999997E-2</v>
      </c>
      <c r="I76">
        <v>5.9845500000000003E-2</v>
      </c>
      <c r="J76">
        <v>5.6657399999999997E-2</v>
      </c>
      <c r="K76">
        <v>5.6083500000000001E-2</v>
      </c>
      <c r="L76">
        <v>5.8384800000000001E-2</v>
      </c>
      <c r="M76">
        <v>5.5465199999999999E-2</v>
      </c>
      <c r="N76">
        <v>5.7816899999999997E-2</v>
      </c>
      <c r="O76">
        <v>5.9726550000000003E-2</v>
      </c>
      <c r="P76">
        <v>6.3247200000000003E-2</v>
      </c>
      <c r="Q76">
        <v>6.3248849999999995E-2</v>
      </c>
      <c r="R76">
        <v>6.3827700000000001E-2</v>
      </c>
      <c r="S76">
        <v>6.3846899999999998E-2</v>
      </c>
      <c r="T76">
        <v>6.6176550000000001E-2</v>
      </c>
      <c r="U76">
        <v>6.8309999999999996E-2</v>
      </c>
      <c r="V76">
        <v>6.6874500000000003E-2</v>
      </c>
      <c r="W76">
        <v>7.3947299999999994E-2</v>
      </c>
      <c r="X76">
        <v>7.0732199999999995E-2</v>
      </c>
      <c r="Y76">
        <v>6.92604E-2</v>
      </c>
      <c r="Z76">
        <v>6.1665299999999999E-2</v>
      </c>
      <c r="AA76">
        <v>6.1168500000000001E-2</v>
      </c>
      <c r="AB76">
        <v>6.4550250000000003E-2</v>
      </c>
      <c r="AC76">
        <f t="shared" si="2"/>
        <v>6.3044543750000001E-2</v>
      </c>
      <c r="AD76">
        <f t="shared" si="3"/>
        <v>6.3248024999999999E-2</v>
      </c>
    </row>
    <row r="77" spans="1:30" hidden="1" x14ac:dyDescent="0.25">
      <c r="A77" t="s">
        <v>7</v>
      </c>
      <c r="B77" t="s">
        <v>30</v>
      </c>
      <c r="C77">
        <v>110</v>
      </c>
      <c r="D77" t="s">
        <v>2</v>
      </c>
      <c r="E77">
        <v>30.742578900000002</v>
      </c>
      <c r="F77">
        <v>26.403319</v>
      </c>
      <c r="G77">
        <v>24.970341000000001</v>
      </c>
      <c r="H77">
        <v>24.482381849999999</v>
      </c>
      <c r="I77">
        <v>26.763316799999998</v>
      </c>
      <c r="J77">
        <v>29.596807200000001</v>
      </c>
      <c r="K77">
        <v>31.0695792</v>
      </c>
      <c r="L77">
        <v>37.688306400000002</v>
      </c>
      <c r="M77">
        <v>42.501055800000003</v>
      </c>
      <c r="N77">
        <v>46.471984800000001</v>
      </c>
      <c r="O77">
        <v>48.851075000000002</v>
      </c>
      <c r="P77">
        <v>51.417591000000002</v>
      </c>
      <c r="Q77">
        <v>52.566169950000003</v>
      </c>
      <c r="R77">
        <v>49.94926135</v>
      </c>
      <c r="S77">
        <v>48.489077649999999</v>
      </c>
      <c r="T77">
        <v>48.019488750000001</v>
      </c>
      <c r="U77">
        <v>47.466755999999997</v>
      </c>
      <c r="V77">
        <v>47.693542399999998</v>
      </c>
      <c r="W77">
        <v>59.3110165501</v>
      </c>
      <c r="X77">
        <v>59.2356148</v>
      </c>
      <c r="Y77">
        <v>55.549744799999999</v>
      </c>
      <c r="Z77">
        <v>47.674728899999998</v>
      </c>
      <c r="AA77">
        <v>43.369057499999997</v>
      </c>
      <c r="AB77">
        <v>35.970476249999997</v>
      </c>
      <c r="AC77">
        <f t="shared" si="2"/>
        <v>42.34388632708751</v>
      </c>
      <c r="AD77">
        <f t="shared" si="3"/>
        <v>46.969370400000003</v>
      </c>
    </row>
    <row r="78" spans="1:30" hidden="1" x14ac:dyDescent="0.25">
      <c r="A78" t="s">
        <v>7</v>
      </c>
      <c r="B78" t="s">
        <v>30</v>
      </c>
      <c r="C78">
        <v>110</v>
      </c>
      <c r="D78" t="s">
        <v>3</v>
      </c>
      <c r="E78">
        <v>13.569070936099999</v>
      </c>
      <c r="F78">
        <v>13.1512299158</v>
      </c>
      <c r="G78">
        <v>12.181954750199999</v>
      </c>
      <c r="H78">
        <v>12.6813746392</v>
      </c>
      <c r="I78">
        <v>12.1874904288</v>
      </c>
      <c r="J78">
        <v>15.130101568000001</v>
      </c>
      <c r="K78">
        <v>15.3360306726</v>
      </c>
      <c r="L78">
        <v>18.363085335400001</v>
      </c>
      <c r="M78">
        <v>20.7967978187</v>
      </c>
      <c r="N78">
        <v>22.992210433499999</v>
      </c>
      <c r="O78">
        <v>24.052601139</v>
      </c>
      <c r="P78">
        <v>25.4722577215</v>
      </c>
      <c r="Q78">
        <v>25.958621836399999</v>
      </c>
      <c r="R78">
        <v>25.573167883499998</v>
      </c>
      <c r="S78">
        <v>19.728180214799998</v>
      </c>
      <c r="T78">
        <v>19.729648225399998</v>
      </c>
      <c r="U78">
        <v>22.718281496300001</v>
      </c>
      <c r="V78">
        <v>24.227791299700002</v>
      </c>
      <c r="W78">
        <v>26.360722314899999</v>
      </c>
      <c r="X78">
        <v>24.935088587199999</v>
      </c>
      <c r="Y78">
        <v>23.5164785917</v>
      </c>
      <c r="Z78">
        <v>20.070007970399999</v>
      </c>
      <c r="AA78">
        <v>19.103591554699999</v>
      </c>
      <c r="AB78">
        <v>17.0538531302</v>
      </c>
      <c r="AC78">
        <f t="shared" si="2"/>
        <v>19.787068269333336</v>
      </c>
      <c r="AD78">
        <f t="shared" si="3"/>
        <v>19.899828097899999</v>
      </c>
    </row>
    <row r="79" spans="1:30" hidden="1" x14ac:dyDescent="0.25">
      <c r="A79" t="s">
        <v>7</v>
      </c>
      <c r="B79" t="s">
        <v>30</v>
      </c>
      <c r="C79">
        <v>110</v>
      </c>
      <c r="D79" t="s">
        <v>4</v>
      </c>
      <c r="E79">
        <v>0.4681611</v>
      </c>
      <c r="F79">
        <v>0.40208100000000002</v>
      </c>
      <c r="G79">
        <v>0.38025900000000001</v>
      </c>
      <c r="H79">
        <v>0.37282815000000002</v>
      </c>
      <c r="I79">
        <v>0.40756320000000001</v>
      </c>
      <c r="J79">
        <v>0.45071280000000002</v>
      </c>
      <c r="K79">
        <v>0.47314079999999997</v>
      </c>
      <c r="L79">
        <v>0.57393360000000004</v>
      </c>
      <c r="M79">
        <v>0.64722420000000003</v>
      </c>
      <c r="N79">
        <v>0.70769519999999997</v>
      </c>
      <c r="O79">
        <v>0.74392499999999995</v>
      </c>
      <c r="P79">
        <v>0.78300899999999996</v>
      </c>
      <c r="Q79">
        <v>0.80050005000000002</v>
      </c>
      <c r="R79">
        <v>0.76064865000000004</v>
      </c>
      <c r="S79">
        <v>0.73841235000000005</v>
      </c>
      <c r="T79">
        <v>0.73126124999999997</v>
      </c>
      <c r="U79">
        <v>0.72284400000000004</v>
      </c>
      <c r="V79">
        <v>0.72629759999999999</v>
      </c>
      <c r="W79">
        <v>0.90321344989999996</v>
      </c>
      <c r="X79">
        <v>0.90206520000000001</v>
      </c>
      <c r="Y79">
        <v>0.8459352</v>
      </c>
      <c r="Z79">
        <v>0.72601110000000002</v>
      </c>
      <c r="AA79">
        <v>0.66044250000000004</v>
      </c>
      <c r="AB79">
        <v>0.54777374999999995</v>
      </c>
      <c r="AC79">
        <f t="shared" si="2"/>
        <v>0.6448307562458333</v>
      </c>
      <c r="AD79">
        <f t="shared" si="3"/>
        <v>0.71526960000000006</v>
      </c>
    </row>
    <row r="80" spans="1:30" hidden="1" x14ac:dyDescent="0.25">
      <c r="A80" t="s">
        <v>7</v>
      </c>
      <c r="B80" t="s">
        <v>31</v>
      </c>
      <c r="C80">
        <v>115</v>
      </c>
      <c r="D80" t="s">
        <v>2</v>
      </c>
      <c r="E80">
        <v>19.10416365</v>
      </c>
      <c r="F80">
        <v>18.4544675</v>
      </c>
      <c r="G80">
        <v>18.663602699999998</v>
      </c>
      <c r="H80">
        <v>18.70795725</v>
      </c>
      <c r="I80">
        <v>18.581158200000001</v>
      </c>
      <c r="J80">
        <v>18.4980045</v>
      </c>
      <c r="K80">
        <v>18.179721449999999</v>
      </c>
      <c r="L80">
        <v>19.0249992</v>
      </c>
      <c r="M80">
        <v>19.198575900000002</v>
      </c>
      <c r="N80">
        <v>19.224698100000001</v>
      </c>
      <c r="O80">
        <v>19.386898049999999</v>
      </c>
      <c r="P80">
        <v>19.4007176</v>
      </c>
      <c r="Q80">
        <v>19.5249852</v>
      </c>
      <c r="R80">
        <v>19.194172949999999</v>
      </c>
      <c r="S80">
        <v>19.168188650000001</v>
      </c>
      <c r="T80">
        <v>19.030702349999999</v>
      </c>
      <c r="U80">
        <v>19.220502</v>
      </c>
      <c r="V80">
        <v>18.64359735</v>
      </c>
      <c r="W80">
        <v>21.82126645</v>
      </c>
      <c r="X80">
        <v>21.776025400000002</v>
      </c>
      <c r="Y80">
        <v>21.467602200000002</v>
      </c>
      <c r="Z80">
        <v>19.414881900000001</v>
      </c>
      <c r="AA80">
        <v>19.082385299999999</v>
      </c>
      <c r="AB80">
        <v>18.626990249999999</v>
      </c>
      <c r="AC80">
        <f t="shared" si="2"/>
        <v>19.308177670833334</v>
      </c>
      <c r="AD80">
        <f t="shared" si="3"/>
        <v>19.136176150000001</v>
      </c>
    </row>
    <row r="81" spans="1:30" hidden="1" x14ac:dyDescent="0.25">
      <c r="A81" t="s">
        <v>7</v>
      </c>
      <c r="B81" t="s">
        <v>31</v>
      </c>
      <c r="C81">
        <v>115</v>
      </c>
      <c r="D81" t="s">
        <v>3</v>
      </c>
      <c r="E81">
        <v>5.1635540415000003</v>
      </c>
      <c r="F81">
        <v>5.0121910659999998</v>
      </c>
      <c r="G81">
        <v>5.1230498168</v>
      </c>
      <c r="H81">
        <v>5.0271617394000003</v>
      </c>
      <c r="I81">
        <v>4.9522668838000001</v>
      </c>
      <c r="J81">
        <v>5.0685701699000001</v>
      </c>
      <c r="K81">
        <v>5.1333715136000002</v>
      </c>
      <c r="L81">
        <v>5.5915943755999997</v>
      </c>
      <c r="M81">
        <v>5.7330386350999998</v>
      </c>
      <c r="N81">
        <v>5.8223654614000004</v>
      </c>
      <c r="O81">
        <v>5.9079143751999998</v>
      </c>
      <c r="P81">
        <v>6.0612946595999997</v>
      </c>
      <c r="Q81">
        <v>5.9346075168999999</v>
      </c>
      <c r="R81">
        <v>6.1354779832000004</v>
      </c>
      <c r="S81">
        <v>5.9794695504000002</v>
      </c>
      <c r="T81">
        <v>5.6785610984000003</v>
      </c>
      <c r="U81">
        <v>5.8268837188999996</v>
      </c>
      <c r="V81">
        <v>5.6055359208000004</v>
      </c>
      <c r="W81">
        <v>5.3873338839000002</v>
      </c>
      <c r="X81">
        <v>5.2898021307</v>
      </c>
      <c r="Y81">
        <v>5.2216185434</v>
      </c>
      <c r="Z81">
        <v>4.6646110097999998</v>
      </c>
      <c r="AA81">
        <v>4.2926012070999997</v>
      </c>
      <c r="AB81">
        <v>4.2132887498000002</v>
      </c>
      <c r="AC81">
        <f t="shared" si="2"/>
        <v>5.3677568354666674</v>
      </c>
      <c r="AD81">
        <f t="shared" si="3"/>
        <v>5.3385680073000001</v>
      </c>
    </row>
    <row r="82" spans="1:30" hidden="1" x14ac:dyDescent="0.25">
      <c r="A82" t="s">
        <v>7</v>
      </c>
      <c r="B82" t="s">
        <v>31</v>
      </c>
      <c r="C82">
        <v>115</v>
      </c>
      <c r="D82" t="s">
        <v>4</v>
      </c>
      <c r="E82">
        <v>0.29092635</v>
      </c>
      <c r="F82">
        <v>0.28103250000000002</v>
      </c>
      <c r="G82">
        <v>0.28421730000000001</v>
      </c>
      <c r="H82">
        <v>0.28489274999999997</v>
      </c>
      <c r="I82">
        <v>0.28296179999999999</v>
      </c>
      <c r="J82">
        <v>0.28169549999999999</v>
      </c>
      <c r="K82">
        <v>0.27684855000000003</v>
      </c>
      <c r="L82">
        <v>0.2897208</v>
      </c>
      <c r="M82">
        <v>0.29236410000000002</v>
      </c>
      <c r="N82">
        <v>0.29276190000000002</v>
      </c>
      <c r="O82">
        <v>0.29523195000000002</v>
      </c>
      <c r="P82">
        <v>0.29544239999999999</v>
      </c>
      <c r="Q82">
        <v>0.29733480000000001</v>
      </c>
      <c r="R82">
        <v>0.29229705</v>
      </c>
      <c r="S82">
        <v>0.29190135</v>
      </c>
      <c r="T82">
        <v>0.28980765000000003</v>
      </c>
      <c r="U82">
        <v>0.29269800000000001</v>
      </c>
      <c r="V82">
        <v>0.28391264999999999</v>
      </c>
      <c r="W82">
        <v>0.33230355</v>
      </c>
      <c r="X82">
        <v>0.33161459999999998</v>
      </c>
      <c r="Y82">
        <v>0.32691779999999998</v>
      </c>
      <c r="Z82">
        <v>0.29565809999999998</v>
      </c>
      <c r="AA82">
        <v>0.29059469999999998</v>
      </c>
      <c r="AB82">
        <v>0.28365974999999999</v>
      </c>
      <c r="AC82">
        <f t="shared" si="2"/>
        <v>0.29403316249999994</v>
      </c>
      <c r="AD82">
        <f t="shared" si="3"/>
        <v>0.29141384999999997</v>
      </c>
    </row>
    <row r="83" spans="1:30" hidden="1" x14ac:dyDescent="0.25">
      <c r="A83" t="s">
        <v>7</v>
      </c>
      <c r="B83" t="s">
        <v>32</v>
      </c>
      <c r="C83">
        <v>110</v>
      </c>
      <c r="D83" t="s">
        <v>2</v>
      </c>
      <c r="E83">
        <v>22.34361195</v>
      </c>
      <c r="F83">
        <v>22.045876</v>
      </c>
      <c r="G83">
        <v>21.3876399</v>
      </c>
      <c r="H83">
        <v>22.71470085</v>
      </c>
      <c r="I83">
        <v>22.9543809</v>
      </c>
      <c r="J83">
        <v>22.176703700000001</v>
      </c>
      <c r="K83">
        <v>22.208499499999999</v>
      </c>
      <c r="L83">
        <v>23.522036400000001</v>
      </c>
      <c r="M83">
        <v>24.931216800000001</v>
      </c>
      <c r="N83">
        <v>25.489830000000001</v>
      </c>
      <c r="O83">
        <v>25.528176049999999</v>
      </c>
      <c r="P83">
        <v>24.862503199999999</v>
      </c>
      <c r="Q83">
        <v>27.260761500000001</v>
      </c>
      <c r="R83">
        <v>21.942145650000001</v>
      </c>
      <c r="S83">
        <v>22.3606032</v>
      </c>
      <c r="T83">
        <v>24.2208939</v>
      </c>
      <c r="U83">
        <v>26.112152999999999</v>
      </c>
      <c r="V83">
        <v>25.523497299999999</v>
      </c>
      <c r="W83">
        <v>28.049451000000001</v>
      </c>
      <c r="X83">
        <v>27.732763649999999</v>
      </c>
      <c r="Y83">
        <v>27.045460200000001</v>
      </c>
      <c r="Z83">
        <v>24.761008799999999</v>
      </c>
      <c r="AA83">
        <v>24.146959800000001</v>
      </c>
      <c r="AB83">
        <v>23.728649999999998</v>
      </c>
      <c r="AC83">
        <f t="shared" si="2"/>
        <v>24.293730135416663</v>
      </c>
      <c r="AD83">
        <f t="shared" si="3"/>
        <v>24.183926849999999</v>
      </c>
    </row>
    <row r="84" spans="1:30" hidden="1" x14ac:dyDescent="0.25">
      <c r="A84" t="s">
        <v>7</v>
      </c>
      <c r="B84" t="s">
        <v>32</v>
      </c>
      <c r="C84">
        <v>110</v>
      </c>
      <c r="D84" t="s">
        <v>3</v>
      </c>
      <c r="E84">
        <v>11.3298187518</v>
      </c>
      <c r="F84">
        <v>9.5206252278000001</v>
      </c>
      <c r="G84">
        <v>9.2529964708999994</v>
      </c>
      <c r="H84">
        <v>10.582076837300001</v>
      </c>
      <c r="I84">
        <v>11.747164312700001</v>
      </c>
      <c r="J84">
        <v>11.0453742253</v>
      </c>
      <c r="K84">
        <v>10.827045140199999</v>
      </c>
      <c r="L84">
        <v>10.3235389751</v>
      </c>
      <c r="M84">
        <v>10.8775462293</v>
      </c>
      <c r="N84">
        <v>12.2780681543</v>
      </c>
      <c r="O84">
        <v>11.739293676699999</v>
      </c>
      <c r="P84">
        <v>12.1623201631</v>
      </c>
      <c r="Q84">
        <v>12.8831802197</v>
      </c>
      <c r="R84">
        <v>10.489334017699999</v>
      </c>
      <c r="S84">
        <v>10.363562053400001</v>
      </c>
      <c r="T84">
        <v>12.2864482813</v>
      </c>
      <c r="U84">
        <v>12.391149452500001</v>
      </c>
      <c r="V84">
        <v>12.2101041394</v>
      </c>
      <c r="W84">
        <v>14.354624122300001</v>
      </c>
      <c r="X84">
        <v>13.759025126899999</v>
      </c>
      <c r="Y84">
        <v>13.473345095000001</v>
      </c>
      <c r="Z84">
        <v>11.689056455499999</v>
      </c>
      <c r="AA84">
        <v>11.615455628799999</v>
      </c>
      <c r="AB84">
        <v>11.455993511499999</v>
      </c>
      <c r="AC84">
        <f t="shared" si="2"/>
        <v>11.61071442785417</v>
      </c>
      <c r="AD84">
        <f t="shared" si="3"/>
        <v>11.65225604215</v>
      </c>
    </row>
    <row r="85" spans="1:30" hidden="1" x14ac:dyDescent="0.25">
      <c r="A85" t="s">
        <v>7</v>
      </c>
      <c r="B85" t="s">
        <v>32</v>
      </c>
      <c r="C85">
        <v>110</v>
      </c>
      <c r="D85" t="s">
        <v>4</v>
      </c>
      <c r="E85">
        <v>0.34025804999999998</v>
      </c>
      <c r="F85">
        <v>0.33572400000000002</v>
      </c>
      <c r="G85">
        <v>0.32570009999999999</v>
      </c>
      <c r="H85">
        <v>0.34590915</v>
      </c>
      <c r="I85">
        <v>0.34955910000000001</v>
      </c>
      <c r="J85">
        <v>0.33771630000000002</v>
      </c>
      <c r="K85">
        <v>0.33820050000000001</v>
      </c>
      <c r="L85">
        <v>0.35820360000000001</v>
      </c>
      <c r="M85">
        <v>0.37966319999999998</v>
      </c>
      <c r="N85">
        <v>0.38817000000000002</v>
      </c>
      <c r="O85">
        <v>0.38875395000000001</v>
      </c>
      <c r="P85">
        <v>0.37861679999999998</v>
      </c>
      <c r="Q85">
        <v>0.41513850000000002</v>
      </c>
      <c r="R85">
        <v>0.33414434999999998</v>
      </c>
      <c r="S85">
        <v>0.34051680000000001</v>
      </c>
      <c r="T85">
        <v>0.36884610000000001</v>
      </c>
      <c r="U85">
        <v>0.39764699999999997</v>
      </c>
      <c r="V85">
        <v>0.38868269999999999</v>
      </c>
      <c r="W85">
        <v>0.427149</v>
      </c>
      <c r="X85">
        <v>0.42232635000000002</v>
      </c>
      <c r="Y85">
        <v>0.4118598</v>
      </c>
      <c r="Z85">
        <v>0.3770712</v>
      </c>
      <c r="AA85">
        <v>0.3677202</v>
      </c>
      <c r="AB85">
        <v>0.36135</v>
      </c>
      <c r="AC85">
        <f t="shared" si="2"/>
        <v>0.36995528124999999</v>
      </c>
      <c r="AD85">
        <f t="shared" si="3"/>
        <v>0.36828315</v>
      </c>
    </row>
    <row r="86" spans="1:30" hidden="1" x14ac:dyDescent="0.25">
      <c r="A86" t="s">
        <v>7</v>
      </c>
      <c r="B86" t="s">
        <v>33</v>
      </c>
      <c r="C86">
        <v>110</v>
      </c>
      <c r="D86" t="s">
        <v>2</v>
      </c>
      <c r="E86">
        <v>23.158837349999999</v>
      </c>
      <c r="F86">
        <v>21.2798415</v>
      </c>
      <c r="G86">
        <v>20.785588199999999</v>
      </c>
      <c r="H86">
        <v>20.59348365</v>
      </c>
      <c r="I86">
        <v>20.203482749999999</v>
      </c>
      <c r="J86">
        <v>20.170140499999999</v>
      </c>
      <c r="K86">
        <v>22.509820850000001</v>
      </c>
      <c r="L86">
        <v>25.161706800000001</v>
      </c>
      <c r="M86">
        <v>27.803949599999999</v>
      </c>
      <c r="N86">
        <v>30.171909299999999</v>
      </c>
      <c r="O86">
        <v>31.878815800000002</v>
      </c>
      <c r="P86">
        <v>32.244447800000003</v>
      </c>
      <c r="Q86">
        <v>31.185740249999998</v>
      </c>
      <c r="R86">
        <v>29.922369400000001</v>
      </c>
      <c r="S86">
        <v>28.8550431</v>
      </c>
      <c r="T86">
        <v>28.729957949999999</v>
      </c>
      <c r="U86">
        <v>28.450149</v>
      </c>
      <c r="V86">
        <v>28.06520115</v>
      </c>
      <c r="W86">
        <v>31.98542235</v>
      </c>
      <c r="X86">
        <v>31.744136749999999</v>
      </c>
      <c r="Y86">
        <v>29.748576</v>
      </c>
      <c r="Z86">
        <v>24.785476200000002</v>
      </c>
      <c r="AA86">
        <v>22.377269399999999</v>
      </c>
      <c r="AB86">
        <v>21.172427249999998</v>
      </c>
      <c r="AC86">
        <f t="shared" si="2"/>
        <v>26.374324704166668</v>
      </c>
      <c r="AD86">
        <f t="shared" si="3"/>
        <v>27.934575375000001</v>
      </c>
    </row>
    <row r="87" spans="1:30" hidden="1" x14ac:dyDescent="0.25">
      <c r="A87" t="s">
        <v>7</v>
      </c>
      <c r="B87" t="s">
        <v>33</v>
      </c>
      <c r="C87">
        <v>110</v>
      </c>
      <c r="D87" t="s">
        <v>3</v>
      </c>
      <c r="E87">
        <v>11.5999435349</v>
      </c>
      <c r="F87">
        <v>10.647484863200001</v>
      </c>
      <c r="G87">
        <v>10.602693972200001</v>
      </c>
      <c r="H87">
        <v>8.784578303</v>
      </c>
      <c r="I87">
        <v>10.2939937912</v>
      </c>
      <c r="J87">
        <v>10.2742071641</v>
      </c>
      <c r="K87">
        <v>11.2251469809</v>
      </c>
      <c r="L87">
        <v>12.3143621122</v>
      </c>
      <c r="M87">
        <v>13.609067178</v>
      </c>
      <c r="N87">
        <v>14.9175145021</v>
      </c>
      <c r="O87">
        <v>15.636815158999999</v>
      </c>
      <c r="P87">
        <v>15.7270365829</v>
      </c>
      <c r="Q87">
        <v>15.600469372599999</v>
      </c>
      <c r="R87">
        <v>15.1511625892</v>
      </c>
      <c r="S87">
        <v>14.4740435144</v>
      </c>
      <c r="T87">
        <v>14.536997038299999</v>
      </c>
      <c r="U87">
        <v>12.983806621699999</v>
      </c>
      <c r="V87">
        <v>13.969567744100001</v>
      </c>
      <c r="W87">
        <v>14.733730835599999</v>
      </c>
      <c r="X87">
        <v>14.768478629400001</v>
      </c>
      <c r="Y87">
        <v>13.8031619297</v>
      </c>
      <c r="Z87">
        <v>11.242008569499999</v>
      </c>
      <c r="AA87">
        <v>9.6570411091999997</v>
      </c>
      <c r="AB87">
        <v>9.6094083563999995</v>
      </c>
      <c r="AC87">
        <f t="shared" si="2"/>
        <v>12.756780018908337</v>
      </c>
      <c r="AD87">
        <f t="shared" si="3"/>
        <v>13.296436899850001</v>
      </c>
    </row>
    <row r="88" spans="1:30" hidden="1" x14ac:dyDescent="0.25">
      <c r="A88" t="s">
        <v>7</v>
      </c>
      <c r="B88" t="s">
        <v>33</v>
      </c>
      <c r="C88">
        <v>110</v>
      </c>
      <c r="D88" t="s">
        <v>4</v>
      </c>
      <c r="E88">
        <v>0.35267264999999998</v>
      </c>
      <c r="F88">
        <v>0.32405850000000003</v>
      </c>
      <c r="G88">
        <v>0.31653179999999997</v>
      </c>
      <c r="H88">
        <v>0.31360634999999998</v>
      </c>
      <c r="I88">
        <v>0.30766725</v>
      </c>
      <c r="J88">
        <v>0.30715949999999997</v>
      </c>
      <c r="K88">
        <v>0.34278914999999999</v>
      </c>
      <c r="L88">
        <v>0.38317319999999999</v>
      </c>
      <c r="M88">
        <v>0.42341040000000002</v>
      </c>
      <c r="N88">
        <v>0.45947070000000001</v>
      </c>
      <c r="O88">
        <v>0.48546420000000001</v>
      </c>
      <c r="P88">
        <v>0.49103219999999997</v>
      </c>
      <c r="Q88">
        <v>0.47490975000000002</v>
      </c>
      <c r="R88">
        <v>0.45567059999999998</v>
      </c>
      <c r="S88">
        <v>0.4394169</v>
      </c>
      <c r="T88">
        <v>0.43751204999999999</v>
      </c>
      <c r="U88">
        <v>0.433251</v>
      </c>
      <c r="V88">
        <v>0.42738884999999999</v>
      </c>
      <c r="W88">
        <v>0.48708764999999998</v>
      </c>
      <c r="X88">
        <v>0.48341325000000002</v>
      </c>
      <c r="Y88">
        <v>0.45302399999999998</v>
      </c>
      <c r="Z88">
        <v>0.3774438</v>
      </c>
      <c r="AA88">
        <v>0.34077059999999998</v>
      </c>
      <c r="AB88">
        <v>0.32242274999999998</v>
      </c>
      <c r="AC88">
        <f t="shared" si="2"/>
        <v>0.40163946249999999</v>
      </c>
      <c r="AD88">
        <f t="shared" si="3"/>
        <v>0.425399625</v>
      </c>
    </row>
    <row r="89" spans="1:30" hidden="1" x14ac:dyDescent="0.25">
      <c r="A89" t="s">
        <v>7</v>
      </c>
      <c r="B89" t="s">
        <v>34</v>
      </c>
      <c r="C89">
        <v>110</v>
      </c>
      <c r="D89" t="s">
        <v>2</v>
      </c>
      <c r="E89">
        <v>24.113509199999999</v>
      </c>
      <c r="F89">
        <v>22.175206500000002</v>
      </c>
      <c r="G89">
        <v>21.782427899999998</v>
      </c>
      <c r="H89">
        <v>21.536246850000001</v>
      </c>
      <c r="I89">
        <v>21.251443949999999</v>
      </c>
      <c r="J89">
        <v>21.215225499999999</v>
      </c>
      <c r="K89">
        <v>23.0120231</v>
      </c>
      <c r="L89">
        <v>25.4751732</v>
      </c>
      <c r="M89">
        <v>27.686196599999999</v>
      </c>
      <c r="N89">
        <v>29.456359800000001</v>
      </c>
      <c r="O89">
        <v>30.86515605</v>
      </c>
      <c r="P89">
        <v>31.2303842</v>
      </c>
      <c r="Q89">
        <v>30.415017150000001</v>
      </c>
      <c r="R89">
        <v>29.200679600000001</v>
      </c>
      <c r="S89">
        <v>28.306989099999999</v>
      </c>
      <c r="T89">
        <v>28.007962800000001</v>
      </c>
      <c r="U89">
        <v>27.811278000000001</v>
      </c>
      <c r="V89">
        <v>27.373218949999998</v>
      </c>
      <c r="W89">
        <v>31.020279949999999</v>
      </c>
      <c r="X89">
        <v>30.311503500000001</v>
      </c>
      <c r="Y89">
        <v>28.8618396</v>
      </c>
      <c r="Z89">
        <v>24.699840300000002</v>
      </c>
      <c r="AA89">
        <v>22.842977399999999</v>
      </c>
      <c r="AB89">
        <v>21.938215499999998</v>
      </c>
      <c r="AC89">
        <f t="shared" si="2"/>
        <v>26.2745481125</v>
      </c>
      <c r="AD89">
        <f t="shared" si="3"/>
        <v>27.529707774999999</v>
      </c>
    </row>
    <row r="90" spans="1:30" hidden="1" x14ac:dyDescent="0.25">
      <c r="A90" t="s">
        <v>7</v>
      </c>
      <c r="B90" t="s">
        <v>34</v>
      </c>
      <c r="C90">
        <v>110</v>
      </c>
      <c r="D90" t="s">
        <v>3</v>
      </c>
      <c r="E90">
        <v>12.078125551899999</v>
      </c>
      <c r="F90">
        <v>11.095485628800001</v>
      </c>
      <c r="G90">
        <v>11.1111802453</v>
      </c>
      <c r="H90">
        <v>9.186733533</v>
      </c>
      <c r="I90">
        <v>10.8279465863</v>
      </c>
      <c r="J90">
        <v>10.806549504199999</v>
      </c>
      <c r="K90">
        <v>11.4755840726</v>
      </c>
      <c r="L90">
        <v>12.4677753441</v>
      </c>
      <c r="M90">
        <v>13.551431176299999</v>
      </c>
      <c r="N90">
        <v>14.563734436700001</v>
      </c>
      <c r="O90">
        <v>15.1396069112</v>
      </c>
      <c r="P90">
        <v>15.2324331264</v>
      </c>
      <c r="Q90">
        <v>15.214920015100001</v>
      </c>
      <c r="R90">
        <v>14.7857356622</v>
      </c>
      <c r="S90">
        <v>14.199132906399999</v>
      </c>
      <c r="T90">
        <v>14.1716765816</v>
      </c>
      <c r="U90">
        <v>12.6922447911</v>
      </c>
      <c r="V90">
        <v>13.625130796400001</v>
      </c>
      <c r="W90">
        <v>14.289148669899999</v>
      </c>
      <c r="X90">
        <v>14.101967717300001</v>
      </c>
      <c r="Y90">
        <v>13.391721526</v>
      </c>
      <c r="Z90">
        <v>11.203166486600001</v>
      </c>
      <c r="AA90">
        <v>9.8580201126000002</v>
      </c>
      <c r="AB90">
        <v>9.9569722857999992</v>
      </c>
      <c r="AC90">
        <f t="shared" si="2"/>
        <v>12.70943431949167</v>
      </c>
      <c r="AD90">
        <f t="shared" si="3"/>
        <v>13.04198315855</v>
      </c>
    </row>
    <row r="91" spans="1:30" hidden="1" x14ac:dyDescent="0.25">
      <c r="A91" t="s">
        <v>7</v>
      </c>
      <c r="B91" t="s">
        <v>34</v>
      </c>
      <c r="C91">
        <v>110</v>
      </c>
      <c r="D91" t="s">
        <v>4</v>
      </c>
      <c r="E91">
        <v>0.3672108</v>
      </c>
      <c r="F91">
        <v>0.33769349999999998</v>
      </c>
      <c r="G91">
        <v>0.33171210000000001</v>
      </c>
      <c r="H91">
        <v>0.32796314999999998</v>
      </c>
      <c r="I91">
        <v>0.32362605</v>
      </c>
      <c r="J91">
        <v>0.32307449999999999</v>
      </c>
      <c r="K91">
        <v>0.3504369</v>
      </c>
      <c r="L91">
        <v>0.38794679999999998</v>
      </c>
      <c r="M91">
        <v>0.4216172071</v>
      </c>
      <c r="N91">
        <v>0.44857400710000001</v>
      </c>
      <c r="O91">
        <v>0.4700277571</v>
      </c>
      <c r="P91">
        <v>0.47558960709999998</v>
      </c>
      <c r="Q91">
        <v>0.46317285000000002</v>
      </c>
      <c r="R91">
        <v>0.44468039999999998</v>
      </c>
      <c r="S91">
        <v>0.43107089999999998</v>
      </c>
      <c r="T91">
        <v>0.42651719999999999</v>
      </c>
      <c r="U91">
        <v>0.42352200000000001</v>
      </c>
      <c r="V91">
        <v>0.41685105</v>
      </c>
      <c r="W91">
        <v>0.47239005000000001</v>
      </c>
      <c r="X91">
        <v>0.46159650000000002</v>
      </c>
      <c r="Y91">
        <v>0.43952039999999998</v>
      </c>
      <c r="Z91">
        <v>0.37613970000000002</v>
      </c>
      <c r="AA91">
        <v>0.34786260000000002</v>
      </c>
      <c r="AB91">
        <v>0.33408450000000001</v>
      </c>
      <c r="AC91">
        <f t="shared" si="2"/>
        <v>0.40012002201666669</v>
      </c>
      <c r="AD91">
        <f t="shared" si="3"/>
        <v>0.41923412854999997</v>
      </c>
    </row>
    <row r="92" spans="1:30" hidden="1" x14ac:dyDescent="0.25">
      <c r="A92" t="s">
        <v>7</v>
      </c>
      <c r="B92" t="s">
        <v>35</v>
      </c>
      <c r="C92">
        <v>46</v>
      </c>
      <c r="D92" t="s">
        <v>2</v>
      </c>
      <c r="E92">
        <v>7.4788164000000004</v>
      </c>
      <c r="F92">
        <v>6.7599299999999998</v>
      </c>
      <c r="G92">
        <v>7.1534784</v>
      </c>
      <c r="H92">
        <v>7.3015295</v>
      </c>
      <c r="I92">
        <v>7.3728632999999997</v>
      </c>
      <c r="J92">
        <v>6.9880642999999996</v>
      </c>
      <c r="K92">
        <v>7.8689115999999997</v>
      </c>
      <c r="L92">
        <v>7.5867192000000001</v>
      </c>
      <c r="M92">
        <v>7.9817808000000001</v>
      </c>
      <c r="N92">
        <v>7.9664742000000004</v>
      </c>
      <c r="O92">
        <v>7.9857868999999999</v>
      </c>
      <c r="P92">
        <v>8.0399031999999995</v>
      </c>
      <c r="Q92">
        <v>8.2364058</v>
      </c>
      <c r="R92">
        <v>7.7630264000000002</v>
      </c>
      <c r="S92">
        <v>7.5694046999999998</v>
      </c>
      <c r="T92">
        <v>7.8075881999999996</v>
      </c>
      <c r="U92">
        <v>7.7103359999999999</v>
      </c>
      <c r="V92">
        <v>7.2206897000000003</v>
      </c>
      <c r="W92">
        <v>7.0392317999999996</v>
      </c>
      <c r="X92">
        <v>7.6332598000000003</v>
      </c>
      <c r="Y92">
        <v>7.9858548000000003</v>
      </c>
      <c r="Z92">
        <v>5.0478605999999999</v>
      </c>
      <c r="AA92">
        <v>3.6230663999999999</v>
      </c>
      <c r="AB92">
        <v>2.3367300000000002</v>
      </c>
    </row>
    <row r="93" spans="1:30" hidden="1" x14ac:dyDescent="0.25">
      <c r="A93" t="s">
        <v>7</v>
      </c>
      <c r="B93" t="s">
        <v>35</v>
      </c>
      <c r="C93">
        <v>46</v>
      </c>
      <c r="D93" t="s">
        <v>3</v>
      </c>
      <c r="E93">
        <v>2.3946856487999999</v>
      </c>
      <c r="F93">
        <v>2.2586094285999998</v>
      </c>
      <c r="G93">
        <v>2.4475878612000002</v>
      </c>
      <c r="H93">
        <v>2.4696611793000001</v>
      </c>
      <c r="I93">
        <v>2.4272652047999999</v>
      </c>
      <c r="J93">
        <v>2.3431572226999999</v>
      </c>
      <c r="K93">
        <v>2.9950913790000002</v>
      </c>
      <c r="L93">
        <v>2.8348833635999999</v>
      </c>
      <c r="M93">
        <v>2.8090094865999999</v>
      </c>
      <c r="N93">
        <v>2.8837738708999998</v>
      </c>
      <c r="O93">
        <v>2.8125815988</v>
      </c>
      <c r="P93">
        <v>2.8606508703000002</v>
      </c>
      <c r="Q93">
        <v>2.9534835508000001</v>
      </c>
      <c r="R93">
        <v>2.7644837257999999</v>
      </c>
      <c r="S93">
        <v>2.5812692636999999</v>
      </c>
      <c r="T93">
        <v>2.6503226356999998</v>
      </c>
      <c r="U93">
        <v>2.6893943217</v>
      </c>
      <c r="V93">
        <v>2.5788639959999999</v>
      </c>
      <c r="W93">
        <v>2.3797175308999998</v>
      </c>
      <c r="X93">
        <v>2.7354152743000002</v>
      </c>
      <c r="Y93">
        <v>2.7436704437000001</v>
      </c>
      <c r="Z93">
        <v>1.3004598894999999</v>
      </c>
      <c r="AA93">
        <v>0.59618750679999999</v>
      </c>
      <c r="AB93">
        <v>0.454686639</v>
      </c>
    </row>
    <row r="94" spans="1:30" hidden="1" x14ac:dyDescent="0.25">
      <c r="A94" t="s">
        <v>7</v>
      </c>
      <c r="B94" t="s">
        <v>35</v>
      </c>
      <c r="C94">
        <v>46</v>
      </c>
      <c r="D94" t="s">
        <v>4</v>
      </c>
      <c r="E94">
        <v>0.2313036</v>
      </c>
      <c r="F94">
        <v>0.20907000000000001</v>
      </c>
      <c r="G94">
        <v>0.22124160000000001</v>
      </c>
      <c r="H94">
        <v>0.22582050000000001</v>
      </c>
      <c r="I94">
        <v>0.2280267</v>
      </c>
      <c r="J94">
        <v>0.2161257</v>
      </c>
      <c r="K94">
        <v>0.24336840000000001</v>
      </c>
      <c r="L94">
        <v>0.23464080000000001</v>
      </c>
      <c r="M94">
        <v>0.2468592</v>
      </c>
      <c r="N94">
        <v>0.24638579999999999</v>
      </c>
      <c r="O94">
        <v>0.24698310000000001</v>
      </c>
      <c r="P94">
        <v>0.24865680000000001</v>
      </c>
      <c r="Q94">
        <v>0.25473420000000002</v>
      </c>
      <c r="R94">
        <v>0.24009359999999999</v>
      </c>
      <c r="S94">
        <v>0.23410529999999999</v>
      </c>
      <c r="T94">
        <v>0.24147179999999999</v>
      </c>
      <c r="U94">
        <v>0.23846400000000001</v>
      </c>
      <c r="V94">
        <v>0.2233203</v>
      </c>
      <c r="W94">
        <v>0.21770819999999999</v>
      </c>
      <c r="X94">
        <v>0.23608019999999999</v>
      </c>
      <c r="Y94">
        <v>0.24698519999999999</v>
      </c>
      <c r="Z94">
        <v>0.15611939999999999</v>
      </c>
      <c r="AA94">
        <v>0.1120536</v>
      </c>
      <c r="AB94">
        <v>7.2270000000000001E-2</v>
      </c>
    </row>
    <row r="95" spans="1:30" hidden="1" x14ac:dyDescent="0.25">
      <c r="A95" t="s">
        <v>7</v>
      </c>
      <c r="B95" t="s">
        <v>36</v>
      </c>
      <c r="C95">
        <v>110</v>
      </c>
      <c r="D95" t="s">
        <v>2</v>
      </c>
      <c r="E95">
        <v>20.680981200000002</v>
      </c>
      <c r="F95">
        <v>19.777618</v>
      </c>
      <c r="G95">
        <v>19.9762728</v>
      </c>
      <c r="H95">
        <v>19.660540900000001</v>
      </c>
      <c r="I95">
        <v>19.57873665</v>
      </c>
      <c r="J95">
        <v>19.30271995</v>
      </c>
      <c r="K95">
        <v>20.222010600000001</v>
      </c>
      <c r="L95">
        <v>21.593012399999999</v>
      </c>
      <c r="M95">
        <v>22.327802699999999</v>
      </c>
      <c r="N95">
        <v>22.779858600000001</v>
      </c>
      <c r="O95">
        <v>23.546218150000001</v>
      </c>
      <c r="P95">
        <v>24.421577800000001</v>
      </c>
      <c r="Q95">
        <v>24.220687049999999</v>
      </c>
      <c r="R95">
        <v>23.038558999999999</v>
      </c>
      <c r="S95">
        <v>24.59392325</v>
      </c>
      <c r="T95">
        <v>24.4388547</v>
      </c>
      <c r="U95">
        <v>25.677177</v>
      </c>
      <c r="V95">
        <v>23.540702150000001</v>
      </c>
      <c r="W95">
        <v>26.089005499999999</v>
      </c>
      <c r="X95">
        <v>25.500871849999999</v>
      </c>
      <c r="Y95">
        <v>24.571179600000001</v>
      </c>
      <c r="Z95">
        <v>19.622854799999999</v>
      </c>
      <c r="AA95">
        <v>18.3838233</v>
      </c>
      <c r="AB95">
        <v>20.0399235</v>
      </c>
    </row>
    <row r="96" spans="1:30" hidden="1" x14ac:dyDescent="0.25">
      <c r="A96" t="s">
        <v>7</v>
      </c>
      <c r="B96" t="s">
        <v>36</v>
      </c>
      <c r="C96">
        <v>110</v>
      </c>
      <c r="D96" t="s">
        <v>3</v>
      </c>
      <c r="E96">
        <v>7.8116176378000004</v>
      </c>
      <c r="F96">
        <v>7.7473753150000002</v>
      </c>
      <c r="G96">
        <v>7.5266868636000002</v>
      </c>
      <c r="H96">
        <v>7.2267528395999996</v>
      </c>
      <c r="I96">
        <v>7.3337028058999998</v>
      </c>
      <c r="J96">
        <v>6.6523320997999997</v>
      </c>
      <c r="K96">
        <v>7.4058252086999996</v>
      </c>
      <c r="L96">
        <v>8.6133571857</v>
      </c>
      <c r="M96">
        <v>8.7625760485999997</v>
      </c>
      <c r="N96">
        <v>9.1749048483000006</v>
      </c>
      <c r="O96">
        <v>9.4857643291000002</v>
      </c>
      <c r="P96">
        <v>10.265378052200001</v>
      </c>
      <c r="Q96">
        <v>10.0339853451</v>
      </c>
      <c r="R96">
        <v>9.6125352741000007</v>
      </c>
      <c r="S96">
        <v>9.7348326910999994</v>
      </c>
      <c r="T96">
        <v>9.8916758794999993</v>
      </c>
      <c r="U96">
        <v>9.7609319041999996</v>
      </c>
      <c r="V96">
        <v>8.7217659462999997</v>
      </c>
      <c r="W96">
        <v>8.4671685612999994</v>
      </c>
      <c r="X96">
        <v>8.2121963749999995</v>
      </c>
      <c r="Y96">
        <v>7.1465767632999997</v>
      </c>
      <c r="Z96">
        <v>5.1881465262999997</v>
      </c>
      <c r="AA96">
        <v>4.9210431695999999</v>
      </c>
      <c r="AB96">
        <v>6.5254446191</v>
      </c>
    </row>
    <row r="97" spans="1:28" hidden="1" x14ac:dyDescent="0.25">
      <c r="A97" t="s">
        <v>7</v>
      </c>
      <c r="B97" t="s">
        <v>36</v>
      </c>
      <c r="C97">
        <v>110</v>
      </c>
      <c r="D97" t="s">
        <v>4</v>
      </c>
      <c r="E97">
        <v>0.31493880000000002</v>
      </c>
      <c r="F97">
        <v>0.30118200000000001</v>
      </c>
      <c r="G97">
        <v>0.30420720000000001</v>
      </c>
      <c r="H97">
        <v>0.29939909999999997</v>
      </c>
      <c r="I97">
        <v>0.29815334999999998</v>
      </c>
      <c r="J97">
        <v>0.29395005000000002</v>
      </c>
      <c r="K97">
        <v>0.30794939999999998</v>
      </c>
      <c r="L97">
        <v>0.3288276</v>
      </c>
      <c r="M97">
        <v>0.34001730000000002</v>
      </c>
      <c r="N97">
        <v>0.34690140000000003</v>
      </c>
      <c r="O97">
        <v>0.35857185000000003</v>
      </c>
      <c r="P97">
        <v>0.37190220000000002</v>
      </c>
      <c r="Q97">
        <v>0.36884295</v>
      </c>
      <c r="R97">
        <v>0.35084100000000001</v>
      </c>
      <c r="S97">
        <v>0.37452675000000002</v>
      </c>
      <c r="T97">
        <v>0.37216529999999998</v>
      </c>
      <c r="U97">
        <v>0.39102300000000001</v>
      </c>
      <c r="V97">
        <v>0.35848785</v>
      </c>
      <c r="W97">
        <v>0.39729449999999999</v>
      </c>
      <c r="X97">
        <v>0.38833814999999999</v>
      </c>
      <c r="Y97">
        <v>0.37418040000000002</v>
      </c>
      <c r="Z97">
        <v>0.29882520000000001</v>
      </c>
      <c r="AA97">
        <v>0.2799567</v>
      </c>
      <c r="AB97">
        <v>0.30517650000000002</v>
      </c>
    </row>
    <row r="98" spans="1:28" hidden="1" x14ac:dyDescent="0.25">
      <c r="A98" t="s">
        <v>7</v>
      </c>
      <c r="B98" t="s">
        <v>37</v>
      </c>
      <c r="C98">
        <v>220</v>
      </c>
      <c r="D98" t="s">
        <v>2</v>
      </c>
      <c r="E98">
        <v>1.27413</v>
      </c>
      <c r="F98">
        <v>1.2221</v>
      </c>
      <c r="G98">
        <v>1.3026</v>
      </c>
      <c r="H98">
        <v>1.41574</v>
      </c>
      <c r="I98">
        <v>1.65726</v>
      </c>
      <c r="J98">
        <v>1.99468</v>
      </c>
      <c r="K98">
        <v>3.30836</v>
      </c>
      <c r="L98">
        <v>3.3660000000000001</v>
      </c>
      <c r="M98">
        <v>3.2029200000000002</v>
      </c>
      <c r="N98">
        <v>3.3913799999999998</v>
      </c>
      <c r="O98">
        <v>3.55667</v>
      </c>
      <c r="P98">
        <v>3.5955599999999999</v>
      </c>
      <c r="Q98">
        <v>3.4196399999999998</v>
      </c>
      <c r="R98">
        <v>3.2970600000000001</v>
      </c>
      <c r="S98">
        <v>3.2966700000000002</v>
      </c>
      <c r="T98">
        <v>3.2500499999999999</v>
      </c>
      <c r="U98">
        <v>3.3534000000000002</v>
      </c>
      <c r="V98">
        <v>2.4723299999999999</v>
      </c>
      <c r="W98">
        <v>3.7203300000000001</v>
      </c>
      <c r="X98">
        <v>3.55192</v>
      </c>
      <c r="Y98">
        <v>2.6861999999999999</v>
      </c>
      <c r="Z98">
        <v>2.0120399999999998</v>
      </c>
      <c r="AA98">
        <v>1.76118</v>
      </c>
      <c r="AB98">
        <v>1.5768</v>
      </c>
    </row>
    <row r="99" spans="1:28" hidden="1" x14ac:dyDescent="0.25">
      <c r="A99" t="s">
        <v>7</v>
      </c>
      <c r="B99" t="s">
        <v>37</v>
      </c>
      <c r="C99">
        <v>220</v>
      </c>
      <c r="D99" t="s">
        <v>3</v>
      </c>
      <c r="E99">
        <v>0.60680315949999997</v>
      </c>
      <c r="F99">
        <v>0.50012690520000003</v>
      </c>
      <c r="G99">
        <v>0.57254558450000004</v>
      </c>
      <c r="H99">
        <v>0.62227520790000002</v>
      </c>
      <c r="I99">
        <v>0.82379384200000005</v>
      </c>
      <c r="J99">
        <v>0.8695113189</v>
      </c>
      <c r="K99">
        <v>1.2639186232999999</v>
      </c>
      <c r="L99">
        <v>1.2578624267</v>
      </c>
      <c r="M99">
        <v>1.2708061184999999</v>
      </c>
      <c r="N99">
        <v>1.3965349458</v>
      </c>
      <c r="O99">
        <v>1.4162907870999999</v>
      </c>
      <c r="P99">
        <v>1.3364954972</v>
      </c>
      <c r="Q99">
        <v>1.2641667759999999</v>
      </c>
      <c r="R99">
        <v>1.3256791643000001</v>
      </c>
      <c r="S99">
        <v>1.3825184194</v>
      </c>
      <c r="T99">
        <v>1.1257522682000001</v>
      </c>
      <c r="U99">
        <v>1.2211219684000001</v>
      </c>
      <c r="V99">
        <v>0.81200130729999997</v>
      </c>
      <c r="W99">
        <v>0.95526876800000005</v>
      </c>
      <c r="X99">
        <v>0.85739535170000003</v>
      </c>
      <c r="Y99">
        <v>0.87918816990000004</v>
      </c>
      <c r="Z99">
        <v>0.72953860020000005</v>
      </c>
      <c r="AA99">
        <v>0.66049501160000001</v>
      </c>
      <c r="AB99">
        <v>0.80226673790000003</v>
      </c>
    </row>
    <row r="100" spans="1:28" hidden="1" x14ac:dyDescent="0.25">
      <c r="A100" t="s">
        <v>7</v>
      </c>
      <c r="B100" t="s">
        <v>37</v>
      </c>
      <c r="C100">
        <v>220</v>
      </c>
      <c r="D100" t="s">
        <v>4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28" hidden="1" x14ac:dyDescent="0.25">
      <c r="A101" t="s">
        <v>7</v>
      </c>
      <c r="B101" t="s">
        <v>38</v>
      </c>
      <c r="C101">
        <v>110</v>
      </c>
      <c r="D101" t="s">
        <v>2</v>
      </c>
      <c r="E101">
        <v>2.0487901499999999</v>
      </c>
      <c r="F101">
        <v>1.910112</v>
      </c>
      <c r="G101">
        <v>1.8949824</v>
      </c>
      <c r="H101">
        <v>1.8953468499999999</v>
      </c>
      <c r="I101">
        <v>1.8641617500000001</v>
      </c>
      <c r="J101">
        <v>1.8811530000000001</v>
      </c>
      <c r="K101">
        <v>1.8525682999999999</v>
      </c>
      <c r="L101">
        <v>2.0375315999999999</v>
      </c>
      <c r="M101">
        <v>2.1289001999999999</v>
      </c>
      <c r="N101">
        <v>2.0928491999999999</v>
      </c>
      <c r="O101">
        <v>2.0517451499999999</v>
      </c>
      <c r="P101">
        <v>2.0481696</v>
      </c>
      <c r="Q101">
        <v>2.0695342499999998</v>
      </c>
      <c r="R101">
        <v>2.1234334499999998</v>
      </c>
      <c r="S101">
        <v>2.1922160000000002</v>
      </c>
      <c r="T101">
        <v>2.2068531</v>
      </c>
      <c r="U101">
        <v>2.2700309999999999</v>
      </c>
      <c r="V101">
        <v>2.3287862499999998</v>
      </c>
      <c r="W101">
        <v>2.88034685</v>
      </c>
      <c r="X101">
        <v>2.97082895</v>
      </c>
      <c r="Y101">
        <v>2.8175333999999999</v>
      </c>
      <c r="Z101">
        <v>2.4712073999999999</v>
      </c>
      <c r="AA101">
        <v>2.4566097</v>
      </c>
      <c r="AB101">
        <v>2.4160080000000002</v>
      </c>
    </row>
    <row r="102" spans="1:28" hidden="1" x14ac:dyDescent="0.25">
      <c r="A102" t="s">
        <v>7</v>
      </c>
      <c r="B102" t="s">
        <v>38</v>
      </c>
      <c r="C102">
        <v>110</v>
      </c>
      <c r="D102" t="s">
        <v>3</v>
      </c>
      <c r="E102">
        <v>0.8459970604</v>
      </c>
      <c r="F102">
        <v>0.88517719090000002</v>
      </c>
      <c r="G102">
        <v>0.98396489549999999</v>
      </c>
      <c r="H102">
        <v>0.93139080090000004</v>
      </c>
      <c r="I102">
        <v>0.96796134960000002</v>
      </c>
      <c r="J102">
        <v>0.98749124050000003</v>
      </c>
      <c r="K102">
        <v>0.91130749280000001</v>
      </c>
      <c r="L102">
        <v>0.9744961231</v>
      </c>
      <c r="M102">
        <v>0.91835684969999998</v>
      </c>
      <c r="N102">
        <v>0.90280530670000003</v>
      </c>
      <c r="O102">
        <v>0.88507399840000001</v>
      </c>
      <c r="P102">
        <v>0.88353159120000002</v>
      </c>
      <c r="Q102">
        <v>0.89274779250000003</v>
      </c>
      <c r="R102">
        <v>1.0481326544</v>
      </c>
      <c r="S102">
        <v>1.0961520518000001</v>
      </c>
      <c r="T102">
        <v>1.1034708958999999</v>
      </c>
      <c r="U102">
        <v>1.1350611155000001</v>
      </c>
      <c r="V102">
        <v>0.98361489459999996</v>
      </c>
      <c r="W102">
        <v>1.1295769026</v>
      </c>
      <c r="X102">
        <v>1.1661873031000001</v>
      </c>
      <c r="Y102">
        <v>1.0740504264999999</v>
      </c>
      <c r="Z102">
        <v>0.74684287299999996</v>
      </c>
      <c r="AA102">
        <v>0.72343523409999999</v>
      </c>
      <c r="AB102">
        <v>0.91592993879999995</v>
      </c>
    </row>
    <row r="103" spans="1:28" hidden="1" x14ac:dyDescent="0.25">
      <c r="A103" t="s">
        <v>7</v>
      </c>
      <c r="B103" t="s">
        <v>38</v>
      </c>
      <c r="C103">
        <v>110</v>
      </c>
      <c r="D103" t="s">
        <v>4</v>
      </c>
      <c r="E103">
        <v>3.1199850000000001E-2</v>
      </c>
      <c r="F103">
        <v>2.9087999999999999E-2</v>
      </c>
      <c r="G103">
        <v>2.8857600000000001E-2</v>
      </c>
      <c r="H103">
        <v>2.8863150000000001E-2</v>
      </c>
      <c r="I103">
        <v>2.838825E-2</v>
      </c>
      <c r="J103">
        <v>2.8646999999999999E-2</v>
      </c>
      <c r="K103">
        <v>2.8211699999999999E-2</v>
      </c>
      <c r="L103">
        <v>3.1028400000000001E-2</v>
      </c>
      <c r="M103">
        <v>3.2419799999999999E-2</v>
      </c>
      <c r="N103">
        <v>3.1870799999999998E-2</v>
      </c>
      <c r="O103">
        <v>3.1244850000000001E-2</v>
      </c>
      <c r="P103">
        <v>3.11904E-2</v>
      </c>
      <c r="Q103">
        <v>3.1515750000000002E-2</v>
      </c>
      <c r="R103">
        <v>3.2336549999999999E-2</v>
      </c>
      <c r="S103">
        <v>3.3383999999999997E-2</v>
      </c>
      <c r="T103">
        <v>3.3606900000000002E-2</v>
      </c>
      <c r="U103">
        <v>3.4569000000000003E-2</v>
      </c>
      <c r="V103">
        <v>3.5463750000000002E-2</v>
      </c>
      <c r="W103">
        <v>4.3863149999999997E-2</v>
      </c>
      <c r="X103">
        <v>4.5241049999999998E-2</v>
      </c>
      <c r="Y103">
        <v>4.2906600000000003E-2</v>
      </c>
      <c r="Z103">
        <v>3.7632600000000002E-2</v>
      </c>
      <c r="AA103">
        <v>3.74103E-2</v>
      </c>
      <c r="AB103">
        <v>3.6791999999999998E-2</v>
      </c>
    </row>
    <row r="104" spans="1:28" hidden="1" x14ac:dyDescent="0.25">
      <c r="A104" t="s">
        <v>7</v>
      </c>
      <c r="B104" t="s">
        <v>39</v>
      </c>
      <c r="C104">
        <v>110</v>
      </c>
      <c r="D104" t="s">
        <v>2</v>
      </c>
      <c r="E104">
        <v>31.611437550000002</v>
      </c>
      <c r="F104">
        <v>29.407765999999999</v>
      </c>
      <c r="G104">
        <v>31.198121700000002</v>
      </c>
      <c r="H104">
        <v>31.415619549999999</v>
      </c>
      <c r="I104">
        <v>31.8822042</v>
      </c>
      <c r="J104">
        <v>29.847627599999999</v>
      </c>
      <c r="K104">
        <v>42.184989000000002</v>
      </c>
      <c r="L104">
        <v>47.236975200000003</v>
      </c>
      <c r="M104">
        <v>54.415202100000002</v>
      </c>
      <c r="N104">
        <v>58.707103199999999</v>
      </c>
      <c r="O104">
        <v>63.003929300099998</v>
      </c>
      <c r="P104">
        <v>65.015161399999997</v>
      </c>
      <c r="Q104">
        <v>65.268828450000001</v>
      </c>
      <c r="R104">
        <v>58.595660299999999</v>
      </c>
      <c r="S104">
        <v>54.6957892</v>
      </c>
      <c r="T104">
        <v>52.283346899999998</v>
      </c>
      <c r="U104">
        <v>39.501258</v>
      </c>
      <c r="V104">
        <v>38.724388500000003</v>
      </c>
      <c r="W104">
        <v>58.134749249999999</v>
      </c>
      <c r="X104">
        <v>61.467506600100002</v>
      </c>
      <c r="Y104">
        <v>58.639020000000002</v>
      </c>
      <c r="Z104">
        <v>32.113462499999997</v>
      </c>
      <c r="AA104">
        <v>28.675970100000001</v>
      </c>
      <c r="AB104">
        <v>24.052222499999999</v>
      </c>
    </row>
    <row r="105" spans="1:28" hidden="1" x14ac:dyDescent="0.25">
      <c r="A105" t="s">
        <v>7</v>
      </c>
      <c r="B105" t="s">
        <v>39</v>
      </c>
      <c r="C105">
        <v>110</v>
      </c>
      <c r="D105" t="s">
        <v>3</v>
      </c>
      <c r="E105">
        <v>11.681917605400001</v>
      </c>
      <c r="F105">
        <v>11.091723349700001</v>
      </c>
      <c r="G105">
        <v>11.7568909141</v>
      </c>
      <c r="H105">
        <v>12.1356624764</v>
      </c>
      <c r="I105">
        <v>11.892458162700001</v>
      </c>
      <c r="J105">
        <v>11.463204257799999</v>
      </c>
      <c r="K105">
        <v>14.7759748237</v>
      </c>
      <c r="L105">
        <v>18.153805780399999</v>
      </c>
      <c r="M105">
        <v>21.155360960900001</v>
      </c>
      <c r="N105">
        <v>22.2374335714</v>
      </c>
      <c r="O105">
        <v>23.656993227200001</v>
      </c>
      <c r="P105">
        <v>26.167554328000001</v>
      </c>
      <c r="Q105">
        <v>26.490519081399999</v>
      </c>
      <c r="R105">
        <v>23.2486991956</v>
      </c>
      <c r="S105">
        <v>21.1303940379</v>
      </c>
      <c r="T105">
        <v>20.4128046037</v>
      </c>
      <c r="U105">
        <v>16.143398234799999</v>
      </c>
      <c r="V105">
        <v>15.9296421983</v>
      </c>
      <c r="W105">
        <v>22.2339315587</v>
      </c>
      <c r="X105">
        <v>21.858149432800001</v>
      </c>
      <c r="Y105">
        <v>21.091935969800002</v>
      </c>
      <c r="Z105">
        <v>10.6822766882</v>
      </c>
      <c r="AA105">
        <v>10.105452210299999</v>
      </c>
      <c r="AB105">
        <v>7.5754507150999997</v>
      </c>
    </row>
    <row r="106" spans="1:28" hidden="1" x14ac:dyDescent="0.25">
      <c r="A106" t="s">
        <v>7</v>
      </c>
      <c r="B106" t="s">
        <v>39</v>
      </c>
      <c r="C106">
        <v>110</v>
      </c>
      <c r="D106" t="s">
        <v>4</v>
      </c>
      <c r="E106">
        <v>0.48139245000000003</v>
      </c>
      <c r="F106">
        <v>0.44783400000000001</v>
      </c>
      <c r="G106">
        <v>0.47509829999999997</v>
      </c>
      <c r="H106">
        <v>0.47841044999999999</v>
      </c>
      <c r="I106">
        <v>0.4855158</v>
      </c>
      <c r="J106">
        <v>0.4545324</v>
      </c>
      <c r="K106">
        <v>0.64241099999999995</v>
      </c>
      <c r="L106">
        <v>0.71934480000000001</v>
      </c>
      <c r="M106">
        <v>0.82865789999999995</v>
      </c>
      <c r="N106">
        <v>0.89401679999999994</v>
      </c>
      <c r="O106">
        <v>0.95945069989999998</v>
      </c>
      <c r="P106">
        <v>0.99007860000000003</v>
      </c>
      <c r="Q106">
        <v>0.99394154999999995</v>
      </c>
      <c r="R106">
        <v>0.89231970000000005</v>
      </c>
      <c r="S106">
        <v>0.83293079999999997</v>
      </c>
      <c r="T106">
        <v>0.79619309999999999</v>
      </c>
      <c r="U106">
        <v>0.60154200000000002</v>
      </c>
      <c r="V106">
        <v>0.58971150000000006</v>
      </c>
      <c r="W106">
        <v>0.88530074999999997</v>
      </c>
      <c r="X106">
        <v>0.93605339990000003</v>
      </c>
      <c r="Y106">
        <v>0.89298</v>
      </c>
      <c r="Z106">
        <v>0.48903750000000001</v>
      </c>
      <c r="AA106">
        <v>0.43668990000000002</v>
      </c>
      <c r="AB106">
        <v>0.36627749999999998</v>
      </c>
    </row>
    <row r="107" spans="1:28" hidden="1" x14ac:dyDescent="0.25">
      <c r="A107" t="s">
        <v>7</v>
      </c>
      <c r="B107" t="s">
        <v>40</v>
      </c>
      <c r="C107">
        <v>115</v>
      </c>
      <c r="D107" t="s">
        <v>2</v>
      </c>
      <c r="E107">
        <v>10.9626363</v>
      </c>
      <c r="F107">
        <v>10.6548435</v>
      </c>
      <c r="G107">
        <v>10.915888199999999</v>
      </c>
      <c r="H107">
        <v>10.87123815</v>
      </c>
      <c r="I107">
        <v>10.872597450000001</v>
      </c>
      <c r="J107">
        <v>10.8479823</v>
      </c>
      <c r="K107">
        <v>10.758288200000001</v>
      </c>
      <c r="L107">
        <v>9.5486687999999997</v>
      </c>
      <c r="M107">
        <v>9.4518038999999998</v>
      </c>
      <c r="N107">
        <v>10.2630105</v>
      </c>
      <c r="O107">
        <v>10.45413005</v>
      </c>
      <c r="P107">
        <v>10.4826458</v>
      </c>
      <c r="Q107">
        <v>10.5332157</v>
      </c>
      <c r="R107">
        <v>10.4922594</v>
      </c>
      <c r="S107">
        <v>10.72815705</v>
      </c>
      <c r="T107">
        <v>10.6800792</v>
      </c>
      <c r="U107">
        <v>10.194750000000001</v>
      </c>
      <c r="V107">
        <v>10.07366395</v>
      </c>
      <c r="W107">
        <v>10.314959399999999</v>
      </c>
      <c r="X107">
        <v>10.179236250000001</v>
      </c>
      <c r="Y107">
        <v>11.012694</v>
      </c>
      <c r="Z107">
        <v>10.5699168</v>
      </c>
      <c r="AA107">
        <v>10.117506300000001</v>
      </c>
      <c r="AB107">
        <v>8.9198152499999992</v>
      </c>
    </row>
    <row r="108" spans="1:28" hidden="1" x14ac:dyDescent="0.25">
      <c r="A108" t="s">
        <v>7</v>
      </c>
      <c r="B108" t="s">
        <v>40</v>
      </c>
      <c r="C108">
        <v>115</v>
      </c>
      <c r="D108" t="s">
        <v>3</v>
      </c>
      <c r="E108">
        <v>3.9380398302000001</v>
      </c>
      <c r="F108">
        <v>3.8445283428999999</v>
      </c>
      <c r="G108">
        <v>3.9365383297999998</v>
      </c>
      <c r="H108">
        <v>3.9226088295000001</v>
      </c>
      <c r="I108">
        <v>3.9230992981999999</v>
      </c>
      <c r="J108">
        <v>3.9178287832000001</v>
      </c>
      <c r="K108">
        <v>3.8797038854000001</v>
      </c>
      <c r="L108">
        <v>3.7316832026000002</v>
      </c>
      <c r="M108">
        <v>4.2225546729000003</v>
      </c>
      <c r="N108">
        <v>4.8372657024999999</v>
      </c>
      <c r="O108">
        <v>4.8409902459999996</v>
      </c>
      <c r="P108">
        <v>4.8678191888000004</v>
      </c>
      <c r="Q108">
        <v>4.9067959519000004</v>
      </c>
      <c r="R108">
        <v>4.9810505724</v>
      </c>
      <c r="S108">
        <v>5.1016193046999998</v>
      </c>
      <c r="T108">
        <v>5.1407946247999998</v>
      </c>
      <c r="U108">
        <v>4.7591099071</v>
      </c>
      <c r="V108">
        <v>4.3569934395000001</v>
      </c>
      <c r="W108">
        <v>4.0728381369999997</v>
      </c>
      <c r="X108">
        <v>4.8446560912000001</v>
      </c>
      <c r="Y108">
        <v>4.8382399359999999</v>
      </c>
      <c r="Z108">
        <v>4.5224981978000001</v>
      </c>
      <c r="AA108">
        <v>3.8418348273</v>
      </c>
      <c r="AB108">
        <v>3.5928570941000002</v>
      </c>
    </row>
    <row r="109" spans="1:28" hidden="1" x14ac:dyDescent="0.25">
      <c r="A109" t="s">
        <v>7</v>
      </c>
      <c r="B109" t="s">
        <v>40</v>
      </c>
      <c r="C109">
        <v>115</v>
      </c>
      <c r="D109" t="s">
        <v>4</v>
      </c>
      <c r="E109">
        <v>0.1669437</v>
      </c>
      <c r="F109">
        <v>0.1622565</v>
      </c>
      <c r="G109">
        <v>0.16623180000000001</v>
      </c>
      <c r="H109">
        <v>0.16555185</v>
      </c>
      <c r="I109">
        <v>0.16557255000000001</v>
      </c>
      <c r="J109">
        <v>0.1651977</v>
      </c>
      <c r="K109">
        <v>0.1638318</v>
      </c>
      <c r="L109">
        <v>0.14541119999999999</v>
      </c>
      <c r="M109">
        <v>0.14393610000000001</v>
      </c>
      <c r="N109">
        <v>0.1562895</v>
      </c>
      <c r="O109">
        <v>0.15919995000000001</v>
      </c>
      <c r="P109">
        <v>0.1596342</v>
      </c>
      <c r="Q109">
        <v>0.1604043</v>
      </c>
      <c r="R109">
        <v>0.15978059999999999</v>
      </c>
      <c r="S109">
        <v>0.16337294999999999</v>
      </c>
      <c r="T109">
        <v>0.1626408</v>
      </c>
      <c r="U109">
        <v>0.15525</v>
      </c>
      <c r="V109">
        <v>0.15340604999999999</v>
      </c>
      <c r="W109">
        <v>0.15708059999999999</v>
      </c>
      <c r="X109">
        <v>0.15501375000000001</v>
      </c>
      <c r="Y109">
        <v>0.16770599999999999</v>
      </c>
      <c r="Z109">
        <v>0.1609632</v>
      </c>
      <c r="AA109">
        <v>0.15407370000000001</v>
      </c>
      <c r="AB109">
        <v>0.13583475</v>
      </c>
    </row>
    <row r="110" spans="1:28" hidden="1" x14ac:dyDescent="0.25">
      <c r="A110" t="s">
        <v>7</v>
      </c>
      <c r="B110" t="s">
        <v>41</v>
      </c>
      <c r="C110">
        <v>110</v>
      </c>
      <c r="D110" t="s">
        <v>2</v>
      </c>
      <c r="E110">
        <v>22.204165499999998</v>
      </c>
      <c r="F110">
        <v>19.2702445</v>
      </c>
      <c r="G110">
        <v>18.732690600000002</v>
      </c>
      <c r="H110">
        <v>18.5802914</v>
      </c>
      <c r="I110">
        <v>18.95399055</v>
      </c>
      <c r="J110">
        <v>20.692682999999999</v>
      </c>
      <c r="K110">
        <v>21.795577649999998</v>
      </c>
      <c r="L110">
        <v>23.630544</v>
      </c>
      <c r="M110">
        <v>25.392906</v>
      </c>
      <c r="N110">
        <v>27.3411966</v>
      </c>
      <c r="O110">
        <v>28.96170875</v>
      </c>
      <c r="P110">
        <v>30.3385122</v>
      </c>
      <c r="Q110">
        <v>30.543471</v>
      </c>
      <c r="R110">
        <v>30.741209749999999</v>
      </c>
      <c r="S110">
        <v>30.101865950000001</v>
      </c>
      <c r="T110">
        <v>29.642668799999999</v>
      </c>
      <c r="U110">
        <v>29.700704999999999</v>
      </c>
      <c r="V110">
        <v>30.407294749999998</v>
      </c>
      <c r="W110">
        <v>35.815831250000002</v>
      </c>
      <c r="X110">
        <v>36.434125600000002</v>
      </c>
      <c r="Y110">
        <v>35.283527399999997</v>
      </c>
      <c r="Z110">
        <v>30.572016300000001</v>
      </c>
      <c r="AA110">
        <v>29.339604000000001</v>
      </c>
      <c r="AB110">
        <v>26.209372500000001</v>
      </c>
    </row>
    <row r="111" spans="1:28" hidden="1" x14ac:dyDescent="0.25">
      <c r="A111" t="s">
        <v>7</v>
      </c>
      <c r="B111" t="s">
        <v>41</v>
      </c>
      <c r="C111">
        <v>110</v>
      </c>
      <c r="D111" t="s">
        <v>3</v>
      </c>
      <c r="E111">
        <v>10.9113302879</v>
      </c>
      <c r="F111">
        <v>10.0590669737</v>
      </c>
      <c r="G111">
        <v>9.8684632137000001</v>
      </c>
      <c r="H111">
        <v>9.7881786495000007</v>
      </c>
      <c r="I111">
        <v>9.7235341022000004</v>
      </c>
      <c r="J111">
        <v>9.7465582270999995</v>
      </c>
      <c r="K111">
        <v>11.1541336297</v>
      </c>
      <c r="L111">
        <v>10.952146814200001</v>
      </c>
      <c r="M111">
        <v>10.247872518199999</v>
      </c>
      <c r="N111">
        <v>12.7641960576</v>
      </c>
      <c r="O111">
        <v>11.7886831238</v>
      </c>
      <c r="P111">
        <v>12.9552275928</v>
      </c>
      <c r="Q111">
        <v>13.6137133536</v>
      </c>
      <c r="R111">
        <v>14.4566355147</v>
      </c>
      <c r="S111">
        <v>14.201718376900001</v>
      </c>
      <c r="T111">
        <v>13.6193332922</v>
      </c>
      <c r="U111">
        <v>15.6155153829</v>
      </c>
      <c r="V111">
        <v>14.5187290813</v>
      </c>
      <c r="W111">
        <v>17.727070673</v>
      </c>
      <c r="X111">
        <v>17.4503490068</v>
      </c>
      <c r="Y111">
        <v>16.864099951</v>
      </c>
      <c r="Z111">
        <v>14.514502523499999</v>
      </c>
      <c r="AA111">
        <v>14.280377468299999</v>
      </c>
      <c r="AB111">
        <v>12.186710117500001</v>
      </c>
    </row>
    <row r="112" spans="1:28" hidden="1" x14ac:dyDescent="0.25">
      <c r="A112" t="s">
        <v>7</v>
      </c>
      <c r="B112" t="s">
        <v>41</v>
      </c>
      <c r="C112">
        <v>110</v>
      </c>
      <c r="D112" t="s">
        <v>4</v>
      </c>
      <c r="E112">
        <v>0.3381345</v>
      </c>
      <c r="F112">
        <v>0.29345549999999998</v>
      </c>
      <c r="G112">
        <v>0.28526940000000001</v>
      </c>
      <c r="H112">
        <v>0.28294859999999999</v>
      </c>
      <c r="I112">
        <v>0.28863945000000002</v>
      </c>
      <c r="J112">
        <v>0.31511699999999998</v>
      </c>
      <c r="K112">
        <v>0.33191235000000002</v>
      </c>
      <c r="L112">
        <v>0.35985600000000001</v>
      </c>
      <c r="M112">
        <v>0.38669399999999998</v>
      </c>
      <c r="N112">
        <v>0.41636339999999999</v>
      </c>
      <c r="O112">
        <v>0.44104125</v>
      </c>
      <c r="P112">
        <v>0.46200780000000002</v>
      </c>
      <c r="Q112">
        <v>0.46512900000000001</v>
      </c>
      <c r="R112">
        <v>0.46814024999999998</v>
      </c>
      <c r="S112">
        <v>0.45840405000000001</v>
      </c>
      <c r="T112">
        <v>0.45141120000000001</v>
      </c>
      <c r="U112">
        <v>0.452295</v>
      </c>
      <c r="V112">
        <v>0.46305524999999997</v>
      </c>
      <c r="W112">
        <v>0.54541874999999995</v>
      </c>
      <c r="X112">
        <v>0.55483439999999995</v>
      </c>
      <c r="Y112">
        <v>0.53731260000000003</v>
      </c>
      <c r="Z112">
        <v>0.46556370000000002</v>
      </c>
      <c r="AA112">
        <v>0.44679600000000003</v>
      </c>
      <c r="AB112">
        <v>0.39912750000000002</v>
      </c>
    </row>
    <row r="113" spans="1:28" hidden="1" x14ac:dyDescent="0.25">
      <c r="A113" t="s">
        <v>7</v>
      </c>
      <c r="B113" t="s">
        <v>42</v>
      </c>
      <c r="C113">
        <v>110</v>
      </c>
      <c r="D113" t="s">
        <v>2</v>
      </c>
      <c r="E113">
        <v>29.01558825</v>
      </c>
      <c r="F113">
        <v>26.761465000000001</v>
      </c>
      <c r="G113">
        <v>27.052847700000001</v>
      </c>
      <c r="H113">
        <v>26.91407435</v>
      </c>
      <c r="I113">
        <v>26.880968500000002</v>
      </c>
      <c r="J113">
        <v>26.793461099999998</v>
      </c>
      <c r="K113">
        <v>27.17362185</v>
      </c>
      <c r="L113">
        <v>30.008379600000001</v>
      </c>
      <c r="M113">
        <v>32.241295800000003</v>
      </c>
      <c r="N113">
        <v>34.371023399999999</v>
      </c>
      <c r="O113">
        <v>36.470816849999999</v>
      </c>
      <c r="P113">
        <v>38.076041799999999</v>
      </c>
      <c r="Q113">
        <v>38.907243899999997</v>
      </c>
      <c r="R113">
        <v>38.860219999999998</v>
      </c>
      <c r="S113">
        <v>38.5007935</v>
      </c>
      <c r="T113">
        <v>36.535679100000003</v>
      </c>
      <c r="U113">
        <v>36.646728000000003</v>
      </c>
      <c r="V113">
        <v>36.249221400000003</v>
      </c>
      <c r="W113">
        <v>40.083570299999998</v>
      </c>
      <c r="X113">
        <v>40.897909200000001</v>
      </c>
      <c r="Y113">
        <v>40.174879799999999</v>
      </c>
      <c r="Z113">
        <v>33.618207599999998</v>
      </c>
      <c r="AA113">
        <v>30.911368499999998</v>
      </c>
      <c r="AB113">
        <v>27.870377999999999</v>
      </c>
    </row>
    <row r="114" spans="1:28" hidden="1" x14ac:dyDescent="0.25">
      <c r="A114" t="s">
        <v>7</v>
      </c>
      <c r="B114" t="s">
        <v>42</v>
      </c>
      <c r="C114">
        <v>110</v>
      </c>
      <c r="D114" t="s">
        <v>3</v>
      </c>
      <c r="E114">
        <v>12.659566722799999</v>
      </c>
      <c r="F114">
        <v>11.7015641629</v>
      </c>
      <c r="G114">
        <v>12.620232205500001</v>
      </c>
      <c r="H114">
        <v>11.768293248899999</v>
      </c>
      <c r="I114">
        <v>13.303999489700001</v>
      </c>
      <c r="J114">
        <v>12.499227601499999</v>
      </c>
      <c r="K114">
        <v>11.881781495</v>
      </c>
      <c r="L114">
        <v>14.7286490923</v>
      </c>
      <c r="M114">
        <v>14.632231625999999</v>
      </c>
      <c r="N114">
        <v>17.291749027400002</v>
      </c>
      <c r="O114">
        <v>18.0031211278</v>
      </c>
      <c r="P114">
        <v>19.136596364300001</v>
      </c>
      <c r="Q114">
        <v>19.022895275500002</v>
      </c>
      <c r="R114">
        <v>19.3199757103</v>
      </c>
      <c r="S114">
        <v>19.6754820397</v>
      </c>
      <c r="T114">
        <v>15.8578337398</v>
      </c>
      <c r="U114">
        <v>18.3077088219</v>
      </c>
      <c r="V114">
        <v>16.028523578200002</v>
      </c>
      <c r="W114">
        <v>16.212713348000001</v>
      </c>
      <c r="X114">
        <v>20.1114199919</v>
      </c>
      <c r="Y114">
        <v>17.805898183299998</v>
      </c>
      <c r="Z114">
        <v>14.493032363199999</v>
      </c>
      <c r="AA114">
        <v>15.129168917299999</v>
      </c>
      <c r="AB114">
        <v>13.274035421000001</v>
      </c>
    </row>
    <row r="115" spans="1:28" hidden="1" x14ac:dyDescent="0.25">
      <c r="A115" t="s">
        <v>7</v>
      </c>
      <c r="B115" t="s">
        <v>42</v>
      </c>
      <c r="C115">
        <v>110</v>
      </c>
      <c r="D115" t="s">
        <v>4</v>
      </c>
      <c r="E115">
        <v>0.44186175</v>
      </c>
      <c r="F115">
        <v>0.40753499999999998</v>
      </c>
      <c r="G115">
        <v>0.41197230000000001</v>
      </c>
      <c r="H115">
        <v>0.40985900019999999</v>
      </c>
      <c r="I115">
        <v>0.40935485020000001</v>
      </c>
      <c r="J115">
        <v>0.40802225019999999</v>
      </c>
      <c r="K115">
        <v>0.41381150020000002</v>
      </c>
      <c r="L115">
        <v>0.45698040000000001</v>
      </c>
      <c r="M115">
        <v>0.49098419999999998</v>
      </c>
      <c r="N115">
        <v>0.52341660000000001</v>
      </c>
      <c r="O115">
        <v>0.55539315</v>
      </c>
      <c r="P115">
        <v>0.57983819999999997</v>
      </c>
      <c r="Q115">
        <v>0.59249609999999997</v>
      </c>
      <c r="R115">
        <v>0.59177999999999997</v>
      </c>
      <c r="S115">
        <v>0.58630649999999995</v>
      </c>
      <c r="T115">
        <v>0.55638089999999996</v>
      </c>
      <c r="U115">
        <v>0.55807200000000001</v>
      </c>
      <c r="V115">
        <v>0.55201860000000003</v>
      </c>
      <c r="W115">
        <v>0.61040970000000006</v>
      </c>
      <c r="X115">
        <v>0.6228108</v>
      </c>
      <c r="Y115">
        <v>0.61180020000000002</v>
      </c>
      <c r="Z115">
        <v>0.51195239999999997</v>
      </c>
      <c r="AA115">
        <v>0.47073150000000002</v>
      </c>
      <c r="AB115">
        <v>0.42442200000000002</v>
      </c>
    </row>
    <row r="116" spans="1:28" hidden="1" x14ac:dyDescent="0.25">
      <c r="A116" t="s">
        <v>7</v>
      </c>
      <c r="B116" t="s">
        <v>43</v>
      </c>
      <c r="C116">
        <v>110</v>
      </c>
      <c r="D116" t="s">
        <v>2</v>
      </c>
      <c r="E116">
        <v>8.4740535000000001</v>
      </c>
      <c r="F116">
        <v>7.7200360000000003</v>
      </c>
      <c r="G116">
        <v>7.2344901000000004</v>
      </c>
      <c r="H116">
        <v>7.2082103000000002</v>
      </c>
      <c r="I116">
        <v>4.9375095</v>
      </c>
      <c r="J116">
        <v>7.1170288499999996</v>
      </c>
      <c r="K116">
        <v>9.7650437500000002</v>
      </c>
      <c r="L116">
        <v>12.3939792</v>
      </c>
      <c r="M116">
        <v>13.094018699999999</v>
      </c>
      <c r="N116">
        <v>13.013229000000001</v>
      </c>
      <c r="O116">
        <v>13.4270669</v>
      </c>
      <c r="P116">
        <v>13.8962618</v>
      </c>
      <c r="Q116">
        <v>14.015742299999999</v>
      </c>
      <c r="R116">
        <v>13.1014456</v>
      </c>
      <c r="S116">
        <v>12.865567649999999</v>
      </c>
      <c r="T116">
        <v>12.955045050000001</v>
      </c>
      <c r="U116">
        <v>12.220107</v>
      </c>
      <c r="V116">
        <v>12.44237225</v>
      </c>
      <c r="W116">
        <v>17.598768450000001</v>
      </c>
      <c r="X116">
        <v>17.9154558</v>
      </c>
      <c r="Y116">
        <v>14.8313814</v>
      </c>
      <c r="Z116">
        <v>14.4969345</v>
      </c>
      <c r="AA116">
        <v>9.0463778999999995</v>
      </c>
      <c r="AB116">
        <v>7.3558814999999997</v>
      </c>
    </row>
    <row r="117" spans="1:28" hidden="1" x14ac:dyDescent="0.25">
      <c r="A117" t="s">
        <v>7</v>
      </c>
      <c r="B117" t="s">
        <v>43</v>
      </c>
      <c r="C117">
        <v>110</v>
      </c>
      <c r="D117" t="s">
        <v>3</v>
      </c>
      <c r="E117">
        <v>4.1279030716999996</v>
      </c>
      <c r="F117">
        <v>3.8948516592</v>
      </c>
      <c r="G117">
        <v>3.5961336147999998</v>
      </c>
      <c r="H117">
        <v>3.2399233158</v>
      </c>
      <c r="I117">
        <v>2.3171377495000001</v>
      </c>
      <c r="J117">
        <v>3.3646635857999998</v>
      </c>
      <c r="K117">
        <v>4.3239248023999997</v>
      </c>
      <c r="L117">
        <v>5.6875843694999997</v>
      </c>
      <c r="M117">
        <v>6.2621412843000002</v>
      </c>
      <c r="N117">
        <v>6.3493292421999996</v>
      </c>
      <c r="O117">
        <v>6.4275367343000003</v>
      </c>
      <c r="P117">
        <v>6.9285902405000002</v>
      </c>
      <c r="Q117">
        <v>7.0214670941000001</v>
      </c>
      <c r="R117">
        <v>5.2248790331999997</v>
      </c>
      <c r="S117">
        <v>6.4416704867999997</v>
      </c>
      <c r="T117">
        <v>6.5179263617999998</v>
      </c>
      <c r="U117">
        <v>5.8650626880000001</v>
      </c>
      <c r="V117">
        <v>5.4275238742000003</v>
      </c>
      <c r="W117">
        <v>5.7756877586000002</v>
      </c>
      <c r="X117">
        <v>5.2405981027999999</v>
      </c>
      <c r="Y117">
        <v>4.3824377241999999</v>
      </c>
      <c r="Z117">
        <v>4.0951980714999996</v>
      </c>
      <c r="AA117">
        <v>3.1443060947000001</v>
      </c>
      <c r="AB117">
        <v>2.4939248091000001</v>
      </c>
    </row>
    <row r="118" spans="1:28" hidden="1" x14ac:dyDescent="0.25">
      <c r="A118" t="s">
        <v>7</v>
      </c>
      <c r="B118" t="s">
        <v>43</v>
      </c>
      <c r="C118">
        <v>110</v>
      </c>
      <c r="D118" t="s">
        <v>4</v>
      </c>
      <c r="E118">
        <v>0.12904650000000001</v>
      </c>
      <c r="F118">
        <v>0.117564</v>
      </c>
      <c r="G118">
        <v>0.1101699</v>
      </c>
      <c r="H118">
        <v>0.1097697</v>
      </c>
      <c r="I118">
        <v>7.5190499999999993E-2</v>
      </c>
      <c r="J118">
        <v>0.10838115</v>
      </c>
      <c r="K118">
        <v>0.14870625000000001</v>
      </c>
      <c r="L118">
        <v>0.18874079999999999</v>
      </c>
      <c r="M118">
        <v>0.1994013</v>
      </c>
      <c r="N118">
        <v>0.19817100000000001</v>
      </c>
      <c r="O118">
        <v>0.20447309999999999</v>
      </c>
      <c r="P118">
        <v>0.21161820000000001</v>
      </c>
      <c r="Q118">
        <v>0.21343770000000001</v>
      </c>
      <c r="R118">
        <v>0.19951440000000001</v>
      </c>
      <c r="S118">
        <v>0.19592235</v>
      </c>
      <c r="T118">
        <v>0.19728494999999999</v>
      </c>
      <c r="U118">
        <v>0.18609300000000001</v>
      </c>
      <c r="V118">
        <v>0.18947775</v>
      </c>
      <c r="W118">
        <v>0.26800154999999998</v>
      </c>
      <c r="X118">
        <v>0.27282420000000002</v>
      </c>
      <c r="Y118">
        <v>0.22585859999999999</v>
      </c>
      <c r="Z118">
        <v>0.2207655</v>
      </c>
      <c r="AA118">
        <v>0.1377621</v>
      </c>
      <c r="AB118">
        <v>0.11201849999999999</v>
      </c>
    </row>
    <row r="119" spans="1:28" hidden="1" x14ac:dyDescent="0.25">
      <c r="A119" t="s">
        <v>7</v>
      </c>
      <c r="B119" t="s">
        <v>44</v>
      </c>
      <c r="C119">
        <v>110</v>
      </c>
      <c r="D119" t="s">
        <v>2</v>
      </c>
      <c r="E119">
        <v>2.2525965000000001</v>
      </c>
      <c r="F119">
        <v>2.1886700000000001</v>
      </c>
      <c r="G119">
        <v>2.2305522</v>
      </c>
      <c r="H119">
        <v>2.2194216999999998</v>
      </c>
      <c r="I119">
        <v>2.1866113500000002</v>
      </c>
      <c r="J119">
        <v>2.1424242499999999</v>
      </c>
      <c r="K119">
        <v>2.13156955</v>
      </c>
      <c r="L119">
        <v>2.1339828000000001</v>
      </c>
      <c r="M119">
        <v>2.1160755</v>
      </c>
      <c r="N119">
        <v>2.1330963000000001</v>
      </c>
      <c r="O119">
        <v>2.1215324</v>
      </c>
      <c r="P119">
        <v>2.1050632</v>
      </c>
      <c r="Q119">
        <v>2.1123522000000001</v>
      </c>
      <c r="R119">
        <v>2.1234334499999998</v>
      </c>
      <c r="S119">
        <v>2.1511119500000002</v>
      </c>
      <c r="T119">
        <v>2.1523629</v>
      </c>
      <c r="U119">
        <v>2.1748799999999999</v>
      </c>
      <c r="V119">
        <v>2.1557906999999998</v>
      </c>
      <c r="W119">
        <v>2.33745425</v>
      </c>
      <c r="X119">
        <v>2.3223739000000001</v>
      </c>
      <c r="Y119">
        <v>2.3169564</v>
      </c>
      <c r="Z119">
        <v>2.1531311999999998</v>
      </c>
      <c r="AA119">
        <v>2.2353983999999998</v>
      </c>
      <c r="AB119">
        <v>2.2542217500000001</v>
      </c>
    </row>
    <row r="120" spans="1:28" hidden="1" x14ac:dyDescent="0.25">
      <c r="A120" t="s">
        <v>7</v>
      </c>
      <c r="B120" t="s">
        <v>44</v>
      </c>
      <c r="C120">
        <v>110</v>
      </c>
      <c r="D120" t="s">
        <v>3</v>
      </c>
      <c r="E120">
        <v>0.86721577530000005</v>
      </c>
      <c r="F120">
        <v>0.84155543020000001</v>
      </c>
      <c r="G120">
        <v>0.82546391350000003</v>
      </c>
      <c r="H120">
        <v>0.7373346154</v>
      </c>
      <c r="I120">
        <v>0.67539628330000001</v>
      </c>
      <c r="J120">
        <v>0.61325028699999995</v>
      </c>
      <c r="K120">
        <v>0.58406353150000001</v>
      </c>
      <c r="L120">
        <v>0.65890281880000001</v>
      </c>
      <c r="M120">
        <v>0.73542531280000001</v>
      </c>
      <c r="N120">
        <v>0.8326145573</v>
      </c>
      <c r="O120">
        <v>0.84381204990000003</v>
      </c>
      <c r="P120">
        <v>0.83541329559999999</v>
      </c>
      <c r="Q120">
        <v>0.87003926389999997</v>
      </c>
      <c r="R120">
        <v>0.86354227289999996</v>
      </c>
      <c r="S120">
        <v>0.89489743889999995</v>
      </c>
      <c r="T120">
        <v>0.81604919480000004</v>
      </c>
      <c r="U120">
        <v>0.76525314749999995</v>
      </c>
      <c r="V120">
        <v>0.74206549919999998</v>
      </c>
      <c r="W120">
        <v>0.73474597320000001</v>
      </c>
      <c r="X120">
        <v>0.76637227320000001</v>
      </c>
      <c r="Y120">
        <v>0.77096086009999998</v>
      </c>
      <c r="Z120">
        <v>0.73111460660000005</v>
      </c>
      <c r="AA120">
        <v>0.80904042799999998</v>
      </c>
      <c r="AB120">
        <v>0.86863371980000004</v>
      </c>
    </row>
    <row r="121" spans="1:28" hidden="1" x14ac:dyDescent="0.25">
      <c r="A121" t="s">
        <v>7</v>
      </c>
      <c r="B121" t="s">
        <v>44</v>
      </c>
      <c r="C121">
        <v>110</v>
      </c>
      <c r="D121" t="s">
        <v>4</v>
      </c>
      <c r="E121">
        <v>3.4303500000000001E-2</v>
      </c>
      <c r="F121">
        <v>3.3329999999999999E-2</v>
      </c>
      <c r="G121">
        <v>3.3967799999999999E-2</v>
      </c>
      <c r="H121">
        <v>3.3798300000000003E-2</v>
      </c>
      <c r="I121">
        <v>3.3298649999999999E-2</v>
      </c>
      <c r="J121">
        <v>3.2625750000000002E-2</v>
      </c>
      <c r="K121">
        <v>3.2460450000000002E-2</v>
      </c>
      <c r="L121">
        <v>3.2497199999999997E-2</v>
      </c>
      <c r="M121">
        <v>3.2224500000000003E-2</v>
      </c>
      <c r="N121">
        <v>3.2483699999999997E-2</v>
      </c>
      <c r="O121">
        <v>3.2307599999999999E-2</v>
      </c>
      <c r="P121">
        <v>3.2056800000000003E-2</v>
      </c>
      <c r="Q121">
        <v>3.2167800000000003E-2</v>
      </c>
      <c r="R121">
        <v>3.2336549999999999E-2</v>
      </c>
      <c r="S121">
        <v>3.2758049999999997E-2</v>
      </c>
      <c r="T121">
        <v>3.2777100000000003E-2</v>
      </c>
      <c r="U121">
        <v>3.3119999999999997E-2</v>
      </c>
      <c r="V121">
        <v>3.2829299999999999E-2</v>
      </c>
      <c r="W121">
        <v>3.5595750000000002E-2</v>
      </c>
      <c r="X121">
        <v>3.5366099999999998E-2</v>
      </c>
      <c r="Y121">
        <v>3.5283599999999998E-2</v>
      </c>
      <c r="Z121">
        <v>3.27888E-2</v>
      </c>
      <c r="AA121">
        <v>3.4041599999999998E-2</v>
      </c>
      <c r="AB121">
        <v>3.4328249999999998E-2</v>
      </c>
    </row>
    <row r="122" spans="1:28" hidden="1" x14ac:dyDescent="0.25">
      <c r="A122" t="s">
        <v>7</v>
      </c>
      <c r="B122" t="s">
        <v>45</v>
      </c>
      <c r="C122">
        <v>220</v>
      </c>
      <c r="D122" t="s">
        <v>2</v>
      </c>
      <c r="E122">
        <v>21.311730000000001</v>
      </c>
      <c r="F122">
        <v>20.765599999999999</v>
      </c>
      <c r="G122">
        <v>21.031980000000001</v>
      </c>
      <c r="H122">
        <v>19.062639999999998</v>
      </c>
      <c r="I122">
        <v>19.089179999999999</v>
      </c>
      <c r="J122">
        <v>18.981290000000001</v>
      </c>
      <c r="K122">
        <v>18.796469999999999</v>
      </c>
      <c r="L122">
        <v>18.421199999999999</v>
      </c>
      <c r="M122">
        <v>18.123840000000001</v>
      </c>
      <c r="N122">
        <v>18.141839999999998</v>
      </c>
      <c r="O122">
        <v>18.038409999999999</v>
      </c>
      <c r="P122">
        <v>17.992239999999999</v>
      </c>
      <c r="Q122">
        <v>18.141480000000001</v>
      </c>
      <c r="R122">
        <v>18.274730000000002</v>
      </c>
      <c r="S122">
        <v>18.764589999999998</v>
      </c>
      <c r="T122">
        <v>19.79073</v>
      </c>
      <c r="U122">
        <v>21.39</v>
      </c>
      <c r="V122">
        <v>20.56222</v>
      </c>
      <c r="W122">
        <v>19.811140000000002</v>
      </c>
      <c r="X122">
        <v>21.418690000000002</v>
      </c>
      <c r="Y122">
        <v>21.300840000000001</v>
      </c>
      <c r="Z122">
        <v>19.872</v>
      </c>
      <c r="AA122">
        <v>19.25478</v>
      </c>
      <c r="AB122">
        <v>19.611450000000001</v>
      </c>
    </row>
    <row r="123" spans="1:28" hidden="1" x14ac:dyDescent="0.25">
      <c r="A123" t="s">
        <v>7</v>
      </c>
      <c r="B123" t="s">
        <v>45</v>
      </c>
      <c r="C123">
        <v>220</v>
      </c>
      <c r="D123" t="s">
        <v>3</v>
      </c>
      <c r="E123">
        <v>8.4691161123000001</v>
      </c>
      <c r="F123">
        <v>8.2520882884999995</v>
      </c>
      <c r="G123">
        <v>8.4355484277000006</v>
      </c>
      <c r="H123">
        <v>8.5508792450000009</v>
      </c>
      <c r="I123">
        <v>8.5627842243999996</v>
      </c>
      <c r="J123">
        <v>8.6127137612000002</v>
      </c>
      <c r="K123">
        <v>7.8334066624999998</v>
      </c>
      <c r="L123">
        <v>7.6770133334999997</v>
      </c>
      <c r="M123">
        <v>7.5530889048000001</v>
      </c>
      <c r="N123">
        <v>7.5605903836000001</v>
      </c>
      <c r="O123">
        <v>7.7845810318000002</v>
      </c>
      <c r="P123">
        <v>7.4839642492999996</v>
      </c>
      <c r="Q123">
        <v>7.5460413905000001</v>
      </c>
      <c r="R123">
        <v>8.6788002189999993</v>
      </c>
      <c r="S123">
        <v>8.9114382429999992</v>
      </c>
      <c r="T123">
        <v>9.9372150852000001</v>
      </c>
      <c r="U123">
        <v>10.0572106652</v>
      </c>
      <c r="V123">
        <v>10.009349801799999</v>
      </c>
      <c r="W123">
        <v>9.3602897635000009</v>
      </c>
      <c r="X123">
        <v>10.163933585500001</v>
      </c>
      <c r="Y123">
        <v>10.1080095503</v>
      </c>
      <c r="Z123">
        <v>9.1929284023999998</v>
      </c>
      <c r="AA123">
        <v>8.1589053162000003</v>
      </c>
      <c r="AB123">
        <v>7.9924171033000002</v>
      </c>
    </row>
    <row r="124" spans="1:28" hidden="1" x14ac:dyDescent="0.25">
      <c r="A124" t="s">
        <v>7</v>
      </c>
      <c r="B124" t="s">
        <v>45</v>
      </c>
      <c r="C124">
        <v>220</v>
      </c>
      <c r="D124" t="s">
        <v>4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</row>
    <row r="125" spans="1:28" hidden="1" x14ac:dyDescent="0.25">
      <c r="A125" t="s">
        <v>7</v>
      </c>
      <c r="B125" t="s">
        <v>46</v>
      </c>
      <c r="C125">
        <v>110</v>
      </c>
      <c r="D125" t="s">
        <v>2</v>
      </c>
      <c r="E125">
        <v>24.177869099999999</v>
      </c>
      <c r="F125">
        <v>21.478811499999999</v>
      </c>
      <c r="G125">
        <v>20.5980639</v>
      </c>
      <c r="H125">
        <v>19.837309000000001</v>
      </c>
      <c r="I125">
        <v>20.737539900000002</v>
      </c>
      <c r="J125">
        <v>22.437974950000001</v>
      </c>
      <c r="K125">
        <v>22.710701749999998</v>
      </c>
      <c r="L125">
        <v>23.9801796</v>
      </c>
      <c r="M125">
        <v>26.418882</v>
      </c>
      <c r="N125">
        <v>28.414452600000001</v>
      </c>
      <c r="O125">
        <v>29.8131132</v>
      </c>
      <c r="P125">
        <v>31.2488098</v>
      </c>
      <c r="Q125">
        <v>31.799464199999999</v>
      </c>
      <c r="R125">
        <v>32.018045549999997</v>
      </c>
      <c r="S125">
        <v>31.978950900000001</v>
      </c>
      <c r="T125">
        <v>31.53620325</v>
      </c>
      <c r="U125">
        <v>31.766840999999999</v>
      </c>
      <c r="V125">
        <v>31.498497449999999</v>
      </c>
      <c r="W125">
        <v>38.877142300000003</v>
      </c>
      <c r="X125">
        <v>41.169355500000002</v>
      </c>
      <c r="Y125">
        <v>39.788720400000003</v>
      </c>
      <c r="Z125">
        <v>34.768175399999997</v>
      </c>
      <c r="AA125">
        <v>33.065268000000003</v>
      </c>
      <c r="AB125">
        <v>29.21859675</v>
      </c>
    </row>
    <row r="126" spans="1:28" hidden="1" x14ac:dyDescent="0.25">
      <c r="A126" t="s">
        <v>7</v>
      </c>
      <c r="B126" t="s">
        <v>46</v>
      </c>
      <c r="C126">
        <v>110</v>
      </c>
      <c r="D126" t="s">
        <v>3</v>
      </c>
      <c r="E126">
        <v>11.778952911699999</v>
      </c>
      <c r="F126">
        <v>10.286186406700001</v>
      </c>
      <c r="G126">
        <v>9.5722421245000007</v>
      </c>
      <c r="H126">
        <v>9.4542898844999996</v>
      </c>
      <c r="I126">
        <v>9.8383327595000001</v>
      </c>
      <c r="J126">
        <v>8.8701724577000007</v>
      </c>
      <c r="K126">
        <v>11.462884085500001</v>
      </c>
      <c r="L126">
        <v>11.8360093596</v>
      </c>
      <c r="M126">
        <v>12.464128390500001</v>
      </c>
      <c r="N126">
        <v>13.464177751599999</v>
      </c>
      <c r="O126">
        <v>13.886429896099999</v>
      </c>
      <c r="P126">
        <v>14.8483172595</v>
      </c>
      <c r="Q126">
        <v>15.320934988599999</v>
      </c>
      <c r="R126">
        <v>15.5088608713</v>
      </c>
      <c r="S126">
        <v>16.218295371</v>
      </c>
      <c r="T126">
        <v>13.611520371599999</v>
      </c>
      <c r="U126">
        <v>13.9722343447</v>
      </c>
      <c r="V126">
        <v>12.7383300704</v>
      </c>
      <c r="W126">
        <v>17.031545877799999</v>
      </c>
      <c r="X126">
        <v>16.901219671300002</v>
      </c>
      <c r="Y126">
        <v>16.126772699100002</v>
      </c>
      <c r="Z126">
        <v>14.228377352700001</v>
      </c>
      <c r="AA126">
        <v>14.173316121399999</v>
      </c>
      <c r="AB126">
        <v>13.9094918431</v>
      </c>
    </row>
    <row r="127" spans="1:28" hidden="1" x14ac:dyDescent="0.25">
      <c r="A127" t="s">
        <v>7</v>
      </c>
      <c r="B127" t="s">
        <v>46</v>
      </c>
      <c r="C127">
        <v>110</v>
      </c>
      <c r="D127" t="s">
        <v>4</v>
      </c>
      <c r="E127">
        <v>0.36819089999999999</v>
      </c>
      <c r="F127">
        <v>0.3270885</v>
      </c>
      <c r="G127">
        <v>0.31367610000000001</v>
      </c>
      <c r="H127">
        <v>0.302091</v>
      </c>
      <c r="I127">
        <v>0.31580009999999997</v>
      </c>
      <c r="J127">
        <v>0.34169505</v>
      </c>
      <c r="K127">
        <v>0.34584825000000002</v>
      </c>
      <c r="L127">
        <v>0.36518040000000002</v>
      </c>
      <c r="M127">
        <v>0.40231800000000001</v>
      </c>
      <c r="N127">
        <v>0.43270740000000002</v>
      </c>
      <c r="O127">
        <v>0.45400679999999999</v>
      </c>
      <c r="P127">
        <v>0.47587020000000002</v>
      </c>
      <c r="Q127">
        <v>0.48425580000000001</v>
      </c>
      <c r="R127">
        <v>0.48758445</v>
      </c>
      <c r="S127">
        <v>0.48698910000000001</v>
      </c>
      <c r="T127">
        <v>0.48024675</v>
      </c>
      <c r="U127">
        <v>0.48375899999999999</v>
      </c>
      <c r="V127">
        <v>0.47967254999999998</v>
      </c>
      <c r="W127">
        <v>0.5920377</v>
      </c>
      <c r="X127">
        <v>0.62694450000000002</v>
      </c>
      <c r="Y127">
        <v>0.6059196</v>
      </c>
      <c r="Z127">
        <v>0.52946459999999995</v>
      </c>
      <c r="AA127">
        <v>0.50353199999999998</v>
      </c>
      <c r="AB127">
        <v>0.44495325000000002</v>
      </c>
    </row>
    <row r="128" spans="1:28" hidden="1" x14ac:dyDescent="0.25">
      <c r="A128" t="s">
        <v>7</v>
      </c>
      <c r="B128" t="s">
        <v>47</v>
      </c>
      <c r="C128">
        <v>110</v>
      </c>
      <c r="D128" t="s">
        <v>2</v>
      </c>
      <c r="E128">
        <v>6.1249171499999999</v>
      </c>
      <c r="F128">
        <v>6.028791</v>
      </c>
      <c r="G128">
        <v>6.1389534000000001</v>
      </c>
      <c r="H128">
        <v>6.0984994500000003</v>
      </c>
      <c r="I128">
        <v>6.0157003500000004</v>
      </c>
      <c r="J128">
        <v>5.9778862000000004</v>
      </c>
      <c r="K128">
        <v>5.7697458499999996</v>
      </c>
      <c r="L128">
        <v>5.4977184000000001</v>
      </c>
      <c r="M128">
        <v>5.514621</v>
      </c>
      <c r="N128">
        <v>5.5272683999999996</v>
      </c>
      <c r="O128">
        <v>5.4992352999999996</v>
      </c>
      <c r="P128">
        <v>5.5471259999999996</v>
      </c>
      <c r="Q128">
        <v>5.5663334999999998</v>
      </c>
      <c r="R128">
        <v>5.7180038</v>
      </c>
      <c r="S128">
        <v>5.8093724</v>
      </c>
      <c r="T128">
        <v>5.8985641500000003</v>
      </c>
      <c r="U128">
        <v>6.0081059999999997</v>
      </c>
      <c r="V128">
        <v>6.0947662999999999</v>
      </c>
      <c r="W128">
        <v>6.4091487499999999</v>
      </c>
      <c r="X128">
        <v>6.3639077000000004</v>
      </c>
      <c r="Y128">
        <v>6.0927372000000002</v>
      </c>
      <c r="Z128">
        <v>5.6886704999999997</v>
      </c>
      <c r="AA128">
        <v>6.0658466999999998</v>
      </c>
      <c r="AB128">
        <v>6.2341635000000002</v>
      </c>
    </row>
    <row r="129" spans="1:28" hidden="1" x14ac:dyDescent="0.25">
      <c r="A129" t="s">
        <v>7</v>
      </c>
      <c r="B129" t="s">
        <v>47</v>
      </c>
      <c r="C129">
        <v>110</v>
      </c>
      <c r="D129" t="s">
        <v>3</v>
      </c>
      <c r="E129">
        <v>1.1618443779000001</v>
      </c>
      <c r="F129">
        <v>1.1542894797000001</v>
      </c>
      <c r="G129">
        <v>1.1583497243</v>
      </c>
      <c r="H129">
        <v>1.131843623</v>
      </c>
      <c r="I129">
        <v>1.1491273541</v>
      </c>
      <c r="J129">
        <v>1.19781585</v>
      </c>
      <c r="K129">
        <v>1.2094023604999999</v>
      </c>
      <c r="L129">
        <v>1.1654660779999999</v>
      </c>
      <c r="M129">
        <v>1.1845208054</v>
      </c>
      <c r="N129">
        <v>1.2101741156000001</v>
      </c>
      <c r="O129">
        <v>1.1964714302999999</v>
      </c>
      <c r="P129">
        <v>1.2275080476</v>
      </c>
      <c r="Q129">
        <v>1.228511753</v>
      </c>
      <c r="R129">
        <v>1.2730736708999999</v>
      </c>
      <c r="S129">
        <v>1.3057110734999999</v>
      </c>
      <c r="T129">
        <v>1.3392626586</v>
      </c>
      <c r="U129">
        <v>1.3376629027</v>
      </c>
      <c r="V129">
        <v>1.3730646307000001</v>
      </c>
      <c r="W129">
        <v>1.3332845572000001</v>
      </c>
      <c r="X129">
        <v>1.3111057309</v>
      </c>
      <c r="Y129">
        <v>1.2062365434</v>
      </c>
      <c r="Z129">
        <v>1.0711604799000001</v>
      </c>
      <c r="AA129">
        <v>1.1268146197</v>
      </c>
      <c r="AB129">
        <v>1.1580817849</v>
      </c>
    </row>
    <row r="130" spans="1:28" hidden="1" x14ac:dyDescent="0.25">
      <c r="A130" t="s">
        <v>7</v>
      </c>
      <c r="B130" t="s">
        <v>47</v>
      </c>
      <c r="C130">
        <v>110</v>
      </c>
      <c r="D130" t="s">
        <v>4</v>
      </c>
      <c r="E130">
        <v>9.3272850000000004E-2</v>
      </c>
      <c r="F130">
        <v>9.1809000000000002E-2</v>
      </c>
      <c r="G130">
        <v>9.3486600000000003E-2</v>
      </c>
      <c r="H130">
        <v>9.2870549999999996E-2</v>
      </c>
      <c r="I130">
        <v>9.1609649900000006E-2</v>
      </c>
      <c r="J130">
        <v>9.1033799999999998E-2</v>
      </c>
      <c r="K130">
        <v>8.7864150000000002E-2</v>
      </c>
      <c r="L130">
        <v>8.3721599999999993E-2</v>
      </c>
      <c r="M130">
        <v>8.3978999999999998E-2</v>
      </c>
      <c r="N130">
        <v>8.4171599999999999E-2</v>
      </c>
      <c r="O130">
        <v>8.3744700000000005E-2</v>
      </c>
      <c r="P130">
        <v>8.4473999999999994E-2</v>
      </c>
      <c r="Q130">
        <v>8.4766499999999995E-2</v>
      </c>
      <c r="R130">
        <v>8.7076200000000006E-2</v>
      </c>
      <c r="S130">
        <v>8.8467599999999993E-2</v>
      </c>
      <c r="T130">
        <v>8.9825849999999999E-2</v>
      </c>
      <c r="U130">
        <v>9.1494000000000006E-2</v>
      </c>
      <c r="V130">
        <v>9.2813699999999999E-2</v>
      </c>
      <c r="W130">
        <v>9.7601250000000001E-2</v>
      </c>
      <c r="X130">
        <v>9.6912300000000007E-2</v>
      </c>
      <c r="Y130">
        <v>9.2782799999999999E-2</v>
      </c>
      <c r="Z130">
        <v>8.6629499999999998E-2</v>
      </c>
      <c r="AA130">
        <v>9.2373300000000005E-2</v>
      </c>
      <c r="AB130">
        <v>9.4936499999999993E-2</v>
      </c>
    </row>
    <row r="131" spans="1:28" hidden="1" x14ac:dyDescent="0.25">
      <c r="A131" t="s">
        <v>7</v>
      </c>
      <c r="B131" t="s">
        <v>48</v>
      </c>
      <c r="C131">
        <v>110</v>
      </c>
      <c r="D131" t="s">
        <v>2</v>
      </c>
      <c r="E131">
        <v>3.8723206499999998</v>
      </c>
      <c r="F131">
        <v>3.7406359999999999</v>
      </c>
      <c r="G131">
        <v>3.8294435999999998</v>
      </c>
      <c r="H131">
        <v>3.7906936999999998</v>
      </c>
      <c r="I131">
        <v>3.7384000500000001</v>
      </c>
      <c r="J131">
        <v>3.7414043000000001</v>
      </c>
      <c r="K131">
        <v>3.5265757999999998</v>
      </c>
      <c r="L131">
        <v>3.7615968</v>
      </c>
      <c r="M131">
        <v>4.1167287000000004</v>
      </c>
      <c r="N131">
        <v>4.1186198999999997</v>
      </c>
      <c r="O131">
        <v>4.1174477500000002</v>
      </c>
      <c r="P131">
        <v>4.0963392000000001</v>
      </c>
      <c r="Q131">
        <v>4.0248872999999996</v>
      </c>
      <c r="R131">
        <v>3.8860220000000001</v>
      </c>
      <c r="S131">
        <v>4.0693009499999997</v>
      </c>
      <c r="T131">
        <v>4.0186522499999997</v>
      </c>
      <c r="U131">
        <v>4.0099349999999996</v>
      </c>
      <c r="V131">
        <v>3.97889765</v>
      </c>
      <c r="W131">
        <v>4.6296674500000004</v>
      </c>
      <c r="X131">
        <v>4.6598281500000001</v>
      </c>
      <c r="Y131">
        <v>4.3049622000000003</v>
      </c>
      <c r="Z131">
        <v>3.8780828999999999</v>
      </c>
      <c r="AA131">
        <v>3.9235899000000001</v>
      </c>
      <c r="AB131">
        <v>3.91522725</v>
      </c>
    </row>
    <row r="132" spans="1:28" hidden="1" x14ac:dyDescent="0.25">
      <c r="A132" t="s">
        <v>7</v>
      </c>
      <c r="B132" t="s">
        <v>48</v>
      </c>
      <c r="C132">
        <v>110</v>
      </c>
      <c r="D132" t="s">
        <v>3</v>
      </c>
      <c r="E132">
        <v>1.4786267629000001</v>
      </c>
      <c r="F132">
        <v>1.2793553854999999</v>
      </c>
      <c r="G132">
        <v>1.4087471247000001</v>
      </c>
      <c r="H132">
        <v>1.0631218184</v>
      </c>
      <c r="I132">
        <v>1.2560009797</v>
      </c>
      <c r="J132">
        <v>1.068736186</v>
      </c>
      <c r="K132">
        <v>1.0435348282000001</v>
      </c>
      <c r="L132">
        <v>0.99059758129999997</v>
      </c>
      <c r="M132">
        <v>1.3882811339000001</v>
      </c>
      <c r="N132">
        <v>1.4114729479000001</v>
      </c>
      <c r="O132">
        <v>1.5416231142000001</v>
      </c>
      <c r="P132">
        <v>1.8670630872</v>
      </c>
      <c r="Q132">
        <v>1.8376593914999999</v>
      </c>
      <c r="R132">
        <v>1.7966900093</v>
      </c>
      <c r="S132">
        <v>1.6588988869000001</v>
      </c>
      <c r="T132">
        <v>1.7621875082</v>
      </c>
      <c r="U132">
        <v>1.6750481814</v>
      </c>
      <c r="V132">
        <v>1.4612397988000001</v>
      </c>
      <c r="W132">
        <v>1.6745025045999999</v>
      </c>
      <c r="X132">
        <v>1.7171326760000001</v>
      </c>
      <c r="Y132">
        <v>1.4172628097</v>
      </c>
      <c r="Z132">
        <v>1.3383742358999999</v>
      </c>
      <c r="AA132">
        <v>1.3512507355000001</v>
      </c>
      <c r="AB132">
        <v>1.3404192156000001</v>
      </c>
    </row>
    <row r="133" spans="1:28" hidden="1" x14ac:dyDescent="0.25">
      <c r="A133" t="s">
        <v>7</v>
      </c>
      <c r="B133" t="s">
        <v>48</v>
      </c>
      <c r="C133">
        <v>110</v>
      </c>
      <c r="D133" t="s">
        <v>4</v>
      </c>
      <c r="E133">
        <v>5.8969349999999997E-2</v>
      </c>
      <c r="F133">
        <v>5.6964000000000001E-2</v>
      </c>
      <c r="G133">
        <v>5.8316399999999997E-2</v>
      </c>
      <c r="H133">
        <v>5.7726300000000001E-2</v>
      </c>
      <c r="I133">
        <v>5.692995E-2</v>
      </c>
      <c r="J133">
        <v>5.6975699999999997E-2</v>
      </c>
      <c r="K133">
        <v>5.3704200000000001E-2</v>
      </c>
      <c r="L133">
        <v>5.7283199999999999E-2</v>
      </c>
      <c r="M133">
        <v>6.2691300000000005E-2</v>
      </c>
      <c r="N133">
        <v>6.2720100000000001E-2</v>
      </c>
      <c r="O133">
        <v>6.2702250000000001E-2</v>
      </c>
      <c r="P133">
        <v>6.23808E-2</v>
      </c>
      <c r="Q133">
        <v>6.1292699999999999E-2</v>
      </c>
      <c r="R133">
        <v>5.9178000000000001E-2</v>
      </c>
      <c r="S133">
        <v>6.1969049999999998E-2</v>
      </c>
      <c r="T133">
        <v>6.1197750000000002E-2</v>
      </c>
      <c r="U133">
        <v>6.1065000000000001E-2</v>
      </c>
      <c r="V133">
        <v>6.0592350000000003E-2</v>
      </c>
      <c r="W133">
        <v>7.0502549999999997E-2</v>
      </c>
      <c r="X133">
        <v>7.0961850000000007E-2</v>
      </c>
      <c r="Y133">
        <v>6.5557799999999999E-2</v>
      </c>
      <c r="Z133">
        <v>5.9057100000000001E-2</v>
      </c>
      <c r="AA133">
        <v>5.97501E-2</v>
      </c>
      <c r="AB133">
        <v>5.9622750000000002E-2</v>
      </c>
    </row>
    <row r="134" spans="1:28" hidden="1" x14ac:dyDescent="0.25">
      <c r="A134" t="s">
        <v>7</v>
      </c>
      <c r="B134" t="s">
        <v>49</v>
      </c>
      <c r="C134">
        <v>110</v>
      </c>
      <c r="D134" t="s">
        <v>2</v>
      </c>
      <c r="E134">
        <v>14.320077749999999</v>
      </c>
      <c r="F134">
        <v>13.72893</v>
      </c>
      <c r="G134">
        <v>13.827449700000001</v>
      </c>
      <c r="H134">
        <v>14.8092386</v>
      </c>
      <c r="I134">
        <v>18.419933400000001</v>
      </c>
      <c r="J134">
        <v>22.072195199999999</v>
      </c>
      <c r="K134">
        <v>23.112463550000001</v>
      </c>
      <c r="L134">
        <v>22.786595999999999</v>
      </c>
      <c r="M134">
        <v>22.1482569</v>
      </c>
      <c r="N134">
        <v>20.646762299999999</v>
      </c>
      <c r="O134">
        <v>19.917281150000001</v>
      </c>
      <c r="P134">
        <v>19.770526</v>
      </c>
      <c r="Q134">
        <v>19.48216725</v>
      </c>
      <c r="R134">
        <v>19.22193025</v>
      </c>
      <c r="S134">
        <v>20.497219600000001</v>
      </c>
      <c r="T134">
        <v>23.09022225</v>
      </c>
      <c r="U134">
        <v>24.113982</v>
      </c>
      <c r="V134">
        <v>22.156737750000001</v>
      </c>
      <c r="W134">
        <v>22.741167799999999</v>
      </c>
      <c r="X134">
        <v>20.252910050000001</v>
      </c>
      <c r="Y134">
        <v>17.806239000000001</v>
      </c>
      <c r="Z134">
        <v>15.0229836</v>
      </c>
      <c r="AA134">
        <v>14.6814447</v>
      </c>
      <c r="AB134">
        <v>13.96754625</v>
      </c>
    </row>
    <row r="135" spans="1:28" hidden="1" x14ac:dyDescent="0.25">
      <c r="A135" t="s">
        <v>7</v>
      </c>
      <c r="B135" t="s">
        <v>49</v>
      </c>
      <c r="C135">
        <v>110</v>
      </c>
      <c r="D135" t="s">
        <v>3</v>
      </c>
      <c r="E135">
        <v>5.8116156953999996</v>
      </c>
      <c r="F135">
        <v>5.5534045826999998</v>
      </c>
      <c r="G135">
        <v>5.9784881379000003</v>
      </c>
      <c r="H135">
        <v>6.3345740596000004</v>
      </c>
      <c r="I135">
        <v>8.1644377322999997</v>
      </c>
      <c r="J135">
        <v>10.5112316797</v>
      </c>
      <c r="K135">
        <v>10.8577957835</v>
      </c>
      <c r="L135">
        <v>9.8022813244999991</v>
      </c>
      <c r="M135">
        <v>9.1333420882999992</v>
      </c>
      <c r="N135">
        <v>8.3484902108999997</v>
      </c>
      <c r="O135">
        <v>8.3423751643999999</v>
      </c>
      <c r="P135">
        <v>7.7458474738999996</v>
      </c>
      <c r="Q135">
        <v>7.6131433460000002</v>
      </c>
      <c r="R135">
        <v>7.7101696912</v>
      </c>
      <c r="S135">
        <v>9.2736253520999998</v>
      </c>
      <c r="T135">
        <v>11.7776434778</v>
      </c>
      <c r="U135">
        <v>9.8102260348999994</v>
      </c>
      <c r="V135">
        <v>10.759221478400001</v>
      </c>
      <c r="W135">
        <v>8.6558191388000001</v>
      </c>
      <c r="X135">
        <v>6.6179202084000002</v>
      </c>
      <c r="Y135">
        <v>5.7739003226000003</v>
      </c>
      <c r="Z135">
        <v>4.8912807099000002</v>
      </c>
      <c r="AA135">
        <v>5.4548003523000004</v>
      </c>
      <c r="AB135">
        <v>5.6425547042000002</v>
      </c>
    </row>
    <row r="136" spans="1:28" hidden="1" x14ac:dyDescent="0.25">
      <c r="A136" t="s">
        <v>7</v>
      </c>
      <c r="B136" t="s">
        <v>49</v>
      </c>
      <c r="C136">
        <v>110</v>
      </c>
      <c r="D136" t="s">
        <v>4</v>
      </c>
      <c r="E136">
        <v>0.21807225</v>
      </c>
      <c r="F136">
        <v>0.20907000000000001</v>
      </c>
      <c r="G136">
        <v>0.21057029999999999</v>
      </c>
      <c r="H136">
        <v>0.22552140000000001</v>
      </c>
      <c r="I136">
        <v>0.28050659999999999</v>
      </c>
      <c r="J136">
        <v>0.3361248</v>
      </c>
      <c r="K136">
        <v>0.35196644999999999</v>
      </c>
      <c r="L136">
        <v>0.34700399999999998</v>
      </c>
      <c r="M136">
        <v>0.3372831</v>
      </c>
      <c r="N136">
        <v>0.31441770000000002</v>
      </c>
      <c r="O136">
        <v>0.30330885000000002</v>
      </c>
      <c r="P136">
        <v>0.30107400000000001</v>
      </c>
      <c r="Q136">
        <v>0.29668275</v>
      </c>
      <c r="R136">
        <v>0.29271975</v>
      </c>
      <c r="S136">
        <v>0.31214039999999998</v>
      </c>
      <c r="T136">
        <v>0.35162775000000002</v>
      </c>
      <c r="U136">
        <v>0.36721799999999999</v>
      </c>
      <c r="V136">
        <v>0.33741225000000002</v>
      </c>
      <c r="W136">
        <v>0.34631220000000001</v>
      </c>
      <c r="X136">
        <v>0.30841995</v>
      </c>
      <c r="Y136">
        <v>0.27116099999999999</v>
      </c>
      <c r="Z136">
        <v>0.22877639999999999</v>
      </c>
      <c r="AA136">
        <v>0.2235753</v>
      </c>
      <c r="AB136">
        <v>0.21270375</v>
      </c>
    </row>
    <row r="137" spans="1:28" hidden="1" x14ac:dyDescent="0.25">
      <c r="A137" t="s">
        <v>7</v>
      </c>
      <c r="B137" t="s">
        <v>50</v>
      </c>
      <c r="C137">
        <v>110</v>
      </c>
      <c r="D137" t="s">
        <v>2</v>
      </c>
      <c r="E137">
        <v>23.2124706</v>
      </c>
      <c r="F137">
        <v>21.598193500000001</v>
      </c>
      <c r="G137">
        <v>21.456727799999999</v>
      </c>
      <c r="H137">
        <v>21.330017399999999</v>
      </c>
      <c r="I137">
        <v>22.460629950000001</v>
      </c>
      <c r="J137">
        <v>23.953348200000001</v>
      </c>
      <c r="K137">
        <v>25.087792400000001</v>
      </c>
      <c r="L137">
        <v>26.897828400000002</v>
      </c>
      <c r="M137">
        <v>29.086419599999999</v>
      </c>
      <c r="N137">
        <v>30.131662200000001</v>
      </c>
      <c r="O137">
        <v>31.753198749999999</v>
      </c>
      <c r="P137">
        <v>32.557362599999998</v>
      </c>
      <c r="Q137">
        <v>32.9127309</v>
      </c>
      <c r="R137">
        <v>32.559312900000002</v>
      </c>
      <c r="S137">
        <v>32.0337563</v>
      </c>
      <c r="T137">
        <v>31.386355200000001</v>
      </c>
      <c r="U137">
        <v>31.413423000000002</v>
      </c>
      <c r="V137">
        <v>31.059354899999999</v>
      </c>
      <c r="W137">
        <v>36.494447000000001</v>
      </c>
      <c r="X137">
        <v>36.479366650000003</v>
      </c>
      <c r="Y137">
        <v>34.854461399999998</v>
      </c>
      <c r="Z137">
        <v>29.7890595</v>
      </c>
      <c r="AA137">
        <v>28.6177566</v>
      </c>
      <c r="AB137">
        <v>26.500587750000001</v>
      </c>
    </row>
    <row r="138" spans="1:28" hidden="1" x14ac:dyDescent="0.25">
      <c r="A138" t="s">
        <v>7</v>
      </c>
      <c r="B138" t="s">
        <v>50</v>
      </c>
      <c r="C138">
        <v>110</v>
      </c>
      <c r="D138" t="s">
        <v>3</v>
      </c>
      <c r="E138">
        <v>8.2692884065999994</v>
      </c>
      <c r="F138">
        <v>7.8319308447999996</v>
      </c>
      <c r="G138">
        <v>7.7678064043999999</v>
      </c>
      <c r="H138">
        <v>7.7509570740999996</v>
      </c>
      <c r="I138">
        <v>7.9326176097000003</v>
      </c>
      <c r="J138">
        <v>8.3509384505999993</v>
      </c>
      <c r="K138">
        <v>8.6856162574999995</v>
      </c>
      <c r="L138">
        <v>9.4915637055000008</v>
      </c>
      <c r="M138">
        <v>10.4115783335</v>
      </c>
      <c r="N138">
        <v>10.9453261946</v>
      </c>
      <c r="O138">
        <v>11.696785585400001</v>
      </c>
      <c r="P138">
        <v>12.034683833600001</v>
      </c>
      <c r="Q138">
        <v>12.1854559702</v>
      </c>
      <c r="R138">
        <v>12.357174416099999</v>
      </c>
      <c r="S138">
        <v>12.163906495699999</v>
      </c>
      <c r="T138">
        <v>11.9978277407</v>
      </c>
      <c r="U138">
        <v>12.036387622499999</v>
      </c>
      <c r="V138">
        <v>11.6300146759</v>
      </c>
      <c r="W138">
        <v>12.7219419588</v>
      </c>
      <c r="X138">
        <v>12.220348935300001</v>
      </c>
      <c r="Y138">
        <v>11.729628937599999</v>
      </c>
      <c r="Z138">
        <v>9.8870535260000008</v>
      </c>
      <c r="AA138">
        <v>9.4568810232999994</v>
      </c>
      <c r="AB138">
        <v>9.1819935786000002</v>
      </c>
    </row>
    <row r="139" spans="1:28" hidden="1" x14ac:dyDescent="0.25">
      <c r="A139" t="s">
        <v>7</v>
      </c>
      <c r="B139" t="s">
        <v>50</v>
      </c>
      <c r="C139">
        <v>110</v>
      </c>
      <c r="D139" t="s">
        <v>4</v>
      </c>
      <c r="E139">
        <v>0.35348940000000001</v>
      </c>
      <c r="F139">
        <v>0.32890649999999999</v>
      </c>
      <c r="G139">
        <v>0.32675219999999999</v>
      </c>
      <c r="H139">
        <v>0.32482260000000002</v>
      </c>
      <c r="I139">
        <v>0.34204004999999998</v>
      </c>
      <c r="J139">
        <v>0.36477179999999998</v>
      </c>
      <c r="K139">
        <v>0.38204759999999999</v>
      </c>
      <c r="L139">
        <v>0.40961160000000002</v>
      </c>
      <c r="M139">
        <v>0.44294040000000001</v>
      </c>
      <c r="N139">
        <v>0.45885779999999998</v>
      </c>
      <c r="O139">
        <v>0.48355124999999999</v>
      </c>
      <c r="P139">
        <v>0.4957974</v>
      </c>
      <c r="Q139">
        <v>0.50120909999999996</v>
      </c>
      <c r="R139">
        <v>0.49582710000000002</v>
      </c>
      <c r="S139">
        <v>0.48782370000000003</v>
      </c>
      <c r="T139">
        <v>0.47796480000000002</v>
      </c>
      <c r="U139">
        <v>0.478377</v>
      </c>
      <c r="V139">
        <v>0.47298509999999999</v>
      </c>
      <c r="W139">
        <v>0.55575300000000005</v>
      </c>
      <c r="X139">
        <v>0.55552334999999997</v>
      </c>
      <c r="Y139">
        <v>0.53077859999999999</v>
      </c>
      <c r="Z139">
        <v>0.4536405</v>
      </c>
      <c r="AA139">
        <v>0.43580340000000001</v>
      </c>
      <c r="AB139">
        <v>0.40356225000000001</v>
      </c>
    </row>
    <row r="140" spans="1:28" hidden="1" x14ac:dyDescent="0.25">
      <c r="A140" t="s">
        <v>7</v>
      </c>
      <c r="B140" t="s">
        <v>51</v>
      </c>
      <c r="C140">
        <v>44</v>
      </c>
      <c r="D140" t="s">
        <v>2</v>
      </c>
      <c r="E140">
        <v>26.3237436</v>
      </c>
      <c r="F140">
        <v>24.854989</v>
      </c>
      <c r="G140">
        <v>24.9205416</v>
      </c>
      <c r="H140">
        <v>24.535073300000001</v>
      </c>
      <c r="I140">
        <v>25.700828999999999</v>
      </c>
      <c r="J140">
        <v>27.478839000000001</v>
      </c>
      <c r="K140">
        <v>29.508418500000001</v>
      </c>
      <c r="L140">
        <v>31.997195999999999</v>
      </c>
      <c r="M140">
        <v>33.695239200000003</v>
      </c>
      <c r="N140">
        <v>34.045777800000003</v>
      </c>
      <c r="O140">
        <v>34.692127599999999</v>
      </c>
      <c r="P140">
        <v>35.367170000000002</v>
      </c>
      <c r="Q140">
        <v>35.812904400000001</v>
      </c>
      <c r="R140">
        <v>34.496265200000003</v>
      </c>
      <c r="S140">
        <v>33.623808400000001</v>
      </c>
      <c r="T140">
        <v>32.786504399999998</v>
      </c>
      <c r="U140">
        <v>32.380733999999997</v>
      </c>
      <c r="V140">
        <v>32.276876100000003</v>
      </c>
      <c r="W140">
        <v>39.888980199999999</v>
      </c>
      <c r="X140">
        <v>40.4533068</v>
      </c>
      <c r="Y140">
        <v>37.985626799999999</v>
      </c>
      <c r="Z140">
        <v>32.901449399999997</v>
      </c>
      <c r="AA140">
        <v>31.254680400000002</v>
      </c>
      <c r="AB140">
        <v>28.444376999999999</v>
      </c>
    </row>
    <row r="141" spans="1:28" hidden="1" x14ac:dyDescent="0.25">
      <c r="A141" t="s">
        <v>7</v>
      </c>
      <c r="B141" t="s">
        <v>51</v>
      </c>
      <c r="C141">
        <v>44</v>
      </c>
      <c r="D141" t="s">
        <v>3</v>
      </c>
      <c r="E141">
        <v>12.5944307572</v>
      </c>
      <c r="F141">
        <v>12.2146688869</v>
      </c>
      <c r="G141">
        <v>12.5796553359</v>
      </c>
      <c r="H141">
        <v>10.575027935</v>
      </c>
      <c r="I141">
        <v>12.304449743699999</v>
      </c>
      <c r="J141">
        <v>11.9604331676</v>
      </c>
      <c r="K141">
        <v>13.1532424213</v>
      </c>
      <c r="L141">
        <v>14.046033076400001</v>
      </c>
      <c r="M141">
        <v>14.4625799662</v>
      </c>
      <c r="N141">
        <v>14.742552695600001</v>
      </c>
      <c r="O141">
        <v>15.3994401282</v>
      </c>
      <c r="P141">
        <v>15.5369160628</v>
      </c>
      <c r="Q141">
        <v>15.426304616099999</v>
      </c>
      <c r="R141">
        <v>15.300283261200001</v>
      </c>
      <c r="S141">
        <v>15.5215408364</v>
      </c>
      <c r="T141">
        <v>15.3553801016</v>
      </c>
      <c r="U141">
        <v>15.092647725200001</v>
      </c>
      <c r="V141">
        <v>14.9622953907</v>
      </c>
      <c r="W141">
        <v>14.7369361712</v>
      </c>
      <c r="X141">
        <v>13.837053449300001</v>
      </c>
      <c r="Y141">
        <v>13.2637553711</v>
      </c>
      <c r="Z141">
        <v>12.2243308778</v>
      </c>
      <c r="AA141">
        <v>12.008594481999999</v>
      </c>
      <c r="AB141">
        <v>12.6655478616</v>
      </c>
    </row>
    <row r="142" spans="1:28" hidden="1" x14ac:dyDescent="0.25">
      <c r="A142" t="s">
        <v>7</v>
      </c>
      <c r="B142" t="s">
        <v>51</v>
      </c>
      <c r="C142">
        <v>44</v>
      </c>
      <c r="D142" t="s">
        <v>4</v>
      </c>
      <c r="E142">
        <v>0.81413639999999998</v>
      </c>
      <c r="F142">
        <v>0.76871100000000003</v>
      </c>
      <c r="G142">
        <v>0.77073840000000005</v>
      </c>
      <c r="H142">
        <v>0.75881670000000001</v>
      </c>
      <c r="I142">
        <v>0.79487099999999999</v>
      </c>
      <c r="J142">
        <v>0.84986099999999998</v>
      </c>
      <c r="K142">
        <v>0.91263150000000004</v>
      </c>
      <c r="L142">
        <v>0.98960400000000004</v>
      </c>
      <c r="M142">
        <v>1.0421208</v>
      </c>
      <c r="N142">
        <v>1.0529622000000001</v>
      </c>
      <c r="O142">
        <v>1.0729523999999999</v>
      </c>
      <c r="P142">
        <v>1.0938300000000001</v>
      </c>
      <c r="Q142">
        <v>1.1076155999999999</v>
      </c>
      <c r="R142">
        <v>1.0668948</v>
      </c>
      <c r="S142">
        <v>1.0399115999999999</v>
      </c>
      <c r="T142">
        <v>1.0140156</v>
      </c>
      <c r="U142">
        <v>1.001466</v>
      </c>
      <c r="V142">
        <v>0.99825390000000003</v>
      </c>
      <c r="W142">
        <v>1.2336798</v>
      </c>
      <c r="X142">
        <v>1.2511331999999999</v>
      </c>
      <c r="Y142">
        <v>1.1748132</v>
      </c>
      <c r="Z142">
        <v>1.0175706</v>
      </c>
      <c r="AA142">
        <v>0.96663960000000004</v>
      </c>
      <c r="AB142">
        <v>0.87972300000000003</v>
      </c>
    </row>
    <row r="143" spans="1:28" hidden="1" x14ac:dyDescent="0.25">
      <c r="A143" t="s">
        <v>7</v>
      </c>
      <c r="B143" t="s">
        <v>52</v>
      </c>
      <c r="C143">
        <v>110</v>
      </c>
      <c r="D143" t="s">
        <v>2</v>
      </c>
      <c r="E143">
        <v>31.343271300000001</v>
      </c>
      <c r="F143">
        <v>28.213946</v>
      </c>
      <c r="G143">
        <v>27.931251</v>
      </c>
      <c r="H143">
        <v>27.0848011</v>
      </c>
      <c r="I143">
        <v>28.1740338</v>
      </c>
      <c r="J143">
        <v>29.00110875</v>
      </c>
      <c r="K143">
        <v>29.9312541</v>
      </c>
      <c r="L143">
        <v>31.141681200000001</v>
      </c>
      <c r="M143">
        <v>33.510941099999997</v>
      </c>
      <c r="N143">
        <v>36.128480099999997</v>
      </c>
      <c r="O143">
        <v>37.671157549999997</v>
      </c>
      <c r="P143">
        <v>38.616531000000002</v>
      </c>
      <c r="Q143">
        <v>40.248873000000003</v>
      </c>
      <c r="R143">
        <v>40.636687199999997</v>
      </c>
      <c r="S143">
        <v>40.391579800000002</v>
      </c>
      <c r="T143">
        <v>39.655243050000003</v>
      </c>
      <c r="U143">
        <v>39.691560000000003</v>
      </c>
      <c r="V143">
        <v>40.321270499999997</v>
      </c>
      <c r="W143">
        <v>48.287280699999997</v>
      </c>
      <c r="X143">
        <v>49.644512200000001</v>
      </c>
      <c r="Y143">
        <v>48.355738199999998</v>
      </c>
      <c r="Z143">
        <v>42.512107499999999</v>
      </c>
      <c r="AA143">
        <v>40.900805099999999</v>
      </c>
      <c r="AB143">
        <v>37.318694999999998</v>
      </c>
    </row>
    <row r="144" spans="1:28" hidden="1" x14ac:dyDescent="0.25">
      <c r="A144" t="s">
        <v>7</v>
      </c>
      <c r="B144" t="s">
        <v>52</v>
      </c>
      <c r="C144">
        <v>110</v>
      </c>
      <c r="D144" t="s">
        <v>3</v>
      </c>
      <c r="E144">
        <v>14.6099895349</v>
      </c>
      <c r="F144">
        <v>14.3738857967</v>
      </c>
      <c r="G144">
        <v>14.281753049400001</v>
      </c>
      <c r="H144">
        <v>15.8865056076</v>
      </c>
      <c r="I144">
        <v>12.3869733979</v>
      </c>
      <c r="J144">
        <v>13.4337235036</v>
      </c>
      <c r="K144">
        <v>14.785081165499999</v>
      </c>
      <c r="L144">
        <v>14.7635975245</v>
      </c>
      <c r="M144">
        <v>15.854222330300001</v>
      </c>
      <c r="N144">
        <v>16.137062919000002</v>
      </c>
      <c r="O144">
        <v>17.549827593100002</v>
      </c>
      <c r="P144">
        <v>18.4868321573</v>
      </c>
      <c r="Q144">
        <v>18.838766785899999</v>
      </c>
      <c r="R144">
        <v>19.3241865247</v>
      </c>
      <c r="S144">
        <v>19.149929092299999</v>
      </c>
      <c r="T144">
        <v>19.944662816899999</v>
      </c>
      <c r="U144">
        <v>19.027458404800001</v>
      </c>
      <c r="V144">
        <v>20.286388115499999</v>
      </c>
      <c r="W144">
        <v>19.481404815000001</v>
      </c>
      <c r="X144">
        <v>18.989982918599999</v>
      </c>
      <c r="Y144">
        <v>18.572929958100001</v>
      </c>
      <c r="Z144">
        <v>17.385674391599999</v>
      </c>
      <c r="AA144">
        <v>17.090253619999999</v>
      </c>
      <c r="AB144">
        <v>17.127677524999999</v>
      </c>
    </row>
    <row r="145" spans="1:28" hidden="1" x14ac:dyDescent="0.25">
      <c r="A145" t="s">
        <v>7</v>
      </c>
      <c r="B145" t="s">
        <v>52</v>
      </c>
      <c r="C145">
        <v>110</v>
      </c>
      <c r="D145" t="s">
        <v>4</v>
      </c>
      <c r="E145">
        <v>0.47730869999999997</v>
      </c>
      <c r="F145">
        <v>0.42965399999999998</v>
      </c>
      <c r="G145">
        <v>0.42534899999999998</v>
      </c>
      <c r="H145">
        <v>0.41245890000000002</v>
      </c>
      <c r="I145">
        <v>0.42904619999999999</v>
      </c>
      <c r="J145">
        <v>0.44164124999999999</v>
      </c>
      <c r="K145">
        <v>0.45580589999999999</v>
      </c>
      <c r="L145">
        <v>0.47423880000000002</v>
      </c>
      <c r="M145">
        <v>0.51031890000000002</v>
      </c>
      <c r="N145">
        <v>0.55017990000000006</v>
      </c>
      <c r="O145">
        <v>0.57367245</v>
      </c>
      <c r="P145">
        <v>0.58806899999999995</v>
      </c>
      <c r="Q145">
        <v>0.612927</v>
      </c>
      <c r="R145">
        <v>0.61883279999999996</v>
      </c>
      <c r="S145">
        <v>0.61510019999999999</v>
      </c>
      <c r="T145">
        <v>0.60388695000000003</v>
      </c>
      <c r="U145">
        <v>0.60443999999999998</v>
      </c>
      <c r="V145">
        <v>0.61402950000000001</v>
      </c>
      <c r="W145">
        <v>0.73533930000000003</v>
      </c>
      <c r="X145">
        <v>0.75600780000000001</v>
      </c>
      <c r="Y145">
        <v>0.73638179999999998</v>
      </c>
      <c r="Z145">
        <v>0.64739250000000004</v>
      </c>
      <c r="AA145">
        <v>0.62285489999999999</v>
      </c>
      <c r="AB145">
        <v>0.56830499999999995</v>
      </c>
    </row>
    <row r="146" spans="1:28" hidden="1" x14ac:dyDescent="0.25">
      <c r="A146" t="s">
        <v>7</v>
      </c>
      <c r="B146" t="s">
        <v>53</v>
      </c>
      <c r="C146">
        <v>44</v>
      </c>
      <c r="D146" t="s">
        <v>2</v>
      </c>
      <c r="E146">
        <v>2.2288562999999999</v>
      </c>
      <c r="F146">
        <v>2.0965579999999999</v>
      </c>
      <c r="G146">
        <v>2.1091098000000001</v>
      </c>
      <c r="H146">
        <v>2.0985852999999999</v>
      </c>
      <c r="I146">
        <v>2.1930051000000002</v>
      </c>
      <c r="J146">
        <v>2.4494246</v>
      </c>
      <c r="K146">
        <v>2.4288121</v>
      </c>
      <c r="L146">
        <v>2.5645248</v>
      </c>
      <c r="M146">
        <v>2.5385094000000001</v>
      </c>
      <c r="N146">
        <v>2.5498002</v>
      </c>
      <c r="O146">
        <v>2.6390207999999999</v>
      </c>
      <c r="P146">
        <v>2.8433804</v>
      </c>
      <c r="Q146">
        <v>2.8532259</v>
      </c>
      <c r="R146">
        <v>2.8291311000000001</v>
      </c>
      <c r="S146">
        <v>3.0358575000000001</v>
      </c>
      <c r="T146">
        <v>2.8171710000000001</v>
      </c>
      <c r="U146">
        <v>2.87799</v>
      </c>
      <c r="V146">
        <v>2.9747669000000001</v>
      </c>
      <c r="W146">
        <v>3.8760327000000001</v>
      </c>
      <c r="X146">
        <v>3.9057341000000001</v>
      </c>
      <c r="Y146">
        <v>3.5915219999999999</v>
      </c>
      <c r="Z146">
        <v>2.9877552000000001</v>
      </c>
      <c r="AA146">
        <v>2.7402305999999998</v>
      </c>
      <c r="AB146">
        <v>2.4323234999999999</v>
      </c>
    </row>
    <row r="147" spans="1:28" hidden="1" x14ac:dyDescent="0.25">
      <c r="A147" t="s">
        <v>7</v>
      </c>
      <c r="B147" t="s">
        <v>53</v>
      </c>
      <c r="C147">
        <v>44</v>
      </c>
      <c r="D147" t="s">
        <v>3</v>
      </c>
      <c r="E147">
        <v>1.0746820475000001</v>
      </c>
      <c r="F147">
        <v>1.0221099405</v>
      </c>
      <c r="G147">
        <v>1.0681216687999999</v>
      </c>
      <c r="H147">
        <v>1.0358675385</v>
      </c>
      <c r="I147">
        <v>1.0111998945</v>
      </c>
      <c r="J147">
        <v>1.0039013059999999</v>
      </c>
      <c r="K147">
        <v>0.96907035119999996</v>
      </c>
      <c r="L147">
        <v>1.0041002232</v>
      </c>
      <c r="M147">
        <v>0.97371429899999995</v>
      </c>
      <c r="N147">
        <v>1.1026699625</v>
      </c>
      <c r="O147">
        <v>1.1440141619999999</v>
      </c>
      <c r="P147">
        <v>1.2524777092999999</v>
      </c>
      <c r="Q147">
        <v>1.2731561423</v>
      </c>
      <c r="R147">
        <v>1.2923665052</v>
      </c>
      <c r="S147">
        <v>1.4414035714</v>
      </c>
      <c r="T147">
        <v>1.3541883912999999</v>
      </c>
      <c r="U147">
        <v>1.3829328046</v>
      </c>
      <c r="V147">
        <v>1.3276523214</v>
      </c>
      <c r="W147">
        <v>1.3826323044</v>
      </c>
      <c r="X147">
        <v>1.3468448125000001</v>
      </c>
      <c r="Y147">
        <v>1.2914790840000001</v>
      </c>
      <c r="Z147">
        <v>1.1528171421</v>
      </c>
      <c r="AA147">
        <v>1.1037512184</v>
      </c>
      <c r="AB147">
        <v>1.1092617415999999</v>
      </c>
    </row>
    <row r="148" spans="1:28" hidden="1" x14ac:dyDescent="0.25">
      <c r="A148" t="s">
        <v>7</v>
      </c>
      <c r="B148" t="s">
        <v>53</v>
      </c>
      <c r="C148">
        <v>44</v>
      </c>
      <c r="D148" t="s">
        <v>4</v>
      </c>
      <c r="E148">
        <v>6.8933700000000001E-2</v>
      </c>
      <c r="F148">
        <v>6.4841999999999997E-2</v>
      </c>
      <c r="G148">
        <v>6.5230200000000002E-2</v>
      </c>
      <c r="H148">
        <v>6.4904699999999996E-2</v>
      </c>
      <c r="I148">
        <v>6.7824899999999994E-2</v>
      </c>
      <c r="J148">
        <v>7.5755400000000001E-2</v>
      </c>
      <c r="K148">
        <v>7.5117900000000001E-2</v>
      </c>
      <c r="L148">
        <v>7.9315200000000002E-2</v>
      </c>
      <c r="M148">
        <v>7.85106E-2</v>
      </c>
      <c r="N148">
        <v>7.8859799999999994E-2</v>
      </c>
      <c r="O148">
        <v>8.1619200000000003E-2</v>
      </c>
      <c r="P148">
        <v>8.7939600000000007E-2</v>
      </c>
      <c r="Q148">
        <v>8.8244100000000006E-2</v>
      </c>
      <c r="R148">
        <v>8.7498900000000004E-2</v>
      </c>
      <c r="S148">
        <v>9.3892500000000004E-2</v>
      </c>
      <c r="T148">
        <v>8.7128999999999998E-2</v>
      </c>
      <c r="U148">
        <v>8.9010000000000006E-2</v>
      </c>
      <c r="V148">
        <v>9.2003100000000004E-2</v>
      </c>
      <c r="W148">
        <v>0.11987730000000001</v>
      </c>
      <c r="X148">
        <v>0.1207959</v>
      </c>
      <c r="Y148">
        <v>0.111078</v>
      </c>
      <c r="Z148">
        <v>9.2404799999999995E-2</v>
      </c>
      <c r="AA148">
        <v>8.4749400000000003E-2</v>
      </c>
      <c r="AB148">
        <v>7.5226500000000002E-2</v>
      </c>
    </row>
    <row r="149" spans="1:28" hidden="1" x14ac:dyDescent="0.25">
      <c r="A149" t="s">
        <v>7</v>
      </c>
      <c r="B149" t="s">
        <v>54</v>
      </c>
      <c r="C149">
        <v>110</v>
      </c>
      <c r="D149" t="s">
        <v>2</v>
      </c>
      <c r="E149">
        <v>26.226659250000001</v>
      </c>
      <c r="F149">
        <v>24.224597500000002</v>
      </c>
      <c r="G149">
        <v>23.8945437</v>
      </c>
      <c r="H149">
        <v>23.127290200000001</v>
      </c>
      <c r="I149">
        <v>23.025303300000001</v>
      </c>
      <c r="J149">
        <v>23.546525899999999</v>
      </c>
      <c r="K149">
        <v>24.118338099999999</v>
      </c>
      <c r="L149">
        <v>26.970166800000001</v>
      </c>
      <c r="M149">
        <v>29.714829900000002</v>
      </c>
      <c r="N149">
        <v>32.291589899999998</v>
      </c>
      <c r="O149">
        <v>34.042220550000003</v>
      </c>
      <c r="P149">
        <v>34.946893799999998</v>
      </c>
      <c r="Q149">
        <v>34.69681215</v>
      </c>
      <c r="R149">
        <v>33.503061099999996</v>
      </c>
      <c r="S149">
        <v>33.143565649999999</v>
      </c>
      <c r="T149">
        <v>32.8303455</v>
      </c>
      <c r="U149">
        <v>32.446491000000002</v>
      </c>
      <c r="V149">
        <v>32.19047965</v>
      </c>
      <c r="W149">
        <v>35.680108099999998</v>
      </c>
      <c r="X149">
        <v>34.880849550000001</v>
      </c>
      <c r="Y149">
        <v>33.0237798</v>
      </c>
      <c r="Z149">
        <v>31.354973099999999</v>
      </c>
      <c r="AA149">
        <v>30.364161599999999</v>
      </c>
      <c r="AB149">
        <v>28.388093999999999</v>
      </c>
    </row>
    <row r="150" spans="1:28" hidden="1" x14ac:dyDescent="0.25">
      <c r="A150" t="s">
        <v>7</v>
      </c>
      <c r="B150" t="s">
        <v>54</v>
      </c>
      <c r="C150">
        <v>110</v>
      </c>
      <c r="D150" t="s">
        <v>3</v>
      </c>
      <c r="E150">
        <v>9.2361004893</v>
      </c>
      <c r="F150">
        <v>8.6858616028999993</v>
      </c>
      <c r="G150">
        <v>8.3637688354000002</v>
      </c>
      <c r="H150">
        <v>8.2668707519000009</v>
      </c>
      <c r="I150">
        <v>8.3746244114999993</v>
      </c>
      <c r="J150">
        <v>8.4261905954999996</v>
      </c>
      <c r="K150">
        <v>8.1275220356000002</v>
      </c>
      <c r="L150">
        <v>8.9988937226000001</v>
      </c>
      <c r="M150">
        <v>10.317006211400001</v>
      </c>
      <c r="N150">
        <v>11.6106882566</v>
      </c>
      <c r="O150">
        <v>12.7026087384</v>
      </c>
      <c r="P150">
        <v>13.313971908199999</v>
      </c>
      <c r="Q150">
        <v>13.122498935899999</v>
      </c>
      <c r="R150">
        <v>12.63959831</v>
      </c>
      <c r="S150">
        <v>12.9747560142</v>
      </c>
      <c r="T150">
        <v>12.97331728</v>
      </c>
      <c r="U150">
        <v>12.8715909517</v>
      </c>
      <c r="V150">
        <v>12.375353774700001</v>
      </c>
      <c r="W150">
        <v>12.4696437972</v>
      </c>
      <c r="X150">
        <v>12.163007496200001</v>
      </c>
      <c r="Y150">
        <v>10.7154800124</v>
      </c>
      <c r="Z150">
        <v>10.1582604455</v>
      </c>
      <c r="AA150">
        <v>9.8296389152000003</v>
      </c>
      <c r="AB150">
        <v>9.4859485916999997</v>
      </c>
    </row>
    <row r="151" spans="1:28" hidden="1" x14ac:dyDescent="0.25">
      <c r="A151" t="s">
        <v>7</v>
      </c>
      <c r="B151" t="s">
        <v>54</v>
      </c>
      <c r="C151">
        <v>110</v>
      </c>
      <c r="D151" t="s">
        <v>4</v>
      </c>
      <c r="E151">
        <v>0.39939075000000002</v>
      </c>
      <c r="F151">
        <v>0.36890250000000002</v>
      </c>
      <c r="G151">
        <v>0.36387629999999999</v>
      </c>
      <c r="H151">
        <v>0.35219223649999998</v>
      </c>
      <c r="I151">
        <v>0.3506391365</v>
      </c>
      <c r="J151">
        <v>0.35857653649999999</v>
      </c>
      <c r="K151">
        <v>0.36728433649999997</v>
      </c>
      <c r="L151">
        <v>0.4107132</v>
      </c>
      <c r="M151">
        <v>0.45251010000000003</v>
      </c>
      <c r="N151">
        <v>0.49175010000000002</v>
      </c>
      <c r="O151">
        <v>0.51840945000000005</v>
      </c>
      <c r="P151">
        <v>0.53218620000000005</v>
      </c>
      <c r="Q151">
        <v>0.52837785000000004</v>
      </c>
      <c r="R151">
        <v>0.51019890000000001</v>
      </c>
      <c r="S151">
        <v>0.50472435000000004</v>
      </c>
      <c r="T151">
        <v>0.49995450000000002</v>
      </c>
      <c r="U151">
        <v>0.49410900000000002</v>
      </c>
      <c r="V151">
        <v>0.49021035000000002</v>
      </c>
      <c r="W151">
        <v>0.5433519</v>
      </c>
      <c r="X151">
        <v>0.53118045000000003</v>
      </c>
      <c r="Y151">
        <v>0.50290020000000002</v>
      </c>
      <c r="Z151">
        <v>0.47748689999999999</v>
      </c>
      <c r="AA151">
        <v>0.46239839999999999</v>
      </c>
      <c r="AB151">
        <v>0.43230600000000002</v>
      </c>
    </row>
    <row r="152" spans="1:28" hidden="1" x14ac:dyDescent="0.25">
      <c r="A152" t="s">
        <v>7</v>
      </c>
      <c r="B152" t="s">
        <v>55</v>
      </c>
      <c r="C152">
        <v>110</v>
      </c>
      <c r="D152" t="s">
        <v>2</v>
      </c>
      <c r="E152">
        <v>4.0439470499999999</v>
      </c>
      <c r="F152">
        <v>3.621254</v>
      </c>
      <c r="G152">
        <v>4.3821468000000001</v>
      </c>
      <c r="H152">
        <v>4.2227934999999999</v>
      </c>
      <c r="I152">
        <v>4.2523040999999999</v>
      </c>
      <c r="J152">
        <v>3.9922247</v>
      </c>
      <c r="K152">
        <v>3.87253735</v>
      </c>
      <c r="L152">
        <v>3.3275663999999998</v>
      </c>
      <c r="M152">
        <v>2.9368563000000001</v>
      </c>
      <c r="N152">
        <v>2.7368028</v>
      </c>
      <c r="O152">
        <v>3.9360008999999998</v>
      </c>
      <c r="P152">
        <v>5.1346474000000004</v>
      </c>
      <c r="Q152">
        <v>5.5092429000000003</v>
      </c>
      <c r="R152">
        <v>6.2176352000000001</v>
      </c>
      <c r="S152">
        <v>7.0287925500000004</v>
      </c>
      <c r="T152">
        <v>6.6205593</v>
      </c>
      <c r="U152">
        <v>6.7013490000000004</v>
      </c>
      <c r="V152">
        <v>5.5225502500000001</v>
      </c>
      <c r="W152">
        <v>3.9962927499999998</v>
      </c>
      <c r="X152">
        <v>3.7700874999999998</v>
      </c>
      <c r="Y152">
        <v>4.2048468000000003</v>
      </c>
      <c r="Z152">
        <v>4.5387027</v>
      </c>
      <c r="AA152">
        <v>6.0891320999999996</v>
      </c>
      <c r="AB152">
        <v>6.7518795000000003</v>
      </c>
    </row>
    <row r="153" spans="1:28" hidden="1" x14ac:dyDescent="0.25">
      <c r="A153" t="s">
        <v>7</v>
      </c>
      <c r="B153" t="s">
        <v>55</v>
      </c>
      <c r="C153">
        <v>110</v>
      </c>
      <c r="D153" t="s">
        <v>3</v>
      </c>
      <c r="E153">
        <v>1.1383419849</v>
      </c>
      <c r="F153">
        <v>0.95028896689999998</v>
      </c>
      <c r="G153">
        <v>1.1569574116000001</v>
      </c>
      <c r="H153">
        <v>1.0498113594</v>
      </c>
      <c r="I153">
        <v>1.1151726127999999</v>
      </c>
      <c r="J153">
        <v>1.1119672461000001</v>
      </c>
      <c r="K153">
        <v>1.0497082178999999</v>
      </c>
      <c r="L153">
        <v>0.94500705299999999</v>
      </c>
      <c r="M153">
        <v>0.83694836049999999</v>
      </c>
      <c r="N153">
        <v>0.85545207339999996</v>
      </c>
      <c r="O153">
        <v>1.1884898254</v>
      </c>
      <c r="P153">
        <v>1.4725722480000001</v>
      </c>
      <c r="Q153">
        <v>1.5955164961999999</v>
      </c>
      <c r="R153">
        <v>1.8016408515</v>
      </c>
      <c r="S153">
        <v>1.9793943096</v>
      </c>
      <c r="T153">
        <v>1.886211431</v>
      </c>
      <c r="U153">
        <v>1.9449332560000001</v>
      </c>
      <c r="V153">
        <v>1.6474501015</v>
      </c>
      <c r="W153">
        <v>1.1983766515000001</v>
      </c>
      <c r="X153">
        <v>1.0788582104</v>
      </c>
      <c r="Y153">
        <v>1.1794413304</v>
      </c>
      <c r="Z153">
        <v>1.2037961529000001</v>
      </c>
      <c r="AA153">
        <v>1.4421708384</v>
      </c>
      <c r="AB153">
        <v>1.602229726</v>
      </c>
    </row>
    <row r="154" spans="1:28" hidden="1" x14ac:dyDescent="0.25">
      <c r="A154" t="s">
        <v>7</v>
      </c>
      <c r="B154" t="s">
        <v>55</v>
      </c>
      <c r="C154">
        <v>110</v>
      </c>
      <c r="D154" t="s">
        <v>4</v>
      </c>
      <c r="E154">
        <v>6.1582949999999997E-2</v>
      </c>
      <c r="F154">
        <v>5.5146000000000001E-2</v>
      </c>
      <c r="G154">
        <v>6.6733200000000006E-2</v>
      </c>
      <c r="H154">
        <v>6.4306500000000003E-2</v>
      </c>
      <c r="I154">
        <v>6.4755900000000005E-2</v>
      </c>
      <c r="J154">
        <v>6.0795299999999997E-2</v>
      </c>
      <c r="K154">
        <v>5.8972650000000001E-2</v>
      </c>
      <c r="L154">
        <v>5.0673599999999999E-2</v>
      </c>
      <c r="M154">
        <v>4.4723699999999998E-2</v>
      </c>
      <c r="N154">
        <v>4.1677199999999998E-2</v>
      </c>
      <c r="O154">
        <v>5.9939100000000002E-2</v>
      </c>
      <c r="P154">
        <v>7.8192600000000001E-2</v>
      </c>
      <c r="Q154">
        <v>8.3897100000000002E-2</v>
      </c>
      <c r="R154">
        <v>9.46848E-2</v>
      </c>
      <c r="S154">
        <v>0.10703745000000001</v>
      </c>
      <c r="T154">
        <v>0.1008207</v>
      </c>
      <c r="U154">
        <v>0.102051</v>
      </c>
      <c r="V154">
        <v>8.4099750000000001E-2</v>
      </c>
      <c r="W154">
        <v>6.0857250000000002E-2</v>
      </c>
      <c r="X154">
        <v>5.7412499999999998E-2</v>
      </c>
      <c r="Y154">
        <v>6.4033199999999998E-2</v>
      </c>
      <c r="Z154">
        <v>6.9117300000000007E-2</v>
      </c>
      <c r="AA154">
        <v>9.2727900000000002E-2</v>
      </c>
      <c r="AB154">
        <v>0.1028205</v>
      </c>
    </row>
    <row r="155" spans="1:28" hidden="1" x14ac:dyDescent="0.25">
      <c r="A155" t="s">
        <v>7</v>
      </c>
      <c r="B155" t="s">
        <v>56</v>
      </c>
      <c r="C155">
        <v>110</v>
      </c>
      <c r="D155" t="s">
        <v>2</v>
      </c>
      <c r="E155">
        <v>6.9508691999999996</v>
      </c>
      <c r="F155">
        <v>6.9440530000000003</v>
      </c>
      <c r="G155">
        <v>7.2048810000000003</v>
      </c>
      <c r="H155">
        <v>7.0314421999999999</v>
      </c>
      <c r="I155">
        <v>6.9931257000000002</v>
      </c>
      <c r="J155">
        <v>6.9498152500000003</v>
      </c>
      <c r="K155">
        <v>7.8343550999999998</v>
      </c>
      <c r="L155">
        <v>7.6196447999999997</v>
      </c>
      <c r="M155">
        <v>5.1683541000000002</v>
      </c>
      <c r="N155">
        <v>5.0443031999999999</v>
      </c>
      <c r="O155">
        <v>5.0525969000000002</v>
      </c>
      <c r="P155">
        <v>5.1062006000000002</v>
      </c>
      <c r="Q155">
        <v>5.0382454499999998</v>
      </c>
      <c r="R155">
        <v>5.1351005000000001</v>
      </c>
      <c r="S155">
        <v>5.65865755</v>
      </c>
      <c r="T155">
        <v>6.2799955499999998</v>
      </c>
      <c r="U155">
        <v>6.4838610000000001</v>
      </c>
      <c r="V155">
        <v>6.4673721000000004</v>
      </c>
      <c r="W155">
        <v>6.4694701500000003</v>
      </c>
      <c r="X155">
        <v>6.6956753999999998</v>
      </c>
      <c r="Y155">
        <v>7.0223801999999997</v>
      </c>
      <c r="Z155">
        <v>6.5939642999999997</v>
      </c>
      <c r="AA155">
        <v>7.3698290999999996</v>
      </c>
      <c r="AB155">
        <v>8.1216697500000006</v>
      </c>
    </row>
    <row r="156" spans="1:28" hidden="1" x14ac:dyDescent="0.25">
      <c r="A156" t="s">
        <v>7</v>
      </c>
      <c r="B156" t="s">
        <v>56</v>
      </c>
      <c r="C156">
        <v>110</v>
      </c>
      <c r="D156" t="s">
        <v>3</v>
      </c>
      <c r="E156">
        <v>2.6668627472000002</v>
      </c>
      <c r="F156">
        <v>2.4606915065999999</v>
      </c>
      <c r="G156">
        <v>2.4941470719000001</v>
      </c>
      <c r="H156">
        <v>2.4850181420999999</v>
      </c>
      <c r="I156">
        <v>2.5188639347000001</v>
      </c>
      <c r="J156">
        <v>2.5282052906999999</v>
      </c>
      <c r="K156">
        <v>2.6645696574</v>
      </c>
      <c r="L156">
        <v>2.6743345212</v>
      </c>
      <c r="M156">
        <v>2.1479086389000002</v>
      </c>
      <c r="N156">
        <v>1.8510123264</v>
      </c>
      <c r="O156">
        <v>1.7666633044</v>
      </c>
      <c r="P156">
        <v>1.8135575315000001</v>
      </c>
      <c r="Q156">
        <v>1.5451410738</v>
      </c>
      <c r="R156">
        <v>1.6272794160999999</v>
      </c>
      <c r="S156">
        <v>1.6589771444000001</v>
      </c>
      <c r="T156">
        <v>1.5598614655</v>
      </c>
      <c r="U156">
        <v>1.6792604356</v>
      </c>
      <c r="V156">
        <v>1.6694773984</v>
      </c>
      <c r="W156">
        <v>1.6974449368</v>
      </c>
      <c r="X156">
        <v>1.8695349953</v>
      </c>
      <c r="Y156">
        <v>2.1460312403000001</v>
      </c>
      <c r="Z156">
        <v>2.1249174694000001</v>
      </c>
      <c r="AA156">
        <v>2.4424241921999998</v>
      </c>
      <c r="AB156">
        <v>2.6961723308000001</v>
      </c>
    </row>
    <row r="157" spans="1:28" hidden="1" x14ac:dyDescent="0.25">
      <c r="A157" t="s">
        <v>7</v>
      </c>
      <c r="B157" t="s">
        <v>56</v>
      </c>
      <c r="C157">
        <v>110</v>
      </c>
      <c r="D157" t="s">
        <v>4</v>
      </c>
      <c r="E157">
        <v>0.10585079999999999</v>
      </c>
      <c r="F157">
        <v>0.10574699999999999</v>
      </c>
      <c r="G157">
        <v>0.109719</v>
      </c>
      <c r="H157">
        <v>0.1070778</v>
      </c>
      <c r="I157">
        <v>0.1064943</v>
      </c>
      <c r="J157">
        <v>0.10583475000000001</v>
      </c>
      <c r="K157">
        <v>0.11930490000000001</v>
      </c>
      <c r="L157">
        <v>0.11603520000000001</v>
      </c>
      <c r="M157">
        <v>7.8705899999999995E-2</v>
      </c>
      <c r="N157">
        <v>7.6816800000000005E-2</v>
      </c>
      <c r="O157">
        <v>7.69431E-2</v>
      </c>
      <c r="P157">
        <v>7.7759400000000006E-2</v>
      </c>
      <c r="Q157">
        <v>7.6724550000000002E-2</v>
      </c>
      <c r="R157">
        <v>7.8199500000000005E-2</v>
      </c>
      <c r="S157">
        <v>8.6172449999999998E-2</v>
      </c>
      <c r="T157">
        <v>9.5634449999999996E-2</v>
      </c>
      <c r="U157">
        <v>9.8738999999999993E-2</v>
      </c>
      <c r="V157">
        <v>9.8487900000000003E-2</v>
      </c>
      <c r="W157">
        <v>9.8519850000000006E-2</v>
      </c>
      <c r="X157">
        <v>0.1019646</v>
      </c>
      <c r="Y157">
        <v>0.1069398</v>
      </c>
      <c r="Z157">
        <v>0.1004157</v>
      </c>
      <c r="AA157">
        <v>0.11223089999999999</v>
      </c>
      <c r="AB157">
        <v>0.12368025000000001</v>
      </c>
    </row>
    <row r="158" spans="1:28" hidden="1" x14ac:dyDescent="0.25">
      <c r="A158" t="s">
        <v>7</v>
      </c>
      <c r="B158" t="s">
        <v>57</v>
      </c>
      <c r="C158">
        <v>110</v>
      </c>
      <c r="D158" t="s">
        <v>2</v>
      </c>
      <c r="E158">
        <v>0.89031194999999996</v>
      </c>
      <c r="F158">
        <v>0.81577699999999997</v>
      </c>
      <c r="G158">
        <v>0.80931540000000002</v>
      </c>
      <c r="H158">
        <v>0.77581555000000002</v>
      </c>
      <c r="I158">
        <v>0.75574125000000003</v>
      </c>
      <c r="J158">
        <v>0.70020694999999999</v>
      </c>
      <c r="K158">
        <v>0.55800249999999996</v>
      </c>
      <c r="L158">
        <v>0.48225600000000002</v>
      </c>
      <c r="M158">
        <v>0.48733860000000001</v>
      </c>
      <c r="N158">
        <v>0.50979660000000004</v>
      </c>
      <c r="O158">
        <v>0.54434055000000003</v>
      </c>
      <c r="P158">
        <v>0.58315939999999999</v>
      </c>
      <c r="Q158">
        <v>0.62799660000000002</v>
      </c>
      <c r="R158">
        <v>0.86047629999999997</v>
      </c>
      <c r="S158">
        <v>0.76727559999999995</v>
      </c>
      <c r="T158">
        <v>0.74924025000000005</v>
      </c>
      <c r="U158">
        <v>0.74761500000000003</v>
      </c>
      <c r="V158">
        <v>0.74521159999999997</v>
      </c>
      <c r="W158">
        <v>1.0857851999999999</v>
      </c>
      <c r="X158">
        <v>1.1310262499999999</v>
      </c>
      <c r="Y158">
        <v>1.0869671999999999</v>
      </c>
      <c r="Z158">
        <v>1.0031634</v>
      </c>
      <c r="AA158">
        <v>1.0362003</v>
      </c>
      <c r="AB158">
        <v>1.0138605000000001</v>
      </c>
    </row>
    <row r="159" spans="1:28" hidden="1" x14ac:dyDescent="0.25">
      <c r="A159" t="s">
        <v>7</v>
      </c>
      <c r="B159" t="s">
        <v>57</v>
      </c>
      <c r="C159">
        <v>110</v>
      </c>
      <c r="D159" t="s">
        <v>3</v>
      </c>
      <c r="E159">
        <v>0.44155968699999998</v>
      </c>
      <c r="F159">
        <v>0.37943377700000003</v>
      </c>
      <c r="G159">
        <v>0.36880570340000002</v>
      </c>
      <c r="H159">
        <v>0.357550641</v>
      </c>
      <c r="I159">
        <v>0.33428209250000002</v>
      </c>
      <c r="J159">
        <v>0.35337989600000003</v>
      </c>
      <c r="K159">
        <v>0.25247523640000002</v>
      </c>
      <c r="L159">
        <v>0.2397612315</v>
      </c>
      <c r="M159">
        <v>0.21694189089999999</v>
      </c>
      <c r="N159">
        <v>0.2359829152</v>
      </c>
      <c r="O159">
        <v>0.2672333878</v>
      </c>
      <c r="P159">
        <v>0.27383998949999999</v>
      </c>
      <c r="Q159">
        <v>0.28740269149999997</v>
      </c>
      <c r="R159">
        <v>0.43025544090000001</v>
      </c>
      <c r="S159">
        <v>0.31050874550000002</v>
      </c>
      <c r="T159">
        <v>0.3403375468</v>
      </c>
      <c r="U159">
        <v>0.33544349350000002</v>
      </c>
      <c r="V159">
        <v>0.3521160002</v>
      </c>
      <c r="W159">
        <v>0.46854441800000002</v>
      </c>
      <c r="X159">
        <v>0.46879637629999998</v>
      </c>
      <c r="Y159">
        <v>0.46271834909999998</v>
      </c>
      <c r="Z159">
        <v>0.44197155440000002</v>
      </c>
      <c r="AA159">
        <v>0.47650328019999999</v>
      </c>
      <c r="AB159">
        <v>0.48697890560000001</v>
      </c>
    </row>
    <row r="160" spans="1:28" hidden="1" x14ac:dyDescent="0.25">
      <c r="A160" t="s">
        <v>7</v>
      </c>
      <c r="B160" t="s">
        <v>57</v>
      </c>
      <c r="C160">
        <v>110</v>
      </c>
      <c r="D160" t="s">
        <v>4</v>
      </c>
      <c r="E160">
        <v>1.355805E-2</v>
      </c>
      <c r="F160">
        <v>1.2423E-2</v>
      </c>
      <c r="G160">
        <v>1.23246E-2</v>
      </c>
      <c r="H160">
        <v>1.1814450000000001E-2</v>
      </c>
      <c r="I160">
        <v>1.150875E-2</v>
      </c>
      <c r="J160">
        <v>1.066305E-2</v>
      </c>
      <c r="K160">
        <v>8.4974999999999998E-3</v>
      </c>
      <c r="L160">
        <v>7.3439999999999998E-3</v>
      </c>
      <c r="M160">
        <v>7.4213999999999999E-3</v>
      </c>
      <c r="N160">
        <v>7.7634000000000002E-3</v>
      </c>
      <c r="O160">
        <v>8.2894500000000003E-3</v>
      </c>
      <c r="P160">
        <v>8.8806000000000006E-3</v>
      </c>
      <c r="Q160">
        <v>9.5633999999999997E-3</v>
      </c>
      <c r="R160">
        <v>1.3103699999999999E-2</v>
      </c>
      <c r="S160">
        <v>1.1684399999999999E-2</v>
      </c>
      <c r="T160">
        <v>1.140975E-2</v>
      </c>
      <c r="U160">
        <v>1.1384999999999999E-2</v>
      </c>
      <c r="V160">
        <v>1.13484E-2</v>
      </c>
      <c r="W160">
        <v>1.6534799999999999E-2</v>
      </c>
      <c r="X160">
        <v>1.7223749999999999E-2</v>
      </c>
      <c r="Y160">
        <v>1.6552799999999999E-2</v>
      </c>
      <c r="Z160">
        <v>1.52766E-2</v>
      </c>
      <c r="AA160">
        <v>1.5779700000000001E-2</v>
      </c>
      <c r="AB160">
        <v>1.54395E-2</v>
      </c>
    </row>
    <row r="161" spans="1:28" hidden="1" x14ac:dyDescent="0.25">
      <c r="A161" t="s">
        <v>7</v>
      </c>
      <c r="B161" t="s">
        <v>58</v>
      </c>
      <c r="C161">
        <v>110</v>
      </c>
      <c r="D161" t="s">
        <v>2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</row>
    <row r="162" spans="1:28" hidden="1" x14ac:dyDescent="0.25">
      <c r="A162" t="s">
        <v>7</v>
      </c>
      <c r="B162" t="s">
        <v>58</v>
      </c>
      <c r="C162">
        <v>110</v>
      </c>
      <c r="D162" t="s">
        <v>3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</row>
    <row r="163" spans="1:28" hidden="1" x14ac:dyDescent="0.25">
      <c r="A163" t="s">
        <v>7</v>
      </c>
      <c r="B163" t="s">
        <v>58</v>
      </c>
      <c r="C163">
        <v>110</v>
      </c>
      <c r="D163" t="s">
        <v>4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</row>
    <row r="164" spans="1:28" hidden="1" x14ac:dyDescent="0.25">
      <c r="A164" t="s">
        <v>7</v>
      </c>
      <c r="B164" t="s">
        <v>59</v>
      </c>
      <c r="C164">
        <v>110</v>
      </c>
      <c r="D164" t="s">
        <v>2</v>
      </c>
      <c r="E164">
        <v>11.03772285</v>
      </c>
      <c r="F164">
        <v>9.4709719999999997</v>
      </c>
      <c r="G164">
        <v>8.4879420000000003</v>
      </c>
      <c r="H164">
        <v>10.98908355</v>
      </c>
      <c r="I164">
        <v>11.023745699999999</v>
      </c>
      <c r="J164">
        <v>10.3881449</v>
      </c>
      <c r="K164">
        <v>9.87664425</v>
      </c>
      <c r="L164">
        <v>10.24794</v>
      </c>
      <c r="M164">
        <v>11.413983</v>
      </c>
      <c r="N164">
        <v>7.4993762999999998</v>
      </c>
      <c r="O164">
        <v>10.17498105</v>
      </c>
      <c r="P164">
        <v>6.7703384</v>
      </c>
      <c r="Q164">
        <v>7.7215036499999998</v>
      </c>
      <c r="R164">
        <v>6.5784801000000002</v>
      </c>
      <c r="S164">
        <v>11.700952900000001</v>
      </c>
      <c r="T164">
        <v>12.478255799999999</v>
      </c>
      <c r="U164">
        <v>12.464781</v>
      </c>
      <c r="V164">
        <v>7.9577952999999999</v>
      </c>
      <c r="W164">
        <v>5.6551312500000002</v>
      </c>
      <c r="X164">
        <v>5.5344884499999996</v>
      </c>
      <c r="Y164">
        <v>8.6099244000000006</v>
      </c>
      <c r="Z164">
        <v>10.5576831</v>
      </c>
      <c r="AA164">
        <v>11.281776300000001</v>
      </c>
      <c r="AB164">
        <v>11.4113235</v>
      </c>
    </row>
    <row r="165" spans="1:28" hidden="1" x14ac:dyDescent="0.25">
      <c r="A165" t="s">
        <v>7</v>
      </c>
      <c r="B165" t="s">
        <v>59</v>
      </c>
      <c r="C165">
        <v>110</v>
      </c>
      <c r="D165" t="s">
        <v>3</v>
      </c>
      <c r="E165">
        <v>4.6499859575000002</v>
      </c>
      <c r="F165">
        <v>4.4682969926</v>
      </c>
      <c r="G165">
        <v>3.5714332401000002</v>
      </c>
      <c r="H165">
        <v>4.7817958950000001</v>
      </c>
      <c r="I165">
        <v>4.6209967121000002</v>
      </c>
      <c r="J165">
        <v>4.5767863439000003</v>
      </c>
      <c r="K165">
        <v>4.5992304849999996</v>
      </c>
      <c r="L165">
        <v>4.3825778001</v>
      </c>
      <c r="M165">
        <v>5.1520507117000003</v>
      </c>
      <c r="N165">
        <v>3.2330308834000001</v>
      </c>
      <c r="O165">
        <v>3.4828098536000001</v>
      </c>
      <c r="P165">
        <v>3.3707216349000002</v>
      </c>
      <c r="Q165">
        <v>4.2555040077999999</v>
      </c>
      <c r="R165">
        <v>3.6760941415000001</v>
      </c>
      <c r="S165">
        <v>5.5227232803000001</v>
      </c>
      <c r="T165">
        <v>5.7382050765999999</v>
      </c>
      <c r="U165">
        <v>5.7435689308000004</v>
      </c>
      <c r="V165">
        <v>4.3564676158999998</v>
      </c>
      <c r="W165">
        <v>2.5567515567000001</v>
      </c>
      <c r="X165">
        <v>2.5088372341</v>
      </c>
      <c r="Y165">
        <v>3.8585930496</v>
      </c>
      <c r="Z165">
        <v>4.6867467192000003</v>
      </c>
      <c r="AA165">
        <v>5.0018586386999999</v>
      </c>
      <c r="AB165">
        <v>5.0089699854000003</v>
      </c>
    </row>
    <row r="166" spans="1:28" hidden="1" x14ac:dyDescent="0.25">
      <c r="A166" t="s">
        <v>7</v>
      </c>
      <c r="B166" t="s">
        <v>59</v>
      </c>
      <c r="C166">
        <v>110</v>
      </c>
      <c r="D166" t="s">
        <v>4</v>
      </c>
      <c r="E166">
        <v>0.16808714999999999</v>
      </c>
      <c r="F166">
        <v>0.144228</v>
      </c>
      <c r="G166">
        <v>0.12925800000000001</v>
      </c>
      <c r="H166">
        <v>0.16734645000000001</v>
      </c>
      <c r="I166">
        <v>0.1678743</v>
      </c>
      <c r="J166">
        <v>0.15819510000000001</v>
      </c>
      <c r="K166">
        <v>0.15040575</v>
      </c>
      <c r="L166">
        <v>0.15606</v>
      </c>
      <c r="M166">
        <v>0.173817</v>
      </c>
      <c r="N166">
        <v>0.11420370000000001</v>
      </c>
      <c r="O166">
        <v>0.15494895</v>
      </c>
      <c r="P166">
        <v>0.1031016</v>
      </c>
      <c r="Q166">
        <v>0.11758635000000001</v>
      </c>
      <c r="R166">
        <v>0.1001799</v>
      </c>
      <c r="S166">
        <v>0.17818709999999999</v>
      </c>
      <c r="T166">
        <v>0.1900242</v>
      </c>
      <c r="U166">
        <v>0.18981899999999999</v>
      </c>
      <c r="V166">
        <v>0.12118470000000001</v>
      </c>
      <c r="W166">
        <v>8.6118749999999994E-2</v>
      </c>
      <c r="X166">
        <v>8.4281549999999997E-2</v>
      </c>
      <c r="Y166">
        <v>0.1311156</v>
      </c>
      <c r="Z166">
        <v>0.1607769</v>
      </c>
      <c r="AA166">
        <v>0.1718037</v>
      </c>
      <c r="AB166">
        <v>0.1737765</v>
      </c>
    </row>
    <row r="167" spans="1:28" hidden="1" x14ac:dyDescent="0.25">
      <c r="A167" t="s">
        <v>7</v>
      </c>
      <c r="B167" t="s">
        <v>60</v>
      </c>
      <c r="C167">
        <v>44</v>
      </c>
      <c r="D167" t="s">
        <v>2</v>
      </c>
      <c r="E167">
        <v>2.9894139000000002</v>
      </c>
      <c r="F167">
        <v>2.850927</v>
      </c>
      <c r="G167">
        <v>1.6717367999999999</v>
      </c>
      <c r="H167">
        <v>2.0308890000000002</v>
      </c>
      <c r="I167">
        <v>3.4333925999999999</v>
      </c>
      <c r="J167">
        <v>4.8370990000000003</v>
      </c>
      <c r="K167">
        <v>5.2312875999999999</v>
      </c>
      <c r="L167">
        <v>5.1290496000000001</v>
      </c>
      <c r="M167">
        <v>4.9254660000000001</v>
      </c>
      <c r="N167">
        <v>4.3993962</v>
      </c>
      <c r="O167">
        <v>5.1818273000000001</v>
      </c>
      <c r="P167">
        <v>5.1545024000000002</v>
      </c>
      <c r="Q167">
        <v>5.0458527000000002</v>
      </c>
      <c r="R167">
        <v>4.9338952999999997</v>
      </c>
      <c r="S167">
        <v>5.4240653999999999</v>
      </c>
      <c r="T167">
        <v>6.3185121000000004</v>
      </c>
      <c r="U167">
        <v>6.6662280000000003</v>
      </c>
      <c r="V167">
        <v>5.9757432000000001</v>
      </c>
      <c r="W167">
        <v>6.0739362999999997</v>
      </c>
      <c r="X167">
        <v>5.1383422000000003</v>
      </c>
      <c r="Y167">
        <v>4.1971512000000004</v>
      </c>
      <c r="Z167">
        <v>3.3250823999999999</v>
      </c>
      <c r="AA167">
        <v>3.1300542</v>
      </c>
      <c r="AB167">
        <v>2.8359405</v>
      </c>
    </row>
    <row r="168" spans="1:28" hidden="1" x14ac:dyDescent="0.25">
      <c r="A168" t="s">
        <v>7</v>
      </c>
      <c r="B168" t="s">
        <v>60</v>
      </c>
      <c r="C168">
        <v>44</v>
      </c>
      <c r="D168" t="s">
        <v>3</v>
      </c>
      <c r="E168">
        <v>1.2132144143000001</v>
      </c>
      <c r="F168">
        <v>1.1532108522</v>
      </c>
      <c r="G168">
        <v>0.72279840780000004</v>
      </c>
      <c r="H168">
        <v>0.86870210709999995</v>
      </c>
      <c r="I168">
        <v>1.5218144107</v>
      </c>
      <c r="J168">
        <v>2.3035256704</v>
      </c>
      <c r="K168">
        <v>2.4575594169000001</v>
      </c>
      <c r="L168">
        <v>2.2064018295999999</v>
      </c>
      <c r="M168">
        <v>2.0311289561999999</v>
      </c>
      <c r="N168">
        <v>1.7788898605000001</v>
      </c>
      <c r="O168">
        <v>2.1704140764000002</v>
      </c>
      <c r="P168">
        <v>2.0194702655999999</v>
      </c>
      <c r="Q168">
        <v>1.9717929434000001</v>
      </c>
      <c r="R168">
        <v>1.979050465</v>
      </c>
      <c r="S168">
        <v>2.4540279797000002</v>
      </c>
      <c r="T168">
        <v>3.2228872471000001</v>
      </c>
      <c r="U168">
        <v>3.1090467405000002</v>
      </c>
      <c r="V168">
        <v>2.9017965239999999</v>
      </c>
      <c r="W168">
        <v>2.3118818933999998</v>
      </c>
      <c r="X168">
        <v>1.6790248215000001</v>
      </c>
      <c r="Y168">
        <v>1.3609798603000001</v>
      </c>
      <c r="Z168">
        <v>1.082601954</v>
      </c>
      <c r="AA168">
        <v>1.1629523593</v>
      </c>
      <c r="AB168">
        <v>1.1456521512</v>
      </c>
    </row>
    <row r="169" spans="1:28" hidden="1" x14ac:dyDescent="0.25">
      <c r="A169" t="s">
        <v>7</v>
      </c>
      <c r="B169" t="s">
        <v>60</v>
      </c>
      <c r="C169">
        <v>44</v>
      </c>
      <c r="D169" t="s">
        <v>4</v>
      </c>
      <c r="E169">
        <v>9.2456099999999999E-2</v>
      </c>
      <c r="F169">
        <v>8.8173000000000001E-2</v>
      </c>
      <c r="G169">
        <v>5.1703199999999998E-2</v>
      </c>
      <c r="H169">
        <v>6.2811000000000006E-2</v>
      </c>
      <c r="I169">
        <v>0.1061874</v>
      </c>
      <c r="J169">
        <v>0.14960100000000001</v>
      </c>
      <c r="K169">
        <v>0.1617924</v>
      </c>
      <c r="L169">
        <v>0.1586304</v>
      </c>
      <c r="M169">
        <v>0.152334</v>
      </c>
      <c r="N169">
        <v>0.13606380000000001</v>
      </c>
      <c r="O169">
        <v>0.16026270000000001</v>
      </c>
      <c r="P169">
        <v>0.15941759999999999</v>
      </c>
      <c r="Q169">
        <v>0.15605730000000001</v>
      </c>
      <c r="R169">
        <v>0.1525947</v>
      </c>
      <c r="S169">
        <v>0.1677546</v>
      </c>
      <c r="T169">
        <v>0.19541790000000001</v>
      </c>
      <c r="U169">
        <v>0.20617199999999999</v>
      </c>
      <c r="V169">
        <v>0.1848168</v>
      </c>
      <c r="W169">
        <v>0.18785370000000001</v>
      </c>
      <c r="X169">
        <v>0.1589178</v>
      </c>
      <c r="Y169">
        <v>0.1298088</v>
      </c>
      <c r="Z169">
        <v>0.1028376</v>
      </c>
      <c r="AA169">
        <v>9.6805799999999997E-2</v>
      </c>
      <c r="AB169">
        <v>8.7709499999999996E-2</v>
      </c>
    </row>
    <row r="170" spans="1:28" hidden="1" x14ac:dyDescent="0.25">
      <c r="A170" t="s">
        <v>7</v>
      </c>
      <c r="B170" t="s">
        <v>61</v>
      </c>
      <c r="C170">
        <v>110</v>
      </c>
      <c r="D170" t="s">
        <v>2</v>
      </c>
      <c r="E170">
        <v>34.239466800000002</v>
      </c>
      <c r="F170">
        <v>33.277732499999999</v>
      </c>
      <c r="G170">
        <v>33.389195100000002</v>
      </c>
      <c r="H170">
        <v>34.155525099999998</v>
      </c>
      <c r="I170">
        <v>34.310652750000003</v>
      </c>
      <c r="J170">
        <v>33.6726387</v>
      </c>
      <c r="K170">
        <v>34.328313799999997</v>
      </c>
      <c r="L170">
        <v>36.494722799999998</v>
      </c>
      <c r="M170">
        <v>37.332701700000001</v>
      </c>
      <c r="N170">
        <v>37.309061700000001</v>
      </c>
      <c r="O170">
        <v>37.559497950000001</v>
      </c>
      <c r="P170">
        <v>37.933807799999997</v>
      </c>
      <c r="Q170">
        <v>38.1365208</v>
      </c>
      <c r="R170">
        <v>36.264912449999997</v>
      </c>
      <c r="S170">
        <v>35.14396275</v>
      </c>
      <c r="T170">
        <v>35.745571200000001</v>
      </c>
      <c r="U170">
        <v>36.945774</v>
      </c>
      <c r="V170">
        <v>35.876615600000001</v>
      </c>
      <c r="W170">
        <v>39.5708384</v>
      </c>
      <c r="X170">
        <v>38.997785100000002</v>
      </c>
      <c r="Y170">
        <v>35.769802200000001</v>
      </c>
      <c r="Z170">
        <v>28.100808900000001</v>
      </c>
      <c r="AA170">
        <v>22.854620100000002</v>
      </c>
      <c r="AB170">
        <v>21.690143249999998</v>
      </c>
    </row>
    <row r="171" spans="1:28" hidden="1" x14ac:dyDescent="0.25">
      <c r="A171" t="s">
        <v>7</v>
      </c>
      <c r="B171" t="s">
        <v>61</v>
      </c>
      <c r="C171">
        <v>110</v>
      </c>
      <c r="D171" t="s">
        <v>3</v>
      </c>
      <c r="E171">
        <v>14.221157468299999</v>
      </c>
      <c r="F171">
        <v>13.8481409838</v>
      </c>
      <c r="G171">
        <v>13.8598356403</v>
      </c>
      <c r="H171">
        <v>14.2925662097</v>
      </c>
      <c r="I171">
        <v>14.0252736031</v>
      </c>
      <c r="J171">
        <v>13.108245286900001</v>
      </c>
      <c r="K171">
        <v>13.2202721164</v>
      </c>
      <c r="L171">
        <v>14.8436627503</v>
      </c>
      <c r="M171">
        <v>15.2790237234</v>
      </c>
      <c r="N171">
        <v>15.331376497200001</v>
      </c>
      <c r="O171">
        <v>16.010467671400001</v>
      </c>
      <c r="P171">
        <v>16.473729555199998</v>
      </c>
      <c r="Q171">
        <v>16.707089698499999</v>
      </c>
      <c r="R171">
        <v>15.3315706784</v>
      </c>
      <c r="S171">
        <v>14.597908696399999</v>
      </c>
      <c r="T171">
        <v>15.2124593393</v>
      </c>
      <c r="U171">
        <v>15.7499693428</v>
      </c>
      <c r="V171">
        <v>14.414065792600001</v>
      </c>
      <c r="W171">
        <v>14.8286725952</v>
      </c>
      <c r="X171">
        <v>14.2768562966</v>
      </c>
      <c r="Y171">
        <v>12.6669310869</v>
      </c>
      <c r="Z171">
        <v>8.6672002653</v>
      </c>
      <c r="AA171">
        <v>5.1662801107999998</v>
      </c>
      <c r="AB171">
        <v>4.9370720669999999</v>
      </c>
    </row>
    <row r="172" spans="1:28" hidden="1" x14ac:dyDescent="0.25">
      <c r="A172" t="s">
        <v>7</v>
      </c>
      <c r="B172" t="s">
        <v>61</v>
      </c>
      <c r="C172">
        <v>110</v>
      </c>
      <c r="D172" t="s">
        <v>4</v>
      </c>
      <c r="E172">
        <v>0.52141320000000002</v>
      </c>
      <c r="F172">
        <v>0.50676750000000004</v>
      </c>
      <c r="G172">
        <v>0.5084649</v>
      </c>
      <c r="H172">
        <v>0.52013489999999996</v>
      </c>
      <c r="I172">
        <v>0.52249725000000002</v>
      </c>
      <c r="J172">
        <v>0.5127813</v>
      </c>
      <c r="K172">
        <v>0.52276619999999996</v>
      </c>
      <c r="L172">
        <v>0.55575719999999995</v>
      </c>
      <c r="M172">
        <v>0.56851830000000003</v>
      </c>
      <c r="N172">
        <v>0.5681583</v>
      </c>
      <c r="O172">
        <v>0.57197204999999995</v>
      </c>
      <c r="P172">
        <v>0.57767219999999997</v>
      </c>
      <c r="Q172">
        <v>0.58075920000000003</v>
      </c>
      <c r="R172">
        <v>0.55225754999999999</v>
      </c>
      <c r="S172">
        <v>0.53518725</v>
      </c>
      <c r="T172">
        <v>0.54434879999999997</v>
      </c>
      <c r="U172">
        <v>0.56262599999999996</v>
      </c>
      <c r="V172">
        <v>0.54634439999999995</v>
      </c>
      <c r="W172">
        <v>0.60260159999999996</v>
      </c>
      <c r="X172">
        <v>0.59387489999999998</v>
      </c>
      <c r="Y172">
        <v>0.54471780000000003</v>
      </c>
      <c r="Z172">
        <v>0.42793110000000001</v>
      </c>
      <c r="AA172">
        <v>0.34803990000000001</v>
      </c>
      <c r="AB172">
        <v>0.33030674999999998</v>
      </c>
    </row>
    <row r="173" spans="1:28" hidden="1" x14ac:dyDescent="0.25">
      <c r="A173" t="s">
        <v>7</v>
      </c>
      <c r="B173" t="s">
        <v>62</v>
      </c>
      <c r="C173">
        <v>110</v>
      </c>
      <c r="D173" t="s">
        <v>2</v>
      </c>
      <c r="E173">
        <v>21.185133749999999</v>
      </c>
      <c r="F173">
        <v>19.349832500000002</v>
      </c>
      <c r="G173">
        <v>19.472918100000001</v>
      </c>
      <c r="H173">
        <v>19.503413699999999</v>
      </c>
      <c r="I173">
        <v>19.518277350000002</v>
      </c>
      <c r="J173">
        <v>20.55682195</v>
      </c>
      <c r="K173">
        <v>29.071930250000001</v>
      </c>
      <c r="L173">
        <v>31.611880800000002</v>
      </c>
      <c r="M173">
        <v>33.241622399999997</v>
      </c>
      <c r="N173">
        <v>34.5990903</v>
      </c>
      <c r="O173">
        <v>35.6752422</v>
      </c>
      <c r="P173">
        <v>36.269669999999998</v>
      </c>
      <c r="Q173">
        <v>35.43898995</v>
      </c>
      <c r="R173">
        <v>34.294144150000001</v>
      </c>
      <c r="S173">
        <v>32.773629200000002</v>
      </c>
      <c r="T173">
        <v>31.985747400000001</v>
      </c>
      <c r="U173">
        <v>32.161037999999998</v>
      </c>
      <c r="V173">
        <v>31.0061255</v>
      </c>
      <c r="W173">
        <v>29.994816149999998</v>
      </c>
      <c r="X173">
        <v>30.492467699999999</v>
      </c>
      <c r="Y173">
        <v>29.705669400000001</v>
      </c>
      <c r="Z173">
        <v>23.7823128</v>
      </c>
      <c r="AA173">
        <v>22.5169818</v>
      </c>
      <c r="AB173">
        <v>20.76256875</v>
      </c>
    </row>
    <row r="174" spans="1:28" hidden="1" x14ac:dyDescent="0.25">
      <c r="A174" t="s">
        <v>7</v>
      </c>
      <c r="B174" t="s">
        <v>62</v>
      </c>
      <c r="C174">
        <v>110</v>
      </c>
      <c r="D174" t="s">
        <v>3</v>
      </c>
      <c r="E174">
        <v>9.4144623476000007</v>
      </c>
      <c r="F174">
        <v>8.5325555756</v>
      </c>
      <c r="G174">
        <v>8.7269136112000005</v>
      </c>
      <c r="H174">
        <v>8.7405804105999998</v>
      </c>
      <c r="I174">
        <v>8.7059285996</v>
      </c>
      <c r="J174">
        <v>8.2205899371999998</v>
      </c>
      <c r="K174">
        <v>12.5626919771</v>
      </c>
      <c r="L174">
        <v>14.4046398025</v>
      </c>
      <c r="M174">
        <v>15.1453306042</v>
      </c>
      <c r="N174">
        <v>15.4966601882</v>
      </c>
      <c r="O174">
        <v>16.252042348700002</v>
      </c>
      <c r="P174">
        <v>16.943925191200002</v>
      </c>
      <c r="Q174">
        <v>16.156801163499999</v>
      </c>
      <c r="R174">
        <v>15.758444361800001</v>
      </c>
      <c r="S174">
        <v>15.585023469999999</v>
      </c>
      <c r="T174">
        <v>14.8818065715</v>
      </c>
      <c r="U174">
        <v>14.5140460186</v>
      </c>
      <c r="V174">
        <v>14.1593009646</v>
      </c>
      <c r="W174">
        <v>12.107871708599999</v>
      </c>
      <c r="X174">
        <v>11.978364752499999</v>
      </c>
      <c r="Y174">
        <v>11.0000340077</v>
      </c>
      <c r="Z174">
        <v>8.7519876071000002</v>
      </c>
      <c r="AA174">
        <v>8.6557401840000008</v>
      </c>
      <c r="AB174">
        <v>8.3591835107999994</v>
      </c>
    </row>
    <row r="175" spans="1:28" hidden="1" x14ac:dyDescent="0.25">
      <c r="A175" t="s">
        <v>7</v>
      </c>
      <c r="B175" t="s">
        <v>62</v>
      </c>
      <c r="C175">
        <v>110</v>
      </c>
      <c r="D175" t="s">
        <v>4</v>
      </c>
      <c r="E175">
        <v>0.32261624999999999</v>
      </c>
      <c r="F175">
        <v>0.29466750000000003</v>
      </c>
      <c r="G175">
        <v>0.29654190000000002</v>
      </c>
      <c r="H175">
        <v>0.2970063</v>
      </c>
      <c r="I175">
        <v>0.29723264999999999</v>
      </c>
      <c r="J175">
        <v>0.31304805000000002</v>
      </c>
      <c r="K175">
        <v>0.44271975000000002</v>
      </c>
      <c r="L175">
        <v>0.48139920000000003</v>
      </c>
      <c r="M175">
        <v>0.50621760000000005</v>
      </c>
      <c r="N175">
        <v>0.52688970000000002</v>
      </c>
      <c r="O175">
        <v>0.54327780000000003</v>
      </c>
      <c r="P175">
        <v>0.55232999999999999</v>
      </c>
      <c r="Q175">
        <v>0.53968004999999997</v>
      </c>
      <c r="R175">
        <v>0.52224585000000001</v>
      </c>
      <c r="S175">
        <v>0.4990908</v>
      </c>
      <c r="T175">
        <v>0.48709259999999999</v>
      </c>
      <c r="U175">
        <v>0.48976199999999998</v>
      </c>
      <c r="V175">
        <v>0.4721745</v>
      </c>
      <c r="W175">
        <v>0.45677384999999998</v>
      </c>
      <c r="X175">
        <v>0.4643523</v>
      </c>
      <c r="Y175">
        <v>0.45237060000000001</v>
      </c>
      <c r="Z175">
        <v>0.36216720000000002</v>
      </c>
      <c r="AA175">
        <v>0.34289819999999999</v>
      </c>
      <c r="AB175">
        <v>0.31618125000000002</v>
      </c>
    </row>
    <row r="176" spans="1:28" hidden="1" x14ac:dyDescent="0.25">
      <c r="A176" t="s">
        <v>7</v>
      </c>
      <c r="B176" t="s">
        <v>63</v>
      </c>
      <c r="C176">
        <v>110</v>
      </c>
      <c r="D176" t="s">
        <v>2</v>
      </c>
      <c r="E176">
        <v>7.0795890000000004</v>
      </c>
      <c r="F176">
        <v>6.7152374999999997</v>
      </c>
      <c r="G176">
        <v>6.7508748000000001</v>
      </c>
      <c r="H176">
        <v>6.1868835000000004</v>
      </c>
      <c r="I176">
        <v>6.3683795999999999</v>
      </c>
      <c r="J176">
        <v>6.6885440000000003</v>
      </c>
      <c r="K176">
        <v>6.6067495999999997</v>
      </c>
      <c r="L176">
        <v>7.6196447999999997</v>
      </c>
      <c r="M176">
        <v>7.9641387000000003</v>
      </c>
      <c r="N176">
        <v>8.1030827999999993</v>
      </c>
      <c r="O176">
        <v>8.5000870499999994</v>
      </c>
      <c r="P176">
        <v>8.7047208000000005</v>
      </c>
      <c r="Q176">
        <v>8.7776797500000008</v>
      </c>
      <c r="R176">
        <v>8.7157921999999992</v>
      </c>
      <c r="S176">
        <v>8.7551626500000008</v>
      </c>
      <c r="T176">
        <v>8.9091477000000001</v>
      </c>
      <c r="U176">
        <v>9.2160539999999997</v>
      </c>
      <c r="V176">
        <v>9.1022274000000003</v>
      </c>
      <c r="W176">
        <v>10.6165664</v>
      </c>
      <c r="X176">
        <v>11.280101800000001</v>
      </c>
      <c r="Y176">
        <v>10.726649999999999</v>
      </c>
      <c r="Z176">
        <v>9.8358948000000002</v>
      </c>
      <c r="AA176">
        <v>9.4771578000000005</v>
      </c>
      <c r="AB176">
        <v>8.8658865000000002</v>
      </c>
    </row>
    <row r="177" spans="1:28" hidden="1" x14ac:dyDescent="0.25">
      <c r="A177" t="s">
        <v>7</v>
      </c>
      <c r="B177" t="s">
        <v>63</v>
      </c>
      <c r="C177">
        <v>110</v>
      </c>
      <c r="D177" t="s">
        <v>3</v>
      </c>
      <c r="E177">
        <v>3.6782043175000001</v>
      </c>
      <c r="F177">
        <v>3.2519575635</v>
      </c>
      <c r="G177">
        <v>3.3385076654999999</v>
      </c>
      <c r="H177">
        <v>3.053341321</v>
      </c>
      <c r="I177">
        <v>2.9456893968000002</v>
      </c>
      <c r="J177">
        <v>2.7733419627</v>
      </c>
      <c r="K177">
        <v>2.8782115043999998</v>
      </c>
      <c r="L177">
        <v>3.7104095478999999</v>
      </c>
      <c r="M177">
        <v>3.7478003506999999</v>
      </c>
      <c r="N177">
        <v>4.2159858872999996</v>
      </c>
      <c r="O177">
        <v>4.1590590759000001</v>
      </c>
      <c r="P177">
        <v>4.5837760953000002</v>
      </c>
      <c r="Q177">
        <v>4.2971116863000001</v>
      </c>
      <c r="R177">
        <v>4.1414328603000001</v>
      </c>
      <c r="S177">
        <v>4.4555483728</v>
      </c>
      <c r="T177">
        <v>4.7945933418999997</v>
      </c>
      <c r="U177">
        <v>4.9150512310999996</v>
      </c>
      <c r="V177">
        <v>4.2004848503999996</v>
      </c>
      <c r="W177">
        <v>5.0011678996000004</v>
      </c>
      <c r="X177">
        <v>4.8949705690999998</v>
      </c>
      <c r="Y177">
        <v>4.7674489237</v>
      </c>
      <c r="Z177">
        <v>4.4896702943999998</v>
      </c>
      <c r="AA177">
        <v>4.5377944416</v>
      </c>
      <c r="AB177">
        <v>3.8354089706000001</v>
      </c>
    </row>
    <row r="178" spans="1:28" hidden="1" x14ac:dyDescent="0.25">
      <c r="A178" t="s">
        <v>7</v>
      </c>
      <c r="B178" t="s">
        <v>63</v>
      </c>
      <c r="C178">
        <v>110</v>
      </c>
      <c r="D178" t="s">
        <v>4</v>
      </c>
      <c r="E178">
        <v>0.107811</v>
      </c>
      <c r="F178">
        <v>0.10226250000000001</v>
      </c>
      <c r="G178">
        <v>0.1028052</v>
      </c>
      <c r="H178">
        <v>9.4216499999999995E-2</v>
      </c>
      <c r="I178">
        <v>9.6980399999999994E-2</v>
      </c>
      <c r="J178">
        <v>0.101856</v>
      </c>
      <c r="K178">
        <v>0.1006104</v>
      </c>
      <c r="L178">
        <v>0.11603520000000001</v>
      </c>
      <c r="M178">
        <v>0.12128129999999999</v>
      </c>
      <c r="N178">
        <v>0.1233972</v>
      </c>
      <c r="O178">
        <v>0.12944295</v>
      </c>
      <c r="P178">
        <v>0.13255919999999999</v>
      </c>
      <c r="Q178">
        <v>0.13367024999999999</v>
      </c>
      <c r="R178">
        <v>0.13272780000000001</v>
      </c>
      <c r="S178">
        <v>0.13332735000000001</v>
      </c>
      <c r="T178">
        <v>0.1356723</v>
      </c>
      <c r="U178">
        <v>0.140346</v>
      </c>
      <c r="V178">
        <v>0.1386126</v>
      </c>
      <c r="W178">
        <v>0.1616736</v>
      </c>
      <c r="X178">
        <v>0.17177819999999999</v>
      </c>
      <c r="Y178">
        <v>0.16335</v>
      </c>
      <c r="Z178">
        <v>0.14978520000000001</v>
      </c>
      <c r="AA178">
        <v>0.14432220000000001</v>
      </c>
      <c r="AB178">
        <v>0.13501350000000001</v>
      </c>
    </row>
    <row r="179" spans="1:28" hidden="1" x14ac:dyDescent="0.25">
      <c r="A179" t="s">
        <v>7</v>
      </c>
      <c r="B179" t="s">
        <v>64</v>
      </c>
      <c r="C179">
        <v>44</v>
      </c>
      <c r="D179" t="s">
        <v>2</v>
      </c>
      <c r="E179">
        <v>4.5844722000000004</v>
      </c>
      <c r="F179">
        <v>4.3792590000000002</v>
      </c>
      <c r="G179">
        <v>4.4126076000000003</v>
      </c>
      <c r="H179">
        <v>4.3905886000000001</v>
      </c>
      <c r="I179">
        <v>4.4554719</v>
      </c>
      <c r="J179">
        <v>4.4871812000000002</v>
      </c>
      <c r="K179">
        <v>4.6268320999999997</v>
      </c>
      <c r="L179">
        <v>4.7253743999999998</v>
      </c>
      <c r="M179">
        <v>4.8370601999999998</v>
      </c>
      <c r="N179">
        <v>5.0996003999999999</v>
      </c>
      <c r="O179">
        <v>5.0856130000000004</v>
      </c>
      <c r="P179">
        <v>4.9303936000000004</v>
      </c>
      <c r="Q179">
        <v>4.9474656000000001</v>
      </c>
      <c r="R179">
        <v>4.8928934000000002</v>
      </c>
      <c r="S179">
        <v>4.9113427999999999</v>
      </c>
      <c r="T179">
        <v>4.9233416999999999</v>
      </c>
      <c r="U179">
        <v>4.9394340000000003</v>
      </c>
      <c r="V179">
        <v>4.9666813000000003</v>
      </c>
      <c r="W179">
        <v>5.3314012999999996</v>
      </c>
      <c r="X179">
        <v>5.2868491999999998</v>
      </c>
      <c r="Y179">
        <v>5.4506627999999999</v>
      </c>
      <c r="Z179">
        <v>4.8671496000000003</v>
      </c>
      <c r="AA179">
        <v>4.5861599999999996</v>
      </c>
      <c r="AB179">
        <v>4.1317634999999999</v>
      </c>
    </row>
    <row r="180" spans="1:28" hidden="1" x14ac:dyDescent="0.25">
      <c r="A180" t="s">
        <v>7</v>
      </c>
      <c r="B180" t="s">
        <v>64</v>
      </c>
      <c r="C180">
        <v>44</v>
      </c>
      <c r="D180" t="s">
        <v>3</v>
      </c>
      <c r="E180">
        <v>2.0576556881000001</v>
      </c>
      <c r="F180">
        <v>1.9655495328999999</v>
      </c>
      <c r="G180">
        <v>1.9805174362</v>
      </c>
      <c r="H180">
        <v>1.9706346146</v>
      </c>
      <c r="I180">
        <v>1.9997562857</v>
      </c>
      <c r="J180">
        <v>2.0139884194</v>
      </c>
      <c r="K180">
        <v>2.0766681469999999</v>
      </c>
      <c r="L180">
        <v>2.1208970386999999</v>
      </c>
      <c r="M180">
        <v>2.1710251476</v>
      </c>
      <c r="N180">
        <v>2.2888614681999999</v>
      </c>
      <c r="O180">
        <v>2.2825834820000002</v>
      </c>
      <c r="P180">
        <v>2.3776952606999999</v>
      </c>
      <c r="Q180">
        <v>2.3344416036000002</v>
      </c>
      <c r="R180">
        <v>2.3086919319999999</v>
      </c>
      <c r="S180">
        <v>2.1745791583999998</v>
      </c>
      <c r="T180">
        <v>2.1798918720999998</v>
      </c>
      <c r="U180">
        <v>2.1870170070000001</v>
      </c>
      <c r="V180">
        <v>2.0496490857</v>
      </c>
      <c r="W180">
        <v>2.3605670840999999</v>
      </c>
      <c r="X180">
        <v>2.5966665577999999</v>
      </c>
      <c r="Y180">
        <v>3.0142902436000001</v>
      </c>
      <c r="Z180">
        <v>2.1845302192</v>
      </c>
      <c r="AA180">
        <v>2.0953896038000002</v>
      </c>
      <c r="AB180">
        <v>2.2663915306</v>
      </c>
    </row>
    <row r="181" spans="1:28" hidden="1" x14ac:dyDescent="0.25">
      <c r="A181" t="s">
        <v>7</v>
      </c>
      <c r="B181" t="s">
        <v>64</v>
      </c>
      <c r="C181">
        <v>44</v>
      </c>
      <c r="D181" t="s">
        <v>4</v>
      </c>
      <c r="E181">
        <v>0.14178779999999999</v>
      </c>
      <c r="F181">
        <v>0.13544100000000001</v>
      </c>
      <c r="G181">
        <v>0.13647239999999999</v>
      </c>
      <c r="H181">
        <v>0.13579140000000001</v>
      </c>
      <c r="I181">
        <v>0.13779810000000001</v>
      </c>
      <c r="J181">
        <v>0.13877880000000001</v>
      </c>
      <c r="K181">
        <v>0.1430979</v>
      </c>
      <c r="L181">
        <v>0.14614559999999999</v>
      </c>
      <c r="M181">
        <v>0.1495998</v>
      </c>
      <c r="N181">
        <v>0.15771959999999999</v>
      </c>
      <c r="O181">
        <v>0.15728700000000001</v>
      </c>
      <c r="P181">
        <v>0.15248639999999999</v>
      </c>
      <c r="Q181">
        <v>0.15301439999999999</v>
      </c>
      <c r="R181">
        <v>0.15132660000000001</v>
      </c>
      <c r="S181">
        <v>0.15189720000000001</v>
      </c>
      <c r="T181">
        <v>0.1522683</v>
      </c>
      <c r="U181">
        <v>0.15276600000000001</v>
      </c>
      <c r="V181">
        <v>0.15360869999999999</v>
      </c>
      <c r="W181">
        <v>0.1648887</v>
      </c>
      <c r="X181">
        <v>0.16351080000000001</v>
      </c>
      <c r="Y181">
        <v>0.16857720000000001</v>
      </c>
      <c r="Z181">
        <v>0.15053040000000001</v>
      </c>
      <c r="AA181">
        <v>0.14183999999999999</v>
      </c>
      <c r="AB181">
        <v>0.1277865</v>
      </c>
    </row>
    <row r="182" spans="1:28" hidden="1" x14ac:dyDescent="0.25">
      <c r="A182" t="s">
        <v>7</v>
      </c>
      <c r="B182" t="s">
        <v>65</v>
      </c>
      <c r="C182">
        <v>110</v>
      </c>
      <c r="D182" t="s">
        <v>2</v>
      </c>
      <c r="E182">
        <v>27.288597599999999</v>
      </c>
      <c r="F182">
        <v>24.990632000000002</v>
      </c>
      <c r="G182">
        <v>24.713728799999998</v>
      </c>
      <c r="H182">
        <v>23.902975300000001</v>
      </c>
      <c r="I182">
        <v>24.012418650000001</v>
      </c>
      <c r="J182">
        <v>25.217901049999998</v>
      </c>
      <c r="K182">
        <v>29.071930250000001</v>
      </c>
      <c r="L182">
        <v>35.264969999999998</v>
      </c>
      <c r="M182">
        <v>41.757223199999999</v>
      </c>
      <c r="N182">
        <v>47.196432600000001</v>
      </c>
      <c r="O182">
        <v>50.274734899999999</v>
      </c>
      <c r="P182">
        <v>51.588271800000001</v>
      </c>
      <c r="Q182">
        <v>51.324449399999999</v>
      </c>
      <c r="R182">
        <v>48.492003099999998</v>
      </c>
      <c r="S182">
        <v>46.159848150000002</v>
      </c>
      <c r="T182">
        <v>44.164307100000002</v>
      </c>
      <c r="U182">
        <v>43.579158</v>
      </c>
      <c r="V182">
        <v>41.199555599999997</v>
      </c>
      <c r="W182">
        <v>43.416327649999999</v>
      </c>
      <c r="X182">
        <v>40.038329249999997</v>
      </c>
      <c r="Y182">
        <v>35.4980604</v>
      </c>
      <c r="Z182">
        <v>28.5167547</v>
      </c>
      <c r="AA182">
        <v>27.1857045</v>
      </c>
      <c r="AB182">
        <v>25.831871249999999</v>
      </c>
    </row>
    <row r="183" spans="1:28" hidden="1" x14ac:dyDescent="0.25">
      <c r="A183" t="s">
        <v>7</v>
      </c>
      <c r="B183" t="s">
        <v>65</v>
      </c>
      <c r="C183">
        <v>110</v>
      </c>
      <c r="D183" t="s">
        <v>3</v>
      </c>
      <c r="E183">
        <v>9.2120193150999992</v>
      </c>
      <c r="F183">
        <v>8.6579650411000006</v>
      </c>
      <c r="G183">
        <v>8.4473587051999992</v>
      </c>
      <c r="H183">
        <v>8.0932265389999998</v>
      </c>
      <c r="I183">
        <v>8.1336203285999993</v>
      </c>
      <c r="J183">
        <v>8.0014863756000008</v>
      </c>
      <c r="K183">
        <v>8.9245236351999999</v>
      </c>
      <c r="L183">
        <v>11.576011752399999</v>
      </c>
      <c r="M183">
        <v>14.5323429218</v>
      </c>
      <c r="N183">
        <v>16.8672442849</v>
      </c>
      <c r="O183">
        <v>19.574379690499999</v>
      </c>
      <c r="P183">
        <v>20.297993656300001</v>
      </c>
      <c r="Q183">
        <v>20.203900767899999</v>
      </c>
      <c r="R183">
        <v>19.136270495200002</v>
      </c>
      <c r="S183">
        <v>18.3912904952</v>
      </c>
      <c r="T183">
        <v>16.893698825400001</v>
      </c>
      <c r="U183">
        <v>17.123340513199999</v>
      </c>
      <c r="V183">
        <v>15.5978373233</v>
      </c>
      <c r="W183">
        <v>15.183667263</v>
      </c>
      <c r="X183">
        <v>13.965520483100001</v>
      </c>
      <c r="Y183">
        <v>11.607072862500001</v>
      </c>
      <c r="Z183">
        <v>8.1075919668999994</v>
      </c>
      <c r="AA183">
        <v>7.4578981524000003</v>
      </c>
      <c r="AB183">
        <v>7.3961789609000004</v>
      </c>
    </row>
    <row r="184" spans="1:28" hidden="1" x14ac:dyDescent="0.25">
      <c r="A184" t="s">
        <v>7</v>
      </c>
      <c r="B184" t="s">
        <v>65</v>
      </c>
      <c r="C184">
        <v>110</v>
      </c>
      <c r="D184" t="s">
        <v>4</v>
      </c>
      <c r="E184">
        <v>0.4155624</v>
      </c>
      <c r="F184">
        <v>0.38056800000000002</v>
      </c>
      <c r="G184">
        <v>0.3763512</v>
      </c>
      <c r="H184">
        <v>0.36400470000000001</v>
      </c>
      <c r="I184">
        <v>0.36567135000000001</v>
      </c>
      <c r="J184">
        <v>0.38402894999999998</v>
      </c>
      <c r="K184">
        <v>0.44271975000000002</v>
      </c>
      <c r="L184">
        <v>0.53703000000000001</v>
      </c>
      <c r="M184">
        <v>0.63589680000000004</v>
      </c>
      <c r="N184">
        <v>0.71872740000000002</v>
      </c>
      <c r="O184">
        <v>0.76560510000000004</v>
      </c>
      <c r="P184">
        <v>0.78560819999999998</v>
      </c>
      <c r="Q184">
        <v>0.78159060000000002</v>
      </c>
      <c r="R184">
        <v>0.73845689999999997</v>
      </c>
      <c r="S184">
        <v>0.70294184999999998</v>
      </c>
      <c r="T184">
        <v>0.67255290000000001</v>
      </c>
      <c r="U184">
        <v>0.66364199999999995</v>
      </c>
      <c r="V184">
        <v>0.62740439999999997</v>
      </c>
      <c r="W184">
        <v>0.66116235000000001</v>
      </c>
      <c r="X184">
        <v>0.60972075000000003</v>
      </c>
      <c r="Y184">
        <v>0.54057960000000005</v>
      </c>
      <c r="Z184">
        <v>0.43426530000000002</v>
      </c>
      <c r="AA184">
        <v>0.41399550000000002</v>
      </c>
      <c r="AB184">
        <v>0.39337875</v>
      </c>
    </row>
    <row r="185" spans="1:28" hidden="1" x14ac:dyDescent="0.25">
      <c r="A185" t="s">
        <v>7</v>
      </c>
      <c r="B185" t="s">
        <v>66</v>
      </c>
      <c r="C185">
        <v>110</v>
      </c>
      <c r="D185" t="s">
        <v>2</v>
      </c>
      <c r="E185">
        <v>5.2453318500000004</v>
      </c>
      <c r="F185">
        <v>5.0339410000000004</v>
      </c>
      <c r="G185">
        <v>5.0631560999999996</v>
      </c>
      <c r="H185">
        <v>5.1262749000000003</v>
      </c>
      <c r="I185">
        <v>5.6025618000000001</v>
      </c>
      <c r="J185">
        <v>6.4272727500000002</v>
      </c>
      <c r="K185">
        <v>7.2317124000000002</v>
      </c>
      <c r="L185">
        <v>7.8004908000000004</v>
      </c>
      <c r="M185">
        <v>7.6563458999999998</v>
      </c>
      <c r="N185">
        <v>7.4457135000000001</v>
      </c>
      <c r="O185">
        <v>7.6068102499999997</v>
      </c>
      <c r="P185">
        <v>7.5526254000000002</v>
      </c>
      <c r="Q185">
        <v>7.4075053500000001</v>
      </c>
      <c r="R185">
        <v>7.1475047500000004</v>
      </c>
      <c r="S185">
        <v>7.3302222500000003</v>
      </c>
      <c r="T185">
        <v>7.4106671999999998</v>
      </c>
      <c r="U185">
        <v>7.4625570000000003</v>
      </c>
      <c r="V185">
        <v>7.5984968500000001</v>
      </c>
      <c r="W185">
        <v>9.4252187500000009</v>
      </c>
      <c r="X185">
        <v>9.1085314000000004</v>
      </c>
      <c r="Y185">
        <v>8.1808584</v>
      </c>
      <c r="Z185">
        <v>6.7285349999999999</v>
      </c>
      <c r="AA185">
        <v>6.3336287999999996</v>
      </c>
      <c r="AB185">
        <v>5.8243049999999998</v>
      </c>
    </row>
    <row r="186" spans="1:28" hidden="1" x14ac:dyDescent="0.25">
      <c r="A186" t="s">
        <v>7</v>
      </c>
      <c r="B186" t="s">
        <v>66</v>
      </c>
      <c r="C186">
        <v>110</v>
      </c>
      <c r="D186" t="s">
        <v>3</v>
      </c>
      <c r="E186">
        <v>2.3047585337999998</v>
      </c>
      <c r="F186">
        <v>2.1940715857000002</v>
      </c>
      <c r="G186">
        <v>2.6857283978000002</v>
      </c>
      <c r="H186">
        <v>2.5775527123000002</v>
      </c>
      <c r="I186">
        <v>2.8569251223999999</v>
      </c>
      <c r="J186">
        <v>3.0836846621</v>
      </c>
      <c r="K186">
        <v>3.6212553486000001</v>
      </c>
      <c r="L186">
        <v>3.5599133100999998</v>
      </c>
      <c r="M186">
        <v>3.5312462627999999</v>
      </c>
      <c r="N186">
        <v>3.4959304903000001</v>
      </c>
      <c r="O186">
        <v>3.3601724485000002</v>
      </c>
      <c r="P186">
        <v>3.5072075838000001</v>
      </c>
      <c r="Q186">
        <v>3.3648114866999999</v>
      </c>
      <c r="R186">
        <v>3.1669995043000001</v>
      </c>
      <c r="S186">
        <v>3.1684453653000002</v>
      </c>
      <c r="T186">
        <v>3.5007263709999998</v>
      </c>
      <c r="U186">
        <v>3.4489945098999999</v>
      </c>
      <c r="V186">
        <v>3.5339898229000002</v>
      </c>
      <c r="W186">
        <v>3.7802855083</v>
      </c>
      <c r="X186">
        <v>3.4952835204000001</v>
      </c>
      <c r="Y186">
        <v>2.6200681395999998</v>
      </c>
      <c r="Z186">
        <v>2.3151688301000002</v>
      </c>
      <c r="AA186">
        <v>2.7748645428000001</v>
      </c>
      <c r="AB186">
        <v>2.9124323403000001</v>
      </c>
    </row>
    <row r="187" spans="1:28" hidden="1" x14ac:dyDescent="0.25">
      <c r="A187" t="s">
        <v>7</v>
      </c>
      <c r="B187" t="s">
        <v>66</v>
      </c>
      <c r="C187">
        <v>110</v>
      </c>
      <c r="D187" t="s">
        <v>4</v>
      </c>
      <c r="E187">
        <v>7.9878149999999995E-2</v>
      </c>
      <c r="F187">
        <v>7.6659000000000005E-2</v>
      </c>
      <c r="G187">
        <v>7.7103900000000003E-2</v>
      </c>
      <c r="H187">
        <v>7.8065099999999998E-2</v>
      </c>
      <c r="I187">
        <v>8.5318199999999997E-2</v>
      </c>
      <c r="J187">
        <v>9.7877249999999999E-2</v>
      </c>
      <c r="K187">
        <v>0.11012760000000001</v>
      </c>
      <c r="L187">
        <v>0.1187892</v>
      </c>
      <c r="M187">
        <v>0.11659410000000001</v>
      </c>
      <c r="N187">
        <v>0.1133865</v>
      </c>
      <c r="O187">
        <v>0.11583975000000001</v>
      </c>
      <c r="P187">
        <v>0.11501459999999999</v>
      </c>
      <c r="Q187">
        <v>0.11280465000000001</v>
      </c>
      <c r="R187">
        <v>0.10884525</v>
      </c>
      <c r="S187">
        <v>0.11162775</v>
      </c>
      <c r="T187">
        <v>0.1128528</v>
      </c>
      <c r="U187">
        <v>0.11364299999999999</v>
      </c>
      <c r="V187">
        <v>0.11571315</v>
      </c>
      <c r="W187">
        <v>0.14353125</v>
      </c>
      <c r="X187">
        <v>0.13870859999999999</v>
      </c>
      <c r="Y187">
        <v>0.1245816</v>
      </c>
      <c r="Z187">
        <v>0.102465</v>
      </c>
      <c r="AA187">
        <v>9.6451200000000001E-2</v>
      </c>
      <c r="AB187">
        <v>8.8694999999999996E-2</v>
      </c>
    </row>
    <row r="188" spans="1:28" hidden="1" x14ac:dyDescent="0.25">
      <c r="A188" t="s">
        <v>7</v>
      </c>
      <c r="B188" t="s">
        <v>67</v>
      </c>
      <c r="C188">
        <v>110</v>
      </c>
      <c r="D188" t="s">
        <v>2</v>
      </c>
      <c r="E188">
        <v>2.2525965000000001</v>
      </c>
      <c r="F188">
        <v>2.2185155000000001</v>
      </c>
      <c r="G188">
        <v>2.2897704000000001</v>
      </c>
      <c r="H188">
        <v>2.0230127000000002</v>
      </c>
      <c r="I188">
        <v>2.0858458500000001</v>
      </c>
      <c r="J188">
        <v>2.2678344500000001</v>
      </c>
      <c r="K188">
        <v>2.1092494500000001</v>
      </c>
      <c r="L188">
        <v>1.8566856</v>
      </c>
      <c r="M188">
        <v>1.538964</v>
      </c>
      <c r="N188">
        <v>1.6501311000000001</v>
      </c>
      <c r="O188">
        <v>1.7028089</v>
      </c>
      <c r="P188">
        <v>1.6214675999999999</v>
      </c>
      <c r="Q188">
        <v>1.5699915</v>
      </c>
      <c r="R188">
        <v>1.6515593500000001</v>
      </c>
      <c r="S188">
        <v>2.0003970999999998</v>
      </c>
      <c r="T188">
        <v>1.9888923000000001</v>
      </c>
      <c r="U188">
        <v>1.712718</v>
      </c>
      <c r="V188">
        <v>1.6634187499999999</v>
      </c>
      <c r="W188">
        <v>2.0207668999999999</v>
      </c>
      <c r="X188">
        <v>2.0509276000000001</v>
      </c>
      <c r="Y188">
        <v>2.1167256000000001</v>
      </c>
      <c r="Z188">
        <v>1.9696256999999999</v>
      </c>
      <c r="AA188">
        <v>1.9443309</v>
      </c>
      <c r="AB188">
        <v>2.0708639999999998</v>
      </c>
    </row>
    <row r="189" spans="1:28" hidden="1" x14ac:dyDescent="0.25">
      <c r="A189" t="s">
        <v>7</v>
      </c>
      <c r="B189" t="s">
        <v>67</v>
      </c>
      <c r="C189">
        <v>110</v>
      </c>
      <c r="D189" t="s">
        <v>3</v>
      </c>
      <c r="E189">
        <v>0.23062106839999999</v>
      </c>
      <c r="F189">
        <v>0.1555821527</v>
      </c>
      <c r="G189">
        <v>0.16954266670000001</v>
      </c>
      <c r="H189">
        <v>0.15386848289999999</v>
      </c>
      <c r="I189">
        <v>0.15669927780000001</v>
      </c>
      <c r="J189">
        <v>0.19429618409999999</v>
      </c>
      <c r="K189">
        <v>0.26379221130000002</v>
      </c>
      <c r="L189">
        <v>0.25611023160000002</v>
      </c>
      <c r="M189">
        <v>0.17259339870000001</v>
      </c>
      <c r="N189">
        <v>0.1314946297</v>
      </c>
      <c r="O189">
        <v>0.1321966386</v>
      </c>
      <c r="P189">
        <v>0.1316529377</v>
      </c>
      <c r="Q189">
        <v>0.13094221180000001</v>
      </c>
      <c r="R189">
        <v>0.1345064483</v>
      </c>
      <c r="S189">
        <v>0.15581889239999999</v>
      </c>
      <c r="T189">
        <v>0.16515546249999999</v>
      </c>
      <c r="U189">
        <v>0.15859760589999999</v>
      </c>
      <c r="V189">
        <v>0.155481443</v>
      </c>
      <c r="W189">
        <v>0.1663205489</v>
      </c>
      <c r="X189">
        <v>0.16472727270000001</v>
      </c>
      <c r="Y189">
        <v>0.1615566168</v>
      </c>
      <c r="Z189">
        <v>0.14258389320000001</v>
      </c>
      <c r="AA189">
        <v>0.15170336149999999</v>
      </c>
      <c r="AB189">
        <v>0.16157590769999999</v>
      </c>
    </row>
    <row r="190" spans="1:28" hidden="1" x14ac:dyDescent="0.25">
      <c r="A190" t="s">
        <v>7</v>
      </c>
      <c r="B190" t="s">
        <v>67</v>
      </c>
      <c r="C190">
        <v>110</v>
      </c>
      <c r="D190" t="s">
        <v>4</v>
      </c>
      <c r="E190">
        <v>3.4303500000000001E-2</v>
      </c>
      <c r="F190">
        <v>3.3784500000000002E-2</v>
      </c>
      <c r="G190">
        <v>3.4869600000000001E-2</v>
      </c>
      <c r="H190">
        <v>3.0807299999999999E-2</v>
      </c>
      <c r="I190">
        <v>3.1764149999999998E-2</v>
      </c>
      <c r="J190">
        <v>3.4535549999999998E-2</v>
      </c>
      <c r="K190">
        <v>3.2120549999999998E-2</v>
      </c>
      <c r="L190">
        <v>2.8274400000000002E-2</v>
      </c>
      <c r="M190">
        <v>2.3435999999999998E-2</v>
      </c>
      <c r="N190">
        <v>2.5128899999999999E-2</v>
      </c>
      <c r="O190">
        <v>2.5931099999999999E-2</v>
      </c>
      <c r="P190">
        <v>2.46924E-2</v>
      </c>
      <c r="Q190">
        <v>2.3908499999999999E-2</v>
      </c>
      <c r="R190">
        <v>2.515065E-2</v>
      </c>
      <c r="S190">
        <v>3.0462900000000001E-2</v>
      </c>
      <c r="T190">
        <v>3.0287700000000001E-2</v>
      </c>
      <c r="U190">
        <v>2.6082000000000001E-2</v>
      </c>
      <c r="V190">
        <v>2.533125E-2</v>
      </c>
      <c r="W190">
        <v>3.0773100000000001E-2</v>
      </c>
      <c r="X190">
        <v>3.12324E-2</v>
      </c>
      <c r="Y190">
        <v>3.2234400000000003E-2</v>
      </c>
      <c r="Z190">
        <v>2.9994300000000002E-2</v>
      </c>
      <c r="AA190">
        <v>2.9609099999999999E-2</v>
      </c>
      <c r="AB190">
        <v>3.1536000000000002E-2</v>
      </c>
    </row>
    <row r="191" spans="1:28" hidden="1" x14ac:dyDescent="0.25">
      <c r="A191" t="s">
        <v>7</v>
      </c>
      <c r="B191" t="s">
        <v>68</v>
      </c>
      <c r="C191">
        <v>110</v>
      </c>
      <c r="D191" t="s">
        <v>2</v>
      </c>
      <c r="E191">
        <v>2.9391020999999999</v>
      </c>
      <c r="F191">
        <v>2.626404</v>
      </c>
      <c r="G191">
        <v>2.6450795999999999</v>
      </c>
      <c r="H191">
        <v>2.9068532</v>
      </c>
      <c r="I191">
        <v>2.1765348000000002</v>
      </c>
      <c r="J191">
        <v>4.7864893000000004</v>
      </c>
      <c r="K191">
        <v>4.6872210000000001</v>
      </c>
      <c r="L191">
        <v>6.1849331999999997</v>
      </c>
      <c r="M191">
        <v>5.0401071000000002</v>
      </c>
      <c r="N191">
        <v>6.3858731999999998</v>
      </c>
      <c r="O191">
        <v>5.3596608000000003</v>
      </c>
      <c r="P191">
        <v>5.9453811999999999</v>
      </c>
      <c r="Q191">
        <v>4.7385197999999997</v>
      </c>
      <c r="R191">
        <v>4.8020129000000003</v>
      </c>
      <c r="S191">
        <v>4.5214454999999996</v>
      </c>
      <c r="T191">
        <v>4.3319709</v>
      </c>
      <c r="U191">
        <v>3.8060399999999999</v>
      </c>
      <c r="V191">
        <v>5.2297885500000003</v>
      </c>
      <c r="W191">
        <v>6.6202736499999997</v>
      </c>
      <c r="X191">
        <v>6.8313985500000003</v>
      </c>
      <c r="Y191">
        <v>4.6625171999999999</v>
      </c>
      <c r="Z191">
        <v>3.6578762999999999</v>
      </c>
      <c r="AA191">
        <v>4.1564439000000002</v>
      </c>
      <c r="AB191">
        <v>2.3620792499999999</v>
      </c>
    </row>
    <row r="192" spans="1:28" hidden="1" x14ac:dyDescent="0.25">
      <c r="A192" t="s">
        <v>7</v>
      </c>
      <c r="B192" t="s">
        <v>68</v>
      </c>
      <c r="C192">
        <v>110</v>
      </c>
      <c r="D192" t="s">
        <v>3</v>
      </c>
      <c r="E192">
        <v>1.0229661513999999</v>
      </c>
      <c r="F192">
        <v>0.50155423379999997</v>
      </c>
      <c r="G192">
        <v>0.50934338180000005</v>
      </c>
      <c r="H192">
        <v>0.70586791900000001</v>
      </c>
      <c r="I192">
        <v>1.0246805902</v>
      </c>
      <c r="J192">
        <v>2.2542323782000002</v>
      </c>
      <c r="K192">
        <v>1.2726544043000001</v>
      </c>
      <c r="L192">
        <v>1.7981794285999999</v>
      </c>
      <c r="M192">
        <v>2.0909124198</v>
      </c>
      <c r="N192">
        <v>1.8286536506</v>
      </c>
      <c r="O192">
        <v>2.0794517416999998</v>
      </c>
      <c r="P192">
        <v>1.7001767476</v>
      </c>
      <c r="Q192">
        <v>1.2183331492</v>
      </c>
      <c r="R192">
        <v>1.5650140214999999</v>
      </c>
      <c r="S192">
        <v>1.9485479221999999</v>
      </c>
      <c r="T192">
        <v>1.9264895757</v>
      </c>
      <c r="U192">
        <v>1.556159133</v>
      </c>
      <c r="V192">
        <v>1.4901841915</v>
      </c>
      <c r="W192">
        <v>0.9462068522</v>
      </c>
      <c r="X192">
        <v>0.75236110140000001</v>
      </c>
      <c r="Y192">
        <v>0.43276772530000002</v>
      </c>
      <c r="Z192">
        <v>0.85080553349999999</v>
      </c>
      <c r="AA192">
        <v>1.5387262503000001</v>
      </c>
      <c r="AB192">
        <v>0.76796357599999998</v>
      </c>
    </row>
    <row r="193" spans="1:28" hidden="1" x14ac:dyDescent="0.25">
      <c r="A193" t="s">
        <v>7</v>
      </c>
      <c r="B193" t="s">
        <v>68</v>
      </c>
      <c r="C193">
        <v>110</v>
      </c>
      <c r="D193" t="s">
        <v>4</v>
      </c>
      <c r="E193">
        <v>4.4757900000000003E-2</v>
      </c>
      <c r="F193">
        <v>3.9995999999999997E-2</v>
      </c>
      <c r="G193">
        <v>4.0280400000000001E-2</v>
      </c>
      <c r="H193">
        <v>4.4266800000000002E-2</v>
      </c>
      <c r="I193">
        <v>3.31452E-2</v>
      </c>
      <c r="J193">
        <v>7.2890700000000003E-2</v>
      </c>
      <c r="K193">
        <v>7.1378999999999998E-2</v>
      </c>
      <c r="L193">
        <v>9.4186800000000001E-2</v>
      </c>
      <c r="M193">
        <v>7.6752899999999999E-2</v>
      </c>
      <c r="N193">
        <v>9.7246799999999994E-2</v>
      </c>
      <c r="O193">
        <v>8.1619200000000003E-2</v>
      </c>
      <c r="P193">
        <v>9.0538800000000003E-2</v>
      </c>
      <c r="Q193">
        <v>7.2160199999999994E-2</v>
      </c>
      <c r="R193">
        <v>7.31271E-2</v>
      </c>
      <c r="S193">
        <v>6.8854499999999999E-2</v>
      </c>
      <c r="T193">
        <v>6.5969100000000003E-2</v>
      </c>
      <c r="U193">
        <v>5.7959999999999998E-2</v>
      </c>
      <c r="V193">
        <v>7.9641450000000003E-2</v>
      </c>
      <c r="W193">
        <v>0.10081635</v>
      </c>
      <c r="X193">
        <v>0.10403145</v>
      </c>
      <c r="Y193">
        <v>7.1002800000000005E-2</v>
      </c>
      <c r="Z193">
        <v>5.5703700000000002E-2</v>
      </c>
      <c r="AA193">
        <v>6.3296099999999994E-2</v>
      </c>
      <c r="AB193">
        <v>3.5970750000000003E-2</v>
      </c>
    </row>
    <row r="194" spans="1:28" hidden="1" x14ac:dyDescent="0.25">
      <c r="A194" t="s">
        <v>7</v>
      </c>
      <c r="B194" t="s">
        <v>69</v>
      </c>
      <c r="C194">
        <v>110</v>
      </c>
      <c r="D194" t="s">
        <v>2</v>
      </c>
      <c r="E194">
        <v>34.840159200000002</v>
      </c>
      <c r="F194">
        <v>33.078762500000003</v>
      </c>
      <c r="G194">
        <v>31.819912800000001</v>
      </c>
      <c r="H194">
        <v>31.3272355</v>
      </c>
      <c r="I194">
        <v>28.97008125</v>
      </c>
      <c r="J194">
        <v>28.875698549999999</v>
      </c>
      <c r="K194">
        <v>25.723915250000001</v>
      </c>
      <c r="L194">
        <v>27.693550800000001</v>
      </c>
      <c r="M194">
        <v>28.791451500000001</v>
      </c>
      <c r="N194">
        <v>29.930426700000002</v>
      </c>
      <c r="O194">
        <v>30.427240999999999</v>
      </c>
      <c r="P194">
        <v>30.765214199999999</v>
      </c>
      <c r="Q194">
        <v>31.157194950000001</v>
      </c>
      <c r="R194">
        <v>31.560050100000002</v>
      </c>
      <c r="S194">
        <v>32.211873850000003</v>
      </c>
      <c r="T194">
        <v>32.162840549999999</v>
      </c>
      <c r="U194">
        <v>31.997921999999999</v>
      </c>
      <c r="V194">
        <v>31.8045665</v>
      </c>
      <c r="W194">
        <v>37.806437449999997</v>
      </c>
      <c r="X194">
        <v>39.600999100000003</v>
      </c>
      <c r="Y194">
        <v>38.258384999999997</v>
      </c>
      <c r="Z194">
        <v>35.856974700000002</v>
      </c>
      <c r="AA194">
        <v>35.929372200000003</v>
      </c>
      <c r="AB194">
        <v>35.075259000000003</v>
      </c>
    </row>
    <row r="195" spans="1:28" hidden="1" x14ac:dyDescent="0.25">
      <c r="A195" t="s">
        <v>7</v>
      </c>
      <c r="B195" t="s">
        <v>69</v>
      </c>
      <c r="C195">
        <v>110</v>
      </c>
      <c r="D195" t="s">
        <v>3</v>
      </c>
      <c r="E195">
        <v>14.3959941262</v>
      </c>
      <c r="F195">
        <v>13.466549285999999</v>
      </c>
      <c r="G195">
        <v>12.724654404300001</v>
      </c>
      <c r="H195">
        <v>12.0985227223</v>
      </c>
      <c r="I195">
        <v>10.7124599308</v>
      </c>
      <c r="J195">
        <v>10.332283261400001</v>
      </c>
      <c r="K195">
        <v>8.5550361929999994</v>
      </c>
      <c r="L195">
        <v>10.3219124165</v>
      </c>
      <c r="M195">
        <v>11.5979490221</v>
      </c>
      <c r="N195">
        <v>13.109444442199999</v>
      </c>
      <c r="O195">
        <v>14.1707259353</v>
      </c>
      <c r="P195">
        <v>14.9055012072</v>
      </c>
      <c r="Q195">
        <v>15.1192274236</v>
      </c>
      <c r="R195">
        <v>15.4920144425</v>
      </c>
      <c r="S195">
        <v>15.9631735006</v>
      </c>
      <c r="T195">
        <v>15.042941902400001</v>
      </c>
      <c r="U195">
        <v>14.3231577975</v>
      </c>
      <c r="V195">
        <v>13.6730239529</v>
      </c>
      <c r="W195">
        <v>16.062134650499999</v>
      </c>
      <c r="X195">
        <v>17.069881067699999</v>
      </c>
      <c r="Y195">
        <v>16.315298968699999</v>
      </c>
      <c r="Z195">
        <v>14.6971534317</v>
      </c>
      <c r="AA195">
        <v>14.703580496500001</v>
      </c>
      <c r="AB195">
        <v>14.290176021100001</v>
      </c>
    </row>
    <row r="196" spans="1:28" hidden="1" x14ac:dyDescent="0.25">
      <c r="A196" t="s">
        <v>7</v>
      </c>
      <c r="B196" t="s">
        <v>69</v>
      </c>
      <c r="C196">
        <v>110</v>
      </c>
      <c r="D196" t="s">
        <v>4</v>
      </c>
      <c r="E196">
        <v>0.53056080000000005</v>
      </c>
      <c r="F196">
        <v>0.50373749999999995</v>
      </c>
      <c r="G196">
        <v>0.48456719999999998</v>
      </c>
      <c r="H196">
        <v>0.4770645</v>
      </c>
      <c r="I196">
        <v>0.44116875</v>
      </c>
      <c r="J196">
        <v>0.43973145000000002</v>
      </c>
      <c r="K196">
        <v>0.39173475000000002</v>
      </c>
      <c r="L196">
        <v>0.42172920000000003</v>
      </c>
      <c r="M196">
        <v>0.43844850000000002</v>
      </c>
      <c r="N196">
        <v>0.45579330000000001</v>
      </c>
      <c r="O196">
        <v>0.46335900000000002</v>
      </c>
      <c r="P196">
        <v>0.46850579999999997</v>
      </c>
      <c r="Q196">
        <v>0.47447505000000001</v>
      </c>
      <c r="R196">
        <v>0.48060989999999998</v>
      </c>
      <c r="S196">
        <v>0.49053615</v>
      </c>
      <c r="T196">
        <v>0.48978945000000002</v>
      </c>
      <c r="U196">
        <v>0.48727799999999999</v>
      </c>
      <c r="V196">
        <v>0.48433349999999997</v>
      </c>
      <c r="W196">
        <v>0.57573255000000001</v>
      </c>
      <c r="X196">
        <v>0.60306090000000001</v>
      </c>
      <c r="Y196">
        <v>0.58261499999999999</v>
      </c>
      <c r="Z196">
        <v>0.54604529999999996</v>
      </c>
      <c r="AA196">
        <v>0.54714779999999996</v>
      </c>
      <c r="AB196">
        <v>0.53414099999999998</v>
      </c>
    </row>
    <row r="197" spans="1:28" hidden="1" x14ac:dyDescent="0.25">
      <c r="A197" t="s">
        <v>7</v>
      </c>
      <c r="B197" t="s">
        <v>70</v>
      </c>
      <c r="C197">
        <v>110</v>
      </c>
      <c r="D197" t="s">
        <v>2</v>
      </c>
      <c r="E197">
        <v>14.19135795</v>
      </c>
      <c r="F197">
        <v>12.833565</v>
      </c>
      <c r="G197">
        <v>12.0706431</v>
      </c>
      <c r="H197">
        <v>11.273876599999999</v>
      </c>
      <c r="I197">
        <v>11.8097166</v>
      </c>
      <c r="J197">
        <v>13.2098744</v>
      </c>
      <c r="K197">
        <v>15.07722755</v>
      </c>
      <c r="L197">
        <v>16.8066216</v>
      </c>
      <c r="M197">
        <v>19.121627700000001</v>
      </c>
      <c r="N197">
        <v>20.915076299999999</v>
      </c>
      <c r="O197">
        <v>21.019919699999999</v>
      </c>
      <c r="P197">
        <v>21.818695600000002</v>
      </c>
      <c r="Q197">
        <v>22.365242550000001</v>
      </c>
      <c r="R197">
        <v>21.66457265</v>
      </c>
      <c r="S197">
        <v>21.072676300000001</v>
      </c>
      <c r="T197">
        <v>20.529182850000002</v>
      </c>
      <c r="U197">
        <v>20.076861000000001</v>
      </c>
      <c r="V197">
        <v>19.801336800000001</v>
      </c>
      <c r="W197">
        <v>22.18319485</v>
      </c>
      <c r="X197">
        <v>22.002230650000001</v>
      </c>
      <c r="Y197">
        <v>20.852607599999999</v>
      </c>
      <c r="Z197">
        <v>18.032473800000002</v>
      </c>
      <c r="AA197">
        <v>17.498978099999999</v>
      </c>
      <c r="AB197">
        <v>15.348122249999999</v>
      </c>
    </row>
    <row r="198" spans="1:28" hidden="1" x14ac:dyDescent="0.25">
      <c r="A198" t="s">
        <v>7</v>
      </c>
      <c r="B198" t="s">
        <v>70</v>
      </c>
      <c r="C198">
        <v>110</v>
      </c>
      <c r="D198" t="s">
        <v>3</v>
      </c>
      <c r="E198">
        <v>6.1400723924999996</v>
      </c>
      <c r="F198">
        <v>5.7416428697999997</v>
      </c>
      <c r="G198">
        <v>5.5090359002999998</v>
      </c>
      <c r="H198">
        <v>5.4115587808000001</v>
      </c>
      <c r="I198">
        <v>5.4406995593999996</v>
      </c>
      <c r="J198">
        <v>5.6456852472000003</v>
      </c>
      <c r="K198">
        <v>5.8894154549</v>
      </c>
      <c r="L198">
        <v>6.6508573371999997</v>
      </c>
      <c r="M198">
        <v>7.3217513238</v>
      </c>
      <c r="N198">
        <v>8.0700247762000004</v>
      </c>
      <c r="O198">
        <v>8.3676450883999998</v>
      </c>
      <c r="P198">
        <v>8.6651065769999995</v>
      </c>
      <c r="Q198">
        <v>8.8484523793999994</v>
      </c>
      <c r="R198">
        <v>8.9012692233999999</v>
      </c>
      <c r="S198">
        <v>8.6788031102000005</v>
      </c>
      <c r="T198">
        <v>8.5967969867999994</v>
      </c>
      <c r="U198">
        <v>8.6871108682999996</v>
      </c>
      <c r="V198">
        <v>8.2376770726000004</v>
      </c>
      <c r="W198">
        <v>8.2485514281000007</v>
      </c>
      <c r="X198">
        <v>7.9228142116000004</v>
      </c>
      <c r="Y198">
        <v>7.2157881664000003</v>
      </c>
      <c r="Z198">
        <v>6.3960540286000001</v>
      </c>
      <c r="AA198">
        <v>6.4546418577000004</v>
      </c>
      <c r="AB198">
        <v>6.0982622291000004</v>
      </c>
    </row>
    <row r="199" spans="1:28" hidden="1" x14ac:dyDescent="0.25">
      <c r="A199" t="s">
        <v>7</v>
      </c>
      <c r="B199" t="s">
        <v>70</v>
      </c>
      <c r="C199">
        <v>110</v>
      </c>
      <c r="D199" t="s">
        <v>4</v>
      </c>
      <c r="E199">
        <v>0.21611205</v>
      </c>
      <c r="F199">
        <v>0.195435</v>
      </c>
      <c r="G199">
        <v>0.18381690000000001</v>
      </c>
      <c r="H199">
        <v>0.17168340000000001</v>
      </c>
      <c r="I199">
        <v>0.17984339999999999</v>
      </c>
      <c r="J199">
        <v>0.2011656</v>
      </c>
      <c r="K199">
        <v>0.22960245000000001</v>
      </c>
      <c r="L199">
        <v>0.25593840000000001</v>
      </c>
      <c r="M199">
        <v>0.29119230000000002</v>
      </c>
      <c r="N199">
        <v>0.3185037</v>
      </c>
      <c r="O199">
        <v>0.3201003</v>
      </c>
      <c r="P199">
        <v>0.33226440000000002</v>
      </c>
      <c r="Q199">
        <v>0.34058745000000001</v>
      </c>
      <c r="R199">
        <v>0.32991735</v>
      </c>
      <c r="S199">
        <v>0.32090370000000001</v>
      </c>
      <c r="T199">
        <v>0.31262715000000002</v>
      </c>
      <c r="U199">
        <v>0.30573899999999998</v>
      </c>
      <c r="V199">
        <v>0.30154320000000001</v>
      </c>
      <c r="W199">
        <v>0.33781515000000001</v>
      </c>
      <c r="X199">
        <v>0.33505934999999998</v>
      </c>
      <c r="Y199">
        <v>0.31755240000000001</v>
      </c>
      <c r="Z199">
        <v>0.27460620000000002</v>
      </c>
      <c r="AA199">
        <v>0.26648189999999999</v>
      </c>
      <c r="AB199">
        <v>0.23372775000000001</v>
      </c>
    </row>
    <row r="200" spans="1:28" hidden="1" x14ac:dyDescent="0.25">
      <c r="A200" t="s">
        <v>7</v>
      </c>
      <c r="B200" t="s">
        <v>71</v>
      </c>
      <c r="C200">
        <v>110</v>
      </c>
      <c r="D200" t="s">
        <v>2</v>
      </c>
      <c r="E200">
        <v>13.333225949999999</v>
      </c>
      <c r="F200">
        <v>12.913152999999999</v>
      </c>
      <c r="G200">
        <v>13.432661700000001</v>
      </c>
      <c r="H200">
        <v>13.87629585</v>
      </c>
      <c r="I200">
        <v>15.4775808</v>
      </c>
      <c r="J200">
        <v>17.944109449999999</v>
      </c>
      <c r="K200">
        <v>19.6193679</v>
      </c>
      <c r="L200">
        <v>21.424222799999999</v>
      </c>
      <c r="M200">
        <v>21.904587599999999</v>
      </c>
      <c r="N200">
        <v>21.223637400000001</v>
      </c>
      <c r="O200">
        <v>21.1036644</v>
      </c>
      <c r="P200">
        <v>20.552813</v>
      </c>
      <c r="Q200">
        <v>19.781892899999999</v>
      </c>
      <c r="R200">
        <v>19.110901049999999</v>
      </c>
      <c r="S200">
        <v>19.27779945</v>
      </c>
      <c r="T200">
        <v>19.11243765</v>
      </c>
      <c r="U200">
        <v>20.756511</v>
      </c>
      <c r="V200">
        <v>20.985690949999999</v>
      </c>
      <c r="W200">
        <v>25.04846135</v>
      </c>
      <c r="X200">
        <v>23.857113699999999</v>
      </c>
      <c r="Y200">
        <v>20.051684399999999</v>
      </c>
      <c r="Z200">
        <v>16.1362503</v>
      </c>
      <c r="AA200">
        <v>14.6930874</v>
      </c>
      <c r="AB200">
        <v>14.064617999999999</v>
      </c>
    </row>
    <row r="201" spans="1:28" hidden="1" x14ac:dyDescent="0.25">
      <c r="A201" t="s">
        <v>7</v>
      </c>
      <c r="B201" t="s">
        <v>71</v>
      </c>
      <c r="C201">
        <v>110</v>
      </c>
      <c r="D201" t="s">
        <v>3</v>
      </c>
      <c r="E201">
        <v>3.4344150051</v>
      </c>
      <c r="F201">
        <v>3.5821985202</v>
      </c>
      <c r="G201">
        <v>3.7398240310999999</v>
      </c>
      <c r="H201">
        <v>3.8504989194000001</v>
      </c>
      <c r="I201">
        <v>4.1418074166999999</v>
      </c>
      <c r="J201">
        <v>5.0454174538999998</v>
      </c>
      <c r="K201">
        <v>5.2159034116000003</v>
      </c>
      <c r="L201">
        <v>6.3354486561999996</v>
      </c>
      <c r="M201">
        <v>7.1138236251000002</v>
      </c>
      <c r="N201">
        <v>7.0247052108999997</v>
      </c>
      <c r="O201">
        <v>6.9633615577999999</v>
      </c>
      <c r="P201">
        <v>6.4875594248999997</v>
      </c>
      <c r="Q201">
        <v>5.9297854094</v>
      </c>
      <c r="R201">
        <v>5.8517007426000003</v>
      </c>
      <c r="S201">
        <v>6.0942474093000003</v>
      </c>
      <c r="T201">
        <v>6.7887637332999997</v>
      </c>
      <c r="U201">
        <v>6.5039590892000003</v>
      </c>
      <c r="V201">
        <v>6.6601593958</v>
      </c>
      <c r="W201">
        <v>6.6446276853999997</v>
      </c>
      <c r="X201">
        <v>5.4843546381000001</v>
      </c>
      <c r="Y201">
        <v>4.5192777571000002</v>
      </c>
      <c r="Z201">
        <v>3.8987550332000001</v>
      </c>
      <c r="AA201">
        <v>4.0450906499999997</v>
      </c>
      <c r="AB201">
        <v>3.814152591</v>
      </c>
    </row>
    <row r="202" spans="1:28" hidden="1" x14ac:dyDescent="0.25">
      <c r="A202" t="s">
        <v>7</v>
      </c>
      <c r="B202" t="s">
        <v>71</v>
      </c>
      <c r="C202">
        <v>110</v>
      </c>
      <c r="D202" t="s">
        <v>4</v>
      </c>
      <c r="E202">
        <v>0.20304405</v>
      </c>
      <c r="F202">
        <v>0.19664699999999999</v>
      </c>
      <c r="G202">
        <v>0.2045583</v>
      </c>
      <c r="H202">
        <v>0.21131415000000001</v>
      </c>
      <c r="I202">
        <v>0.2356992</v>
      </c>
      <c r="J202">
        <v>0.27326054999999999</v>
      </c>
      <c r="K202">
        <v>0.29877209999999998</v>
      </c>
      <c r="L202">
        <v>0.32625720000000002</v>
      </c>
      <c r="M202">
        <v>0.33357239999999999</v>
      </c>
      <c r="N202">
        <v>0.32320260000000001</v>
      </c>
      <c r="O202">
        <v>0.32137559999999998</v>
      </c>
      <c r="P202">
        <v>0.31298700000000002</v>
      </c>
      <c r="Q202">
        <v>0.30124709999999999</v>
      </c>
      <c r="R202">
        <v>0.29102895000000001</v>
      </c>
      <c r="S202">
        <v>0.29357054999999999</v>
      </c>
      <c r="T202">
        <v>0.29105235000000002</v>
      </c>
      <c r="U202">
        <v>0.31608900000000001</v>
      </c>
      <c r="V202">
        <v>0.31957904999999998</v>
      </c>
      <c r="W202">
        <v>0.38144865</v>
      </c>
      <c r="X202">
        <v>0.36330630000000003</v>
      </c>
      <c r="Y202">
        <v>0.3053556</v>
      </c>
      <c r="Z202">
        <v>0.2457297</v>
      </c>
      <c r="AA202">
        <v>0.2237526</v>
      </c>
      <c r="AB202">
        <v>0.21418200000000001</v>
      </c>
    </row>
    <row r="203" spans="1:28" hidden="1" x14ac:dyDescent="0.25">
      <c r="A203" t="s">
        <v>7</v>
      </c>
      <c r="B203" t="s">
        <v>72</v>
      </c>
      <c r="C203">
        <v>110</v>
      </c>
      <c r="D203" t="s">
        <v>2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</row>
    <row r="204" spans="1:28" hidden="1" x14ac:dyDescent="0.25">
      <c r="A204" t="s">
        <v>7</v>
      </c>
      <c r="B204" t="s">
        <v>72</v>
      </c>
      <c r="C204">
        <v>110</v>
      </c>
      <c r="D204" t="s">
        <v>3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</row>
    <row r="205" spans="1:28" hidden="1" x14ac:dyDescent="0.25">
      <c r="A205" t="s">
        <v>7</v>
      </c>
      <c r="B205" t="s">
        <v>72</v>
      </c>
      <c r="C205">
        <v>110</v>
      </c>
      <c r="D205" t="s">
        <v>4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</row>
    <row r="206" spans="1:28" hidden="1" x14ac:dyDescent="0.25">
      <c r="A206" t="s">
        <v>7</v>
      </c>
      <c r="B206" t="s">
        <v>73</v>
      </c>
      <c r="C206">
        <v>110</v>
      </c>
      <c r="D206" t="s">
        <v>2</v>
      </c>
      <c r="E206">
        <v>44.944663499999997</v>
      </c>
      <c r="F206">
        <v>39.336368999999998</v>
      </c>
      <c r="G206">
        <v>38.057563199999997</v>
      </c>
      <c r="H206">
        <v>37.936398349999997</v>
      </c>
      <c r="I206">
        <v>43.248552599999996</v>
      </c>
      <c r="J206">
        <v>47.864893000000002</v>
      </c>
      <c r="K206">
        <v>50.387625749999998</v>
      </c>
      <c r="L206">
        <v>53.361626399999999</v>
      </c>
      <c r="M206">
        <v>55.107735900000002</v>
      </c>
      <c r="N206">
        <v>57.741172800000001</v>
      </c>
      <c r="O206">
        <v>60.826567099999998</v>
      </c>
      <c r="P206">
        <v>63.749278799999999</v>
      </c>
      <c r="Q206">
        <v>66.953001150000006</v>
      </c>
      <c r="R206">
        <v>67.103272750000002</v>
      </c>
      <c r="S206">
        <v>65.807584050000003</v>
      </c>
      <c r="T206">
        <v>65.347372350100002</v>
      </c>
      <c r="U206">
        <v>64.947354000000004</v>
      </c>
      <c r="V206">
        <v>64.939868000000004</v>
      </c>
      <c r="W206">
        <v>74.135000599999998</v>
      </c>
      <c r="X206">
        <v>76.668499400000002</v>
      </c>
      <c r="Y206">
        <v>72.283318800000004</v>
      </c>
      <c r="Z206">
        <v>62.330701500000004</v>
      </c>
      <c r="AA206">
        <v>60.425612999999998</v>
      </c>
      <c r="AB206">
        <v>52.3540305</v>
      </c>
    </row>
    <row r="207" spans="1:28" hidden="1" x14ac:dyDescent="0.25">
      <c r="A207" t="s">
        <v>7</v>
      </c>
      <c r="B207" t="s">
        <v>73</v>
      </c>
      <c r="C207">
        <v>110</v>
      </c>
      <c r="D207" t="s">
        <v>3</v>
      </c>
      <c r="E207">
        <v>21.395874541600001</v>
      </c>
      <c r="F207">
        <v>19.970418803899999</v>
      </c>
      <c r="G207">
        <v>20.803573202399999</v>
      </c>
      <c r="H207">
        <v>20.030794498500001</v>
      </c>
      <c r="I207">
        <v>20.911919914199999</v>
      </c>
      <c r="J207">
        <v>23.735076389100001</v>
      </c>
      <c r="K207">
        <v>24.540680946999998</v>
      </c>
      <c r="L207">
        <v>25.813980446599999</v>
      </c>
      <c r="M207">
        <v>27.4779179447</v>
      </c>
      <c r="N207">
        <v>29.522504276999999</v>
      </c>
      <c r="O207">
        <v>31.108463797799999</v>
      </c>
      <c r="P207">
        <v>32.551986547699997</v>
      </c>
      <c r="Q207">
        <v>33.288623912399999</v>
      </c>
      <c r="R207">
        <v>33.214694590000001</v>
      </c>
      <c r="S207">
        <v>26.709182658500001</v>
      </c>
      <c r="T207">
        <v>30.923703703099999</v>
      </c>
      <c r="U207">
        <v>31.4554391904</v>
      </c>
      <c r="V207">
        <v>26.537660979000002</v>
      </c>
      <c r="W207">
        <v>34.6951419233</v>
      </c>
      <c r="X207">
        <v>33.984753581100001</v>
      </c>
      <c r="Y207">
        <v>31.869971994699998</v>
      </c>
      <c r="Z207">
        <v>27.7854601274</v>
      </c>
      <c r="AA207">
        <v>27.685389074</v>
      </c>
      <c r="AB207">
        <v>26.159041812800002</v>
      </c>
    </row>
    <row r="208" spans="1:28" hidden="1" x14ac:dyDescent="0.25">
      <c r="A208" t="s">
        <v>7</v>
      </c>
      <c r="B208" t="s">
        <v>73</v>
      </c>
      <c r="C208">
        <v>110</v>
      </c>
      <c r="D208" t="s">
        <v>4</v>
      </c>
      <c r="E208">
        <v>0.6844365</v>
      </c>
      <c r="F208">
        <v>0.59903099999999998</v>
      </c>
      <c r="G208">
        <v>0.57955679999999998</v>
      </c>
      <c r="H208">
        <v>0.57771165000000002</v>
      </c>
      <c r="I208">
        <v>0.65860739999999995</v>
      </c>
      <c r="J208">
        <v>0.72890699999999997</v>
      </c>
      <c r="K208">
        <v>0.76732425000000004</v>
      </c>
      <c r="L208">
        <v>0.81261360000000005</v>
      </c>
      <c r="M208">
        <v>0.83920410000000001</v>
      </c>
      <c r="N208">
        <v>0.87930719999999996</v>
      </c>
      <c r="O208">
        <v>0.92629289999999997</v>
      </c>
      <c r="P208">
        <v>0.97080120000000003</v>
      </c>
      <c r="Q208">
        <v>1.0195888500000001</v>
      </c>
      <c r="R208">
        <v>1.02187725</v>
      </c>
      <c r="S208">
        <v>1.0021459500000001</v>
      </c>
      <c r="T208">
        <v>0.99513764989999998</v>
      </c>
      <c r="U208">
        <v>0.98904599999999998</v>
      </c>
      <c r="V208">
        <v>0.98893200000000003</v>
      </c>
      <c r="W208">
        <v>1.1289594000000001</v>
      </c>
      <c r="X208">
        <v>1.1675405999999999</v>
      </c>
      <c r="Y208">
        <v>1.1007612</v>
      </c>
      <c r="Z208">
        <v>0.94919849999999995</v>
      </c>
      <c r="AA208">
        <v>0.92018699999999998</v>
      </c>
      <c r="AB208">
        <v>0.79726949999999996</v>
      </c>
    </row>
    <row r="209" spans="1:28" hidden="1" x14ac:dyDescent="0.25">
      <c r="A209" t="s">
        <v>74</v>
      </c>
      <c r="B209" t="s">
        <v>75</v>
      </c>
      <c r="C209">
        <v>110</v>
      </c>
      <c r="D209" t="s">
        <v>2</v>
      </c>
      <c r="E209">
        <v>3.8395595500000002</v>
      </c>
      <c r="F209">
        <v>4.2030678899999998</v>
      </c>
      <c r="G209">
        <v>4.1297513849999996</v>
      </c>
      <c r="H209">
        <v>4.14418065</v>
      </c>
      <c r="I209">
        <v>3.8625691500000001</v>
      </c>
      <c r="J209">
        <v>4.56997842</v>
      </c>
      <c r="K209">
        <v>4.8269925000000002</v>
      </c>
      <c r="L209">
        <v>4.7887754850000004</v>
      </c>
      <c r="M209">
        <v>5.1163135950000003</v>
      </c>
      <c r="N209">
        <v>4.8109025250000004</v>
      </c>
      <c r="O209">
        <v>4.7584433949999996</v>
      </c>
      <c r="P209">
        <v>4.6995197099999997</v>
      </c>
      <c r="Q209">
        <v>4.7855565049999997</v>
      </c>
      <c r="R209">
        <v>4.3614371749999998</v>
      </c>
      <c r="S209">
        <v>4.4197353850000001</v>
      </c>
      <c r="T209">
        <v>4.2520361800000002</v>
      </c>
      <c r="U209">
        <v>4.2894681500000003</v>
      </c>
      <c r="V209">
        <v>4.2936573549999997</v>
      </c>
      <c r="W209">
        <v>4.6239662700000004</v>
      </c>
      <c r="X209">
        <v>4.2421093499999998</v>
      </c>
      <c r="Y209">
        <v>4.0971469000000003</v>
      </c>
      <c r="Z209">
        <v>4.1535706550000002</v>
      </c>
      <c r="AA209">
        <v>3.8168139299999999</v>
      </c>
      <c r="AB209">
        <v>3.9785420650000001</v>
      </c>
    </row>
    <row r="210" spans="1:28" hidden="1" x14ac:dyDescent="0.25">
      <c r="A210" t="s">
        <v>74</v>
      </c>
      <c r="B210" t="s">
        <v>75</v>
      </c>
      <c r="C210">
        <v>110</v>
      </c>
      <c r="D210" t="s">
        <v>3</v>
      </c>
      <c r="E210">
        <v>1.9045934189</v>
      </c>
      <c r="F210">
        <v>1.9860897574</v>
      </c>
      <c r="G210">
        <v>2.0001298829</v>
      </c>
      <c r="H210">
        <v>1.9838192182000001</v>
      </c>
      <c r="I210">
        <v>1.9690044495000001</v>
      </c>
      <c r="J210">
        <v>2.0207332467999999</v>
      </c>
      <c r="K210">
        <v>1.8940546623000001</v>
      </c>
      <c r="L210">
        <v>1.9323193691</v>
      </c>
      <c r="M210">
        <v>2.1507491576</v>
      </c>
      <c r="N210">
        <v>2.1947135163999998</v>
      </c>
      <c r="O210">
        <v>2.22544349</v>
      </c>
      <c r="P210">
        <v>1.9658243516</v>
      </c>
      <c r="Q210">
        <v>1.9471910054999999</v>
      </c>
      <c r="R210">
        <v>2.0235549288999999</v>
      </c>
      <c r="S210">
        <v>1.9995064452</v>
      </c>
      <c r="T210">
        <v>1.9449559587</v>
      </c>
      <c r="U210">
        <v>2.0971261108000001</v>
      </c>
      <c r="V210">
        <v>1.8630931505999999</v>
      </c>
      <c r="W210">
        <v>1.9942534841999999</v>
      </c>
      <c r="X210">
        <v>2.1704774416000001</v>
      </c>
      <c r="Y210">
        <v>2.1008453740999999</v>
      </c>
      <c r="Z210">
        <v>1.9484056519999999</v>
      </c>
      <c r="AA210">
        <v>1.8206932143000001</v>
      </c>
      <c r="AB210">
        <v>1.7206532889999999</v>
      </c>
    </row>
    <row r="211" spans="1:28" hidden="1" x14ac:dyDescent="0.25">
      <c r="A211" t="s">
        <v>74</v>
      </c>
      <c r="B211" t="s">
        <v>75</v>
      </c>
      <c r="C211">
        <v>110</v>
      </c>
      <c r="D211" t="s">
        <v>4</v>
      </c>
      <c r="E211">
        <v>5.847045E-2</v>
      </c>
      <c r="F211">
        <v>6.4006110000000005E-2</v>
      </c>
      <c r="G211">
        <v>6.2889614999999996E-2</v>
      </c>
      <c r="H211">
        <v>6.3109349999999995E-2</v>
      </c>
      <c r="I211">
        <v>5.8820850000000001E-2</v>
      </c>
      <c r="J211">
        <v>6.9593580000000002E-2</v>
      </c>
      <c r="K211">
        <v>7.3507500000000003E-2</v>
      </c>
      <c r="L211">
        <v>7.2925514999999996E-2</v>
      </c>
      <c r="M211">
        <v>7.7913405000000005E-2</v>
      </c>
      <c r="N211">
        <v>7.3262474999999994E-2</v>
      </c>
      <c r="O211">
        <v>7.2463605E-2</v>
      </c>
      <c r="P211">
        <v>7.1566290000000005E-2</v>
      </c>
      <c r="Q211">
        <v>7.2876494999999999E-2</v>
      </c>
      <c r="R211">
        <v>6.6417825E-2</v>
      </c>
      <c r="S211">
        <v>6.7305614999999999E-2</v>
      </c>
      <c r="T211">
        <v>6.4751820000000002E-2</v>
      </c>
      <c r="U211">
        <v>6.5321850000000001E-2</v>
      </c>
      <c r="V211">
        <v>6.5385645000000006E-2</v>
      </c>
      <c r="W211">
        <v>7.0415729999999996E-2</v>
      </c>
      <c r="X211">
        <v>6.4600649999999996E-2</v>
      </c>
      <c r="Y211">
        <v>6.23931E-2</v>
      </c>
      <c r="Z211">
        <v>6.3252345000000001E-2</v>
      </c>
      <c r="AA211">
        <v>5.812407E-2</v>
      </c>
      <c r="AB211">
        <v>6.0586935000000001E-2</v>
      </c>
    </row>
    <row r="212" spans="1:28" hidden="1" x14ac:dyDescent="0.25">
      <c r="A212" t="s">
        <v>74</v>
      </c>
      <c r="B212" t="s">
        <v>76</v>
      </c>
      <c r="C212">
        <v>34</v>
      </c>
      <c r="D212" t="s">
        <v>2</v>
      </c>
      <c r="E212">
        <v>6.2967937999999997</v>
      </c>
      <c r="F212">
        <v>6.1793413499999996</v>
      </c>
      <c r="G212">
        <v>5.5715296500000004</v>
      </c>
      <c r="H212">
        <v>5.5751584200000002</v>
      </c>
      <c r="I212">
        <v>6.0548079000000001</v>
      </c>
      <c r="J212">
        <v>5.8755024300000001</v>
      </c>
      <c r="K212">
        <v>5.6091122999999996</v>
      </c>
      <c r="L212">
        <v>5.5240995599999998</v>
      </c>
      <c r="M212">
        <v>5.7180287500000002</v>
      </c>
      <c r="N212">
        <v>5.8839501600000004</v>
      </c>
      <c r="O212">
        <v>6.0507629999999999</v>
      </c>
      <c r="P212">
        <v>5.9123634000000003</v>
      </c>
      <c r="Q212">
        <v>6.0467103399999997</v>
      </c>
      <c r="R212">
        <v>5.6274899200000004</v>
      </c>
      <c r="S212">
        <v>5.7181684300000004</v>
      </c>
      <c r="T212">
        <v>5.9828251699999999</v>
      </c>
      <c r="U212">
        <v>5.6298867899999996</v>
      </c>
      <c r="V212">
        <v>6.1458239700000004</v>
      </c>
      <c r="W212">
        <v>7.3209440499999996</v>
      </c>
      <c r="X212">
        <v>8.0420953999999991</v>
      </c>
      <c r="Y212">
        <v>7.8721126000000003</v>
      </c>
      <c r="Z212">
        <v>7.0589771199999998</v>
      </c>
      <c r="AA212">
        <v>6.90602655</v>
      </c>
      <c r="AB212">
        <v>6.7047224500000002</v>
      </c>
    </row>
    <row r="213" spans="1:28" hidden="1" x14ac:dyDescent="0.25">
      <c r="A213" t="s">
        <v>74</v>
      </c>
      <c r="B213" t="s">
        <v>76</v>
      </c>
      <c r="C213">
        <v>34</v>
      </c>
      <c r="D213" t="s">
        <v>3</v>
      </c>
      <c r="E213">
        <v>2.3851378487999999</v>
      </c>
      <c r="F213">
        <v>2.3629240546000001</v>
      </c>
      <c r="G213">
        <v>2.3640459219999999</v>
      </c>
      <c r="H213">
        <v>2.3546238796000001</v>
      </c>
      <c r="I213">
        <v>2.3510816391999998</v>
      </c>
      <c r="J213">
        <v>2.4002975755999998</v>
      </c>
      <c r="K213">
        <v>2.4397489232999998</v>
      </c>
      <c r="L213">
        <v>2.4063935986999998</v>
      </c>
      <c r="M213">
        <v>2.3916958928000001</v>
      </c>
      <c r="N213">
        <v>2.3573768399000001</v>
      </c>
      <c r="O213">
        <v>2.3579659719000001</v>
      </c>
      <c r="P213">
        <v>2.3818383691</v>
      </c>
      <c r="Q213">
        <v>2.4633318114999998</v>
      </c>
      <c r="R213">
        <v>2.4228443232000001</v>
      </c>
      <c r="S213">
        <v>2.3261301734000002</v>
      </c>
      <c r="T213">
        <v>2.3656928609999999</v>
      </c>
      <c r="U213">
        <v>2.3995096358999999</v>
      </c>
      <c r="V213">
        <v>2.4111601375</v>
      </c>
      <c r="W213">
        <v>2.3940459264</v>
      </c>
      <c r="X213">
        <v>2.3953854207999998</v>
      </c>
      <c r="Y213">
        <v>2.4344434957000001</v>
      </c>
      <c r="Z213">
        <v>2.3279295933999999</v>
      </c>
      <c r="AA213">
        <v>2.3567198581</v>
      </c>
      <c r="AB213">
        <v>2.4040148153000001</v>
      </c>
    </row>
    <row r="214" spans="1:28" hidden="1" x14ac:dyDescent="0.25">
      <c r="A214" t="s">
        <v>74</v>
      </c>
      <c r="B214" t="s">
        <v>76</v>
      </c>
      <c r="C214">
        <v>34</v>
      </c>
      <c r="D214" t="s">
        <v>4</v>
      </c>
      <c r="E214">
        <v>0.19474620000000001</v>
      </c>
      <c r="F214">
        <v>0.19111365</v>
      </c>
      <c r="G214">
        <v>0.17231535000000001</v>
      </c>
      <c r="H214">
        <v>0.17242758</v>
      </c>
      <c r="I214">
        <v>0.18726209999999999</v>
      </c>
      <c r="J214">
        <v>0.18171656999999999</v>
      </c>
      <c r="K214">
        <v>0.17347770000000001</v>
      </c>
      <c r="L214">
        <v>0.17084843999999999</v>
      </c>
      <c r="M214">
        <v>0.17684625000000001</v>
      </c>
      <c r="N214">
        <v>0.18197784</v>
      </c>
      <c r="O214">
        <v>0.187137</v>
      </c>
      <c r="P214">
        <v>0.18285660000000001</v>
      </c>
      <c r="Q214">
        <v>0.18701166</v>
      </c>
      <c r="R214">
        <v>0.17404607999999999</v>
      </c>
      <c r="S214">
        <v>0.17685057000000001</v>
      </c>
      <c r="T214">
        <v>0.18503583000000001</v>
      </c>
      <c r="U214">
        <v>0.17412021</v>
      </c>
      <c r="V214">
        <v>0.19007703000000001</v>
      </c>
      <c r="W214">
        <v>0.22642095000000001</v>
      </c>
      <c r="X214">
        <v>0.24872459999999999</v>
      </c>
      <c r="Y214">
        <v>0.2434674</v>
      </c>
      <c r="Z214">
        <v>0.21831887999999999</v>
      </c>
      <c r="AA214">
        <v>0.21358845000000001</v>
      </c>
      <c r="AB214">
        <v>0.20736255000000001</v>
      </c>
    </row>
    <row r="215" spans="1:28" hidden="1" x14ac:dyDescent="0.25">
      <c r="A215" t="s">
        <v>74</v>
      </c>
      <c r="B215" t="s">
        <v>77</v>
      </c>
      <c r="C215">
        <v>14</v>
      </c>
      <c r="D215" t="s">
        <v>2</v>
      </c>
      <c r="E215">
        <v>16.140329000000001</v>
      </c>
      <c r="F215">
        <v>15.79232025</v>
      </c>
      <c r="G215">
        <v>15.431552999999999</v>
      </c>
      <c r="H215">
        <v>15.2289636</v>
      </c>
      <c r="I215">
        <v>15.047373</v>
      </c>
      <c r="J215">
        <v>14.6533149</v>
      </c>
      <c r="K215">
        <v>13.519499400000001</v>
      </c>
      <c r="L215">
        <v>13.20762105</v>
      </c>
      <c r="M215">
        <v>12.857901350000001</v>
      </c>
      <c r="N215">
        <v>12.3039972</v>
      </c>
      <c r="O215">
        <v>12.3129215</v>
      </c>
      <c r="P215">
        <v>12.605895800000001</v>
      </c>
      <c r="Q215">
        <v>12.605664000000001</v>
      </c>
      <c r="R215">
        <v>11.923830000000001</v>
      </c>
      <c r="S215">
        <v>13.05828485</v>
      </c>
      <c r="T215">
        <v>13.66756545</v>
      </c>
      <c r="U215">
        <v>14.11344605</v>
      </c>
      <c r="V215">
        <v>14.517462050000001</v>
      </c>
      <c r="W215">
        <v>17.328117800000001</v>
      </c>
      <c r="X215">
        <v>17.836554</v>
      </c>
      <c r="Y215">
        <v>17.932827</v>
      </c>
      <c r="Z215">
        <v>17.085842150000001</v>
      </c>
      <c r="AA215">
        <v>17.17149985</v>
      </c>
      <c r="AB215">
        <v>16.8894287</v>
      </c>
    </row>
    <row r="216" spans="1:28" hidden="1" x14ac:dyDescent="0.25">
      <c r="A216" t="s">
        <v>74</v>
      </c>
      <c r="B216" t="s">
        <v>77</v>
      </c>
      <c r="C216">
        <v>14</v>
      </c>
      <c r="D216" t="s">
        <v>3</v>
      </c>
      <c r="E216">
        <v>5.7178477338000002</v>
      </c>
      <c r="F216">
        <v>5.7140175058000002</v>
      </c>
      <c r="G216">
        <v>5.6758295754999999</v>
      </c>
      <c r="H216">
        <v>5.6795997187999996</v>
      </c>
      <c r="I216">
        <v>5.6197207020000004</v>
      </c>
      <c r="J216">
        <v>5.4963818671000002</v>
      </c>
      <c r="K216">
        <v>5.4363302204000004</v>
      </c>
      <c r="L216">
        <v>5.6359743402999998</v>
      </c>
      <c r="M216">
        <v>5.7947748911000003</v>
      </c>
      <c r="N216">
        <v>5.7596797064</v>
      </c>
      <c r="O216">
        <v>5.7610243720999996</v>
      </c>
      <c r="P216">
        <v>5.7580930592000001</v>
      </c>
      <c r="Q216">
        <v>5.5809960985</v>
      </c>
      <c r="R216">
        <v>5.8832901592000004</v>
      </c>
      <c r="S216">
        <v>6.1360333850000002</v>
      </c>
      <c r="T216">
        <v>6.0765507127999996</v>
      </c>
      <c r="U216">
        <v>6.0721335825000002</v>
      </c>
      <c r="V216">
        <v>5.8213343076999999</v>
      </c>
      <c r="W216">
        <v>5.8592348778999996</v>
      </c>
      <c r="X216">
        <v>5.7587683282000004</v>
      </c>
      <c r="Y216">
        <v>5.8207288035999998</v>
      </c>
      <c r="Z216">
        <v>5.6043165654999996</v>
      </c>
      <c r="AA216">
        <v>5.741510248</v>
      </c>
      <c r="AB216">
        <v>5.7921710169000002</v>
      </c>
    </row>
    <row r="217" spans="1:28" hidden="1" x14ac:dyDescent="0.25">
      <c r="A217" t="s">
        <v>74</v>
      </c>
      <c r="B217" t="s">
        <v>77</v>
      </c>
      <c r="C217">
        <v>14</v>
      </c>
      <c r="D217" t="s">
        <v>4</v>
      </c>
      <c r="E217">
        <v>0.849491</v>
      </c>
      <c r="F217">
        <v>0.83117474999999996</v>
      </c>
      <c r="G217">
        <v>0.81218699999999999</v>
      </c>
      <c r="H217">
        <v>0.80152440000000003</v>
      </c>
      <c r="I217">
        <v>0.79196699999999998</v>
      </c>
      <c r="J217">
        <v>0.77122710000000005</v>
      </c>
      <c r="K217">
        <v>0.71155259999999998</v>
      </c>
      <c r="L217">
        <v>0.69513795</v>
      </c>
      <c r="M217">
        <v>0.67673165000000002</v>
      </c>
      <c r="N217">
        <v>0.64757880000000001</v>
      </c>
      <c r="O217">
        <v>0.64804850000000003</v>
      </c>
      <c r="P217">
        <v>0.66346819999999995</v>
      </c>
      <c r="Q217">
        <v>0.66345600000000005</v>
      </c>
      <c r="R217">
        <v>0.62756999999999996</v>
      </c>
      <c r="S217">
        <v>0.68727815000000003</v>
      </c>
      <c r="T217">
        <v>0.71934555</v>
      </c>
      <c r="U217">
        <v>0.74281295000000003</v>
      </c>
      <c r="V217">
        <v>0.76407694999999998</v>
      </c>
      <c r="W217">
        <v>0.91200619999999999</v>
      </c>
      <c r="X217">
        <v>0.93876599999999999</v>
      </c>
      <c r="Y217">
        <v>0.94383300000000003</v>
      </c>
      <c r="Z217">
        <v>0.89925485000000005</v>
      </c>
      <c r="AA217">
        <v>0.90376314999999996</v>
      </c>
      <c r="AB217">
        <v>0.88891730000000002</v>
      </c>
    </row>
    <row r="218" spans="1:28" hidden="1" x14ac:dyDescent="0.25">
      <c r="A218" t="s">
        <v>74</v>
      </c>
      <c r="B218" t="s">
        <v>78</v>
      </c>
      <c r="C218">
        <v>110</v>
      </c>
      <c r="D218" t="s">
        <v>2</v>
      </c>
      <c r="E218">
        <v>12.184100324999999</v>
      </c>
      <c r="F218">
        <v>11.874038085</v>
      </c>
      <c r="G218">
        <v>11.61807894</v>
      </c>
      <c r="H218">
        <v>11.428104944999999</v>
      </c>
      <c r="I218">
        <v>11.2365648</v>
      </c>
      <c r="J218">
        <v>10.883764395</v>
      </c>
      <c r="K218">
        <v>10.226788109999999</v>
      </c>
      <c r="L218">
        <v>9.8166666150000008</v>
      </c>
      <c r="M218">
        <v>9.6951156449999996</v>
      </c>
      <c r="N218">
        <v>9.5141484900000002</v>
      </c>
      <c r="O218">
        <v>9.4759245799999992</v>
      </c>
      <c r="P218">
        <v>9.7026794600000006</v>
      </c>
      <c r="Q218">
        <v>9.9182870950000002</v>
      </c>
      <c r="R218">
        <v>10.130897375</v>
      </c>
      <c r="S218">
        <v>10.415446145000001</v>
      </c>
      <c r="T218">
        <v>10.454095575</v>
      </c>
      <c r="U218">
        <v>10.421298030000001</v>
      </c>
      <c r="V218">
        <v>10.5065025</v>
      </c>
      <c r="W218">
        <v>11.972491789999999</v>
      </c>
      <c r="X218">
        <v>12.424455099999999</v>
      </c>
      <c r="Y218">
        <v>12.724407299999999</v>
      </c>
      <c r="Z218">
        <v>12.354404855</v>
      </c>
      <c r="AA218">
        <v>12.653734535</v>
      </c>
      <c r="AB218">
        <v>12.673520229999999</v>
      </c>
    </row>
    <row r="219" spans="1:28" hidden="1" x14ac:dyDescent="0.25">
      <c r="A219" t="s">
        <v>74</v>
      </c>
      <c r="B219" t="s">
        <v>78</v>
      </c>
      <c r="C219">
        <v>110</v>
      </c>
      <c r="D219" t="s">
        <v>3</v>
      </c>
      <c r="E219">
        <v>5.3824688114999999</v>
      </c>
      <c r="F219">
        <v>5.3221238776000002</v>
      </c>
      <c r="G219">
        <v>5.2166052313</v>
      </c>
      <c r="H219">
        <v>5.1057951477000003</v>
      </c>
      <c r="I219">
        <v>4.9572348320000001</v>
      </c>
      <c r="J219">
        <v>4.6607096042</v>
      </c>
      <c r="K219">
        <v>4.1911534237000003</v>
      </c>
      <c r="L219">
        <v>3.9053749095999999</v>
      </c>
      <c r="M219">
        <v>3.7959733452000002</v>
      </c>
      <c r="N219">
        <v>3.7599328036999999</v>
      </c>
      <c r="O219">
        <v>3.8708724448999998</v>
      </c>
      <c r="P219">
        <v>3.9632014618999998</v>
      </c>
      <c r="Q219">
        <v>4.0802857575000004</v>
      </c>
      <c r="R219">
        <v>4.3343523941999997</v>
      </c>
      <c r="S219">
        <v>4.4948465245999998</v>
      </c>
      <c r="T219">
        <v>4.4858231259999997</v>
      </c>
      <c r="U219">
        <v>4.4123919766000004</v>
      </c>
      <c r="V219">
        <v>4.3061099257000004</v>
      </c>
      <c r="W219">
        <v>4.7110909707999999</v>
      </c>
      <c r="X219">
        <v>4.964218969</v>
      </c>
      <c r="Y219">
        <v>5.2440766947000004</v>
      </c>
      <c r="Z219">
        <v>5.2711445409</v>
      </c>
      <c r="AA219">
        <v>5.5065302407000001</v>
      </c>
      <c r="AB219">
        <v>5.5264670331000003</v>
      </c>
    </row>
    <row r="220" spans="1:28" hidden="1" x14ac:dyDescent="0.25">
      <c r="A220" t="s">
        <v>74</v>
      </c>
      <c r="B220" t="s">
        <v>78</v>
      </c>
      <c r="C220">
        <v>110</v>
      </c>
      <c r="D220" t="s">
        <v>4</v>
      </c>
      <c r="E220">
        <v>0.18554467499999999</v>
      </c>
      <c r="F220">
        <v>0.180822915</v>
      </c>
      <c r="G220">
        <v>0.17692506</v>
      </c>
      <c r="H220">
        <v>0.17403205499999999</v>
      </c>
      <c r="I220">
        <v>0.1711152</v>
      </c>
      <c r="J220">
        <v>0.16574260499999999</v>
      </c>
      <c r="K220">
        <v>0.15573788999999999</v>
      </c>
      <c r="L220">
        <v>0.14949238500000001</v>
      </c>
      <c r="M220">
        <v>0.147641355</v>
      </c>
      <c r="N220">
        <v>0.14488551</v>
      </c>
      <c r="O220">
        <v>0.14430341999999999</v>
      </c>
      <c r="P220">
        <v>0.14775653999999999</v>
      </c>
      <c r="Q220">
        <v>0.151039905</v>
      </c>
      <c r="R220">
        <v>0.154277625</v>
      </c>
      <c r="S220">
        <v>0.158610855</v>
      </c>
      <c r="T220">
        <v>0.15919942500000001</v>
      </c>
      <c r="U220">
        <v>0.15869997</v>
      </c>
      <c r="V220">
        <v>0.15999749999999999</v>
      </c>
      <c r="W220">
        <v>0.18232221000000001</v>
      </c>
      <c r="X220">
        <v>0.18920490000000001</v>
      </c>
      <c r="Y220">
        <v>0.19377269999999999</v>
      </c>
      <c r="Z220">
        <v>0.18813814500000001</v>
      </c>
      <c r="AA220">
        <v>0.19269646500000001</v>
      </c>
      <c r="AB220">
        <v>0.19299777000000001</v>
      </c>
    </row>
    <row r="221" spans="1:28" hidden="1" x14ac:dyDescent="0.25">
      <c r="A221" t="s">
        <v>74</v>
      </c>
      <c r="B221" t="s">
        <v>79</v>
      </c>
      <c r="C221">
        <v>110</v>
      </c>
      <c r="D221" t="s">
        <v>2</v>
      </c>
      <c r="E221">
        <v>22.020103474999999</v>
      </c>
      <c r="F221">
        <v>21.65396814</v>
      </c>
      <c r="G221">
        <v>21.045155399999999</v>
      </c>
      <c r="H221">
        <v>20.52423027</v>
      </c>
      <c r="I221">
        <v>20.0357865</v>
      </c>
      <c r="J221">
        <v>19.262058164999999</v>
      </c>
      <c r="K221">
        <v>17.969284080000001</v>
      </c>
      <c r="L221">
        <v>16.957823040000001</v>
      </c>
      <c r="M221">
        <v>15.202949995000001</v>
      </c>
      <c r="N221">
        <v>14.520178530000001</v>
      </c>
      <c r="O221">
        <v>14.166097625000001</v>
      </c>
      <c r="P221">
        <v>14.685136480000001</v>
      </c>
      <c r="Q221">
        <v>15.663677835</v>
      </c>
      <c r="R221">
        <v>15.920962790000001</v>
      </c>
      <c r="S221">
        <v>16.649304295</v>
      </c>
      <c r="T221">
        <v>17.078542670000001</v>
      </c>
      <c r="U221">
        <v>17.214127919999999</v>
      </c>
      <c r="V221">
        <v>17.587885185000001</v>
      </c>
      <c r="W221">
        <v>19.827006884999999</v>
      </c>
      <c r="X221">
        <v>20.678297075</v>
      </c>
      <c r="Y221">
        <v>21.303560300000001</v>
      </c>
      <c r="Z221">
        <v>20.593205879999999</v>
      </c>
      <c r="AA221">
        <v>21.590290844999998</v>
      </c>
      <c r="AB221">
        <v>21.771677610000001</v>
      </c>
    </row>
    <row r="222" spans="1:28" hidden="1" x14ac:dyDescent="0.25">
      <c r="A222" t="s">
        <v>74</v>
      </c>
      <c r="B222" t="s">
        <v>79</v>
      </c>
      <c r="C222">
        <v>110</v>
      </c>
      <c r="D222" t="s">
        <v>3</v>
      </c>
      <c r="E222">
        <v>10.055090916499999</v>
      </c>
      <c r="F222">
        <v>9.7969769477999993</v>
      </c>
      <c r="G222">
        <v>9.4210137151000009</v>
      </c>
      <c r="H222">
        <v>9.1926411752000003</v>
      </c>
      <c r="I222">
        <v>8.7940605468000008</v>
      </c>
      <c r="J222">
        <v>8.0767226647000001</v>
      </c>
      <c r="K222">
        <v>7.1335276044000002</v>
      </c>
      <c r="L222">
        <v>6.7739461408999997</v>
      </c>
      <c r="M222">
        <v>6.5736591469999999</v>
      </c>
      <c r="N222">
        <v>6.3813467913000004</v>
      </c>
      <c r="O222">
        <v>6.2446245195000003</v>
      </c>
      <c r="P222">
        <v>6.3795881185000001</v>
      </c>
      <c r="Q222">
        <v>6.4756106137999998</v>
      </c>
      <c r="R222">
        <v>6.9581944741999999</v>
      </c>
      <c r="S222">
        <v>7.4027120711999999</v>
      </c>
      <c r="T222">
        <v>7.5213920140999999</v>
      </c>
      <c r="U222">
        <v>7.5023619499</v>
      </c>
      <c r="V222">
        <v>7.3592112963999998</v>
      </c>
      <c r="W222">
        <v>8.1371236364000001</v>
      </c>
      <c r="X222">
        <v>8.6157628612000003</v>
      </c>
      <c r="Y222">
        <v>9.4085763683000003</v>
      </c>
      <c r="Z222">
        <v>9.7392299375999993</v>
      </c>
      <c r="AA222">
        <v>10.4383031594</v>
      </c>
      <c r="AB222">
        <v>10.498213098300001</v>
      </c>
    </row>
    <row r="223" spans="1:28" hidden="1" x14ac:dyDescent="0.25">
      <c r="A223" t="s">
        <v>74</v>
      </c>
      <c r="B223" t="s">
        <v>79</v>
      </c>
      <c r="C223">
        <v>110</v>
      </c>
      <c r="D223" t="s">
        <v>4</v>
      </c>
      <c r="E223">
        <v>0.33533152500000002</v>
      </c>
      <c r="F223">
        <v>0.32975586000000001</v>
      </c>
      <c r="G223">
        <v>0.32048460000000001</v>
      </c>
      <c r="H223">
        <v>0.31255173000000003</v>
      </c>
      <c r="I223">
        <v>0.30511349999999998</v>
      </c>
      <c r="J223">
        <v>0.29333083500000001</v>
      </c>
      <c r="K223">
        <v>0.27364391999999998</v>
      </c>
      <c r="L223">
        <v>0.25824096000000002</v>
      </c>
      <c r="M223">
        <v>0.231517005</v>
      </c>
      <c r="N223">
        <v>0.22111947000000001</v>
      </c>
      <c r="O223">
        <v>0.215727375</v>
      </c>
      <c r="P223">
        <v>0.22363152</v>
      </c>
      <c r="Q223">
        <v>0.23853316499999999</v>
      </c>
      <c r="R223">
        <v>0.24245121</v>
      </c>
      <c r="S223">
        <v>0.25354270499999998</v>
      </c>
      <c r="T223">
        <v>0.26007933</v>
      </c>
      <c r="U223">
        <v>0.26214408</v>
      </c>
      <c r="V223">
        <v>0.26783581499999998</v>
      </c>
      <c r="W223">
        <v>0.301934115</v>
      </c>
      <c r="X223">
        <v>0.31489792500000002</v>
      </c>
      <c r="Y223">
        <v>0.32441969999999998</v>
      </c>
      <c r="Z223">
        <v>0.31360211999999998</v>
      </c>
      <c r="AA223">
        <v>0.32878615500000002</v>
      </c>
      <c r="AB223">
        <v>0.33154839000000003</v>
      </c>
    </row>
    <row r="224" spans="1:28" hidden="1" x14ac:dyDescent="0.25">
      <c r="A224" t="s">
        <v>74</v>
      </c>
      <c r="B224" t="s">
        <v>80</v>
      </c>
      <c r="C224">
        <v>115</v>
      </c>
      <c r="D224" t="s">
        <v>2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</row>
    <row r="225" spans="1:28" hidden="1" x14ac:dyDescent="0.25">
      <c r="A225" t="s">
        <v>74</v>
      </c>
      <c r="B225" t="s">
        <v>80</v>
      </c>
      <c r="C225">
        <v>115</v>
      </c>
      <c r="D225" t="s">
        <v>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</row>
    <row r="226" spans="1:28" hidden="1" x14ac:dyDescent="0.25">
      <c r="A226" t="s">
        <v>74</v>
      </c>
      <c r="B226" t="s">
        <v>80</v>
      </c>
      <c r="C226">
        <v>115</v>
      </c>
      <c r="D226" t="s">
        <v>4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</row>
    <row r="227" spans="1:28" hidden="1" x14ac:dyDescent="0.25">
      <c r="A227" t="s">
        <v>74</v>
      </c>
      <c r="B227" t="s">
        <v>81</v>
      </c>
      <c r="C227">
        <v>110</v>
      </c>
      <c r="D227" t="s">
        <v>2</v>
      </c>
      <c r="E227">
        <v>43.443621999999998</v>
      </c>
      <c r="F227">
        <v>41.696512724999998</v>
      </c>
      <c r="G227">
        <v>40.086696689999997</v>
      </c>
      <c r="H227">
        <v>38.695408815</v>
      </c>
      <c r="I227">
        <v>37.592919000000002</v>
      </c>
      <c r="J227">
        <v>36.860483834999997</v>
      </c>
      <c r="K227">
        <v>34.464726450000001</v>
      </c>
      <c r="L227">
        <v>36.539455590000003</v>
      </c>
      <c r="M227">
        <v>39.968296735000003</v>
      </c>
      <c r="N227">
        <v>41.414132924999997</v>
      </c>
      <c r="O227">
        <v>42.279827754999999</v>
      </c>
      <c r="P227">
        <v>43.192795689999997</v>
      </c>
      <c r="Q227">
        <v>42.566265755000003</v>
      </c>
      <c r="R227">
        <v>43.401451195</v>
      </c>
      <c r="S227">
        <v>44.337440549999997</v>
      </c>
      <c r="T227">
        <v>44.301429935000002</v>
      </c>
      <c r="U227">
        <v>43.590841085000001</v>
      </c>
      <c r="V227">
        <v>41.997992660000001</v>
      </c>
      <c r="W227">
        <v>45.048641085</v>
      </c>
      <c r="X227">
        <v>45.352438724999999</v>
      </c>
      <c r="Y227">
        <v>45.5336541</v>
      </c>
      <c r="Z227">
        <v>43.168280025000001</v>
      </c>
      <c r="AA227">
        <v>43.586788794999997</v>
      </c>
      <c r="AB227">
        <v>43.482497979999998</v>
      </c>
    </row>
    <row r="228" spans="1:28" hidden="1" x14ac:dyDescent="0.25">
      <c r="A228" t="s">
        <v>74</v>
      </c>
      <c r="B228" t="s">
        <v>81</v>
      </c>
      <c r="C228">
        <v>110</v>
      </c>
      <c r="D228" t="s">
        <v>3</v>
      </c>
      <c r="E228">
        <v>11.7920669055</v>
      </c>
      <c r="F228">
        <v>11.722314209</v>
      </c>
      <c r="G228">
        <v>11.585949769799999</v>
      </c>
      <c r="H228">
        <v>11.504979882400001</v>
      </c>
      <c r="I228">
        <v>11.3810907732</v>
      </c>
      <c r="J228">
        <v>11.386763090800001</v>
      </c>
      <c r="K228">
        <v>11.962640461199999</v>
      </c>
      <c r="L228">
        <v>12.804739380199999</v>
      </c>
      <c r="M228">
        <v>13.4422241092</v>
      </c>
      <c r="N228">
        <v>13.748359972099999</v>
      </c>
      <c r="O228">
        <v>13.910205450699999</v>
      </c>
      <c r="P228">
        <v>13.8504425836</v>
      </c>
      <c r="Q228">
        <v>13.258040771899999</v>
      </c>
      <c r="R228">
        <v>13.5149721915</v>
      </c>
      <c r="S228">
        <v>14.134045251</v>
      </c>
      <c r="T228">
        <v>14.2746248873</v>
      </c>
      <c r="U228">
        <v>13.9765079861</v>
      </c>
      <c r="V228">
        <v>12.9987393775</v>
      </c>
      <c r="W228">
        <v>12.5421152013</v>
      </c>
      <c r="X228">
        <v>12.0647217282</v>
      </c>
      <c r="Y228">
        <v>12.0044366379</v>
      </c>
      <c r="Z228">
        <v>11.2699227151</v>
      </c>
      <c r="AA228">
        <v>11.5586661705</v>
      </c>
      <c r="AB228">
        <v>11.788354504799999</v>
      </c>
    </row>
    <row r="229" spans="1:28" hidden="1" x14ac:dyDescent="0.25">
      <c r="A229" t="s">
        <v>74</v>
      </c>
      <c r="B229" t="s">
        <v>81</v>
      </c>
      <c r="C229">
        <v>110</v>
      </c>
      <c r="D229" t="s">
        <v>4</v>
      </c>
      <c r="E229">
        <v>0.661578</v>
      </c>
      <c r="F229">
        <v>0.63497227499999997</v>
      </c>
      <c r="G229">
        <v>0.61045731000000003</v>
      </c>
      <c r="H229">
        <v>0.58927018499999995</v>
      </c>
      <c r="I229">
        <v>0.57248100000000002</v>
      </c>
      <c r="J229">
        <v>0.56132716500000002</v>
      </c>
      <c r="K229">
        <v>0.52484355000000005</v>
      </c>
      <c r="L229">
        <v>0.55643841000000005</v>
      </c>
      <c r="M229">
        <v>0.60865426499999997</v>
      </c>
      <c r="N229">
        <v>0.630672075</v>
      </c>
      <c r="O229">
        <v>0.64385524500000002</v>
      </c>
      <c r="P229">
        <v>0.65775830999999996</v>
      </c>
      <c r="Q229">
        <v>0.648217245</v>
      </c>
      <c r="R229">
        <v>0.66093580500000004</v>
      </c>
      <c r="S229">
        <v>0.67518944999999997</v>
      </c>
      <c r="T229">
        <v>0.67464106499999998</v>
      </c>
      <c r="U229">
        <v>0.66381991500000004</v>
      </c>
      <c r="V229">
        <v>0.63956334000000004</v>
      </c>
      <c r="W229">
        <v>0.68601991500000004</v>
      </c>
      <c r="X229">
        <v>0.69064627499999998</v>
      </c>
      <c r="Y229">
        <v>0.69340590000000002</v>
      </c>
      <c r="Z229">
        <v>0.65738497500000004</v>
      </c>
      <c r="AA229">
        <v>0.66375820500000005</v>
      </c>
      <c r="AB229">
        <v>0.66217002000000003</v>
      </c>
    </row>
    <row r="230" spans="1:28" hidden="1" x14ac:dyDescent="0.25">
      <c r="A230" t="s">
        <v>74</v>
      </c>
      <c r="B230" t="s">
        <v>82</v>
      </c>
      <c r="C230">
        <v>110</v>
      </c>
      <c r="D230" t="s">
        <v>2</v>
      </c>
      <c r="E230">
        <v>69.685711275000003</v>
      </c>
      <c r="F230">
        <v>68.18475153</v>
      </c>
      <c r="G230">
        <v>66.342690224999998</v>
      </c>
      <c r="H230">
        <v>64.895059364999995</v>
      </c>
      <c r="I230">
        <v>63.37780575</v>
      </c>
      <c r="J230">
        <v>61.080033210000003</v>
      </c>
      <c r="K230">
        <v>58.6962288</v>
      </c>
      <c r="L230">
        <v>57.749659559999998</v>
      </c>
      <c r="M230">
        <v>57.666362049999996</v>
      </c>
      <c r="N230">
        <v>56.499508395100001</v>
      </c>
      <c r="O230">
        <v>56.206979154999999</v>
      </c>
      <c r="P230">
        <v>57.077426610000003</v>
      </c>
      <c r="Q230">
        <v>53.669029139999999</v>
      </c>
      <c r="R230">
        <v>56.142342470000003</v>
      </c>
      <c r="S230">
        <v>58.920466019999999</v>
      </c>
      <c r="T230">
        <v>58.965322919999998</v>
      </c>
      <c r="U230">
        <v>58.688362589999997</v>
      </c>
      <c r="V230">
        <v>59.950103265000003</v>
      </c>
      <c r="W230">
        <v>67.569069400000004</v>
      </c>
      <c r="X230">
        <v>68.509271600000005</v>
      </c>
      <c r="Y230">
        <v>69.098262199999994</v>
      </c>
      <c r="Z230">
        <v>65.462399665000007</v>
      </c>
      <c r="AA230">
        <v>67.522350849999995</v>
      </c>
      <c r="AB230">
        <v>68.776288355000005</v>
      </c>
    </row>
    <row r="231" spans="1:28" hidden="1" x14ac:dyDescent="0.25">
      <c r="A231" t="s">
        <v>74</v>
      </c>
      <c r="B231" t="s">
        <v>82</v>
      </c>
      <c r="C231">
        <v>110</v>
      </c>
      <c r="D231" t="s">
        <v>3</v>
      </c>
      <c r="E231">
        <v>33.463615858899999</v>
      </c>
      <c r="F231">
        <v>32.537093023899999</v>
      </c>
      <c r="G231">
        <v>31.775240366399998</v>
      </c>
      <c r="H231">
        <v>30.795024038099999</v>
      </c>
      <c r="I231">
        <v>29.755490165499999</v>
      </c>
      <c r="J231">
        <v>27.7612433454</v>
      </c>
      <c r="K231">
        <v>26.6812125929</v>
      </c>
      <c r="L231">
        <v>27.151240826900001</v>
      </c>
      <c r="M231">
        <v>27.732801699700001</v>
      </c>
      <c r="N231">
        <v>27.565273535100001</v>
      </c>
      <c r="O231">
        <v>27.633280493099999</v>
      </c>
      <c r="P231">
        <v>27.365194604500001</v>
      </c>
      <c r="Q231">
        <v>27.228975837299998</v>
      </c>
      <c r="R231">
        <v>29.7436011339</v>
      </c>
      <c r="S231">
        <v>31.3989869165</v>
      </c>
      <c r="T231">
        <v>31.541945730199998</v>
      </c>
      <c r="U231">
        <v>30.896371026499999</v>
      </c>
      <c r="V231">
        <v>28.8208744332</v>
      </c>
      <c r="W231">
        <v>30.6671867361</v>
      </c>
      <c r="X231">
        <v>32.196152829299997</v>
      </c>
      <c r="Y231">
        <v>34.1556169666</v>
      </c>
      <c r="Z231">
        <v>34.178570772299999</v>
      </c>
      <c r="AA231">
        <v>35.600677146400002</v>
      </c>
      <c r="AB231">
        <v>35.400664451099999</v>
      </c>
    </row>
    <row r="232" spans="1:28" hidden="1" x14ac:dyDescent="0.25">
      <c r="A232" t="s">
        <v>74</v>
      </c>
      <c r="B232" t="s">
        <v>82</v>
      </c>
      <c r="C232">
        <v>110</v>
      </c>
      <c r="D232" t="s">
        <v>4</v>
      </c>
      <c r="E232">
        <v>1.0612037249999999</v>
      </c>
      <c r="F232">
        <v>1.03834647</v>
      </c>
      <c r="G232">
        <v>1.010294775</v>
      </c>
      <c r="H232">
        <v>0.98824963499999996</v>
      </c>
      <c r="I232">
        <v>0.96514425000000004</v>
      </c>
      <c r="J232">
        <v>0.93015278999999995</v>
      </c>
      <c r="K232">
        <v>0.89385119999999996</v>
      </c>
      <c r="L232">
        <v>0.87943643999999999</v>
      </c>
      <c r="M232">
        <v>0.87816795000000003</v>
      </c>
      <c r="N232">
        <v>0.86039860489999997</v>
      </c>
      <c r="O232">
        <v>0.85594384499999998</v>
      </c>
      <c r="P232">
        <v>0.86919939000000002</v>
      </c>
      <c r="Q232">
        <v>0.81729485999999996</v>
      </c>
      <c r="R232">
        <v>0.85495953000000002</v>
      </c>
      <c r="S232">
        <v>0.89726598000000002</v>
      </c>
      <c r="T232">
        <v>0.89794907999999996</v>
      </c>
      <c r="U232">
        <v>0.89373141</v>
      </c>
      <c r="V232">
        <v>0.91294573499999998</v>
      </c>
      <c r="W232">
        <v>1.0289706000000001</v>
      </c>
      <c r="X232">
        <v>1.0432884</v>
      </c>
      <c r="Y232">
        <v>1.0522578</v>
      </c>
      <c r="Z232">
        <v>0.99688933499999999</v>
      </c>
      <c r="AA232">
        <v>1.02825915</v>
      </c>
      <c r="AB232">
        <v>1.047354645</v>
      </c>
    </row>
    <row r="233" spans="1:28" hidden="1" x14ac:dyDescent="0.25">
      <c r="A233" t="s">
        <v>74</v>
      </c>
      <c r="B233" t="s">
        <v>83</v>
      </c>
      <c r="C233">
        <v>34</v>
      </c>
      <c r="D233" t="s">
        <v>2</v>
      </c>
      <c r="E233">
        <v>26.610732649999999</v>
      </c>
      <c r="F233">
        <v>26.465131769999999</v>
      </c>
      <c r="G233">
        <v>25.969715910000001</v>
      </c>
      <c r="H233">
        <v>25.447900529999998</v>
      </c>
      <c r="I233">
        <v>25.276958400000002</v>
      </c>
      <c r="J233">
        <v>24.640264949999999</v>
      </c>
      <c r="K233">
        <v>24.52164462</v>
      </c>
      <c r="L233">
        <v>26.233108739999999</v>
      </c>
      <c r="M233">
        <v>28.792725340000001</v>
      </c>
      <c r="N233">
        <v>30.095609939999999</v>
      </c>
      <c r="O233">
        <v>30.690814549999999</v>
      </c>
      <c r="P233">
        <v>30.173440800000002</v>
      </c>
      <c r="Q233">
        <v>29.37548194</v>
      </c>
      <c r="R233">
        <v>29.260242059999999</v>
      </c>
      <c r="S233">
        <v>29.025395360000001</v>
      </c>
      <c r="T233">
        <v>28.992091380000002</v>
      </c>
      <c r="U233">
        <v>28.287930549999999</v>
      </c>
      <c r="V233">
        <v>27.163024459999999</v>
      </c>
      <c r="W233">
        <v>28.110891970000001</v>
      </c>
      <c r="X233">
        <v>27.161629600000001</v>
      </c>
      <c r="Y233">
        <v>26.648325</v>
      </c>
      <c r="Z233">
        <v>24.71389765</v>
      </c>
      <c r="AA233">
        <v>24.6805539</v>
      </c>
      <c r="AB233">
        <v>24.676375140000001</v>
      </c>
    </row>
    <row r="234" spans="1:28" hidden="1" x14ac:dyDescent="0.25">
      <c r="A234" t="s">
        <v>74</v>
      </c>
      <c r="B234" t="s">
        <v>83</v>
      </c>
      <c r="C234">
        <v>34</v>
      </c>
      <c r="D234" t="s">
        <v>3</v>
      </c>
      <c r="E234">
        <v>10.7913730168</v>
      </c>
      <c r="F234">
        <v>10.8133368898</v>
      </c>
      <c r="G234">
        <v>10.719567298299999</v>
      </c>
      <c r="H234">
        <v>10.6519116266</v>
      </c>
      <c r="I234">
        <v>10.5795897511</v>
      </c>
      <c r="J234">
        <v>10.5752883982</v>
      </c>
      <c r="K234">
        <v>11.151669937599999</v>
      </c>
      <c r="L234">
        <v>12.3125164418</v>
      </c>
      <c r="M234">
        <v>13.4352071921</v>
      </c>
      <c r="N234">
        <v>13.723357867300001</v>
      </c>
      <c r="O234">
        <v>13.9169234848</v>
      </c>
      <c r="P234">
        <v>13.826410920700001</v>
      </c>
      <c r="Q234">
        <v>12.698257691</v>
      </c>
      <c r="R234">
        <v>13.8281159802</v>
      </c>
      <c r="S234">
        <v>14.394640062600001</v>
      </c>
      <c r="T234">
        <v>14.283684488600001</v>
      </c>
      <c r="U234">
        <v>13.5720173948</v>
      </c>
      <c r="V234">
        <v>12.017251701399999</v>
      </c>
      <c r="W234">
        <v>11.5688637468</v>
      </c>
      <c r="X234">
        <v>11.2780988864</v>
      </c>
      <c r="Y234">
        <v>11.1137868517</v>
      </c>
      <c r="Z234">
        <v>10.6150513287</v>
      </c>
      <c r="AA234">
        <v>10.7571586624</v>
      </c>
      <c r="AB234">
        <v>10.7817776502</v>
      </c>
    </row>
    <row r="235" spans="1:28" hidden="1" x14ac:dyDescent="0.25">
      <c r="A235" t="s">
        <v>74</v>
      </c>
      <c r="B235" t="s">
        <v>83</v>
      </c>
      <c r="C235">
        <v>34</v>
      </c>
      <c r="D235" t="s">
        <v>4</v>
      </c>
      <c r="E235">
        <v>0.82301234999999995</v>
      </c>
      <c r="F235">
        <v>0.81850922999999998</v>
      </c>
      <c r="G235">
        <v>0.80318708999999999</v>
      </c>
      <c r="H235">
        <v>0.78704847</v>
      </c>
      <c r="I235">
        <v>0.78176159999999995</v>
      </c>
      <c r="J235">
        <v>0.76207005000000005</v>
      </c>
      <c r="K235">
        <v>0.75840138000000001</v>
      </c>
      <c r="L235">
        <v>0.81133325999999995</v>
      </c>
      <c r="M235">
        <v>0.89049666000000005</v>
      </c>
      <c r="N235">
        <v>0.93079206000000003</v>
      </c>
      <c r="O235">
        <v>0.94920044999999997</v>
      </c>
      <c r="P235">
        <v>0.93319920000000001</v>
      </c>
      <c r="Q235">
        <v>0.90852005999999996</v>
      </c>
      <c r="R235">
        <v>0.90495594000000001</v>
      </c>
      <c r="S235">
        <v>0.89769264000000004</v>
      </c>
      <c r="T235">
        <v>0.89666261999999997</v>
      </c>
      <c r="U235">
        <v>0.87488445000000004</v>
      </c>
      <c r="V235">
        <v>0.84009354000000003</v>
      </c>
      <c r="W235">
        <v>0.86940903000000003</v>
      </c>
      <c r="X235">
        <v>0.84005039999999997</v>
      </c>
      <c r="Y235">
        <v>0.82417499999999999</v>
      </c>
      <c r="Z235">
        <v>0.76434734999999998</v>
      </c>
      <c r="AA235">
        <v>0.76331610000000005</v>
      </c>
      <c r="AB235">
        <v>0.76318686000000002</v>
      </c>
    </row>
    <row r="236" spans="1:28" hidden="1" x14ac:dyDescent="0.25">
      <c r="A236" t="s">
        <v>74</v>
      </c>
      <c r="B236" t="s">
        <v>84</v>
      </c>
      <c r="C236">
        <v>34</v>
      </c>
      <c r="D236" t="s">
        <v>2</v>
      </c>
      <c r="E236">
        <v>11.0118571</v>
      </c>
      <c r="F236">
        <v>10.983870659999999</v>
      </c>
      <c r="G236">
        <v>10.82367225</v>
      </c>
      <c r="H236">
        <v>10.714541430000001</v>
      </c>
      <c r="I236">
        <v>10.645071</v>
      </c>
      <c r="J236">
        <v>10.62590865</v>
      </c>
      <c r="K236">
        <v>10.9330155</v>
      </c>
      <c r="L236">
        <v>12.015552960000001</v>
      </c>
      <c r="M236">
        <v>14.239525309999999</v>
      </c>
      <c r="N236">
        <v>15.505003800000001</v>
      </c>
      <c r="O236">
        <v>15.30170732</v>
      </c>
      <c r="P236">
        <v>14.73333776</v>
      </c>
      <c r="Q236">
        <v>14.41959417</v>
      </c>
      <c r="R236">
        <v>13.89286574</v>
      </c>
      <c r="S236">
        <v>13.133163679999999</v>
      </c>
      <c r="T236">
        <v>12.95701071</v>
      </c>
      <c r="U236">
        <v>13.004830739999999</v>
      </c>
      <c r="V236">
        <v>12.657224449999999</v>
      </c>
      <c r="W236">
        <v>11.575524100000001</v>
      </c>
      <c r="X236">
        <v>10.36554125</v>
      </c>
      <c r="Y236">
        <v>10.0987282</v>
      </c>
      <c r="Z236">
        <v>9.3471624999999996</v>
      </c>
      <c r="AA236">
        <v>9.3287965199999991</v>
      </c>
      <c r="AB236">
        <v>9.4465419100000005</v>
      </c>
    </row>
    <row r="237" spans="1:28" hidden="1" x14ac:dyDescent="0.25">
      <c r="A237" t="s">
        <v>74</v>
      </c>
      <c r="B237" t="s">
        <v>84</v>
      </c>
      <c r="C237">
        <v>34</v>
      </c>
      <c r="D237" t="s">
        <v>3</v>
      </c>
      <c r="E237">
        <v>4.24010321</v>
      </c>
      <c r="F237">
        <v>4.3711014489000002</v>
      </c>
      <c r="G237">
        <v>4.2808525587000004</v>
      </c>
      <c r="H237">
        <v>4.3207618001999997</v>
      </c>
      <c r="I237">
        <v>4.3596232968999997</v>
      </c>
      <c r="J237">
        <v>4.5099444857000002</v>
      </c>
      <c r="K237">
        <v>5.0161976196999998</v>
      </c>
      <c r="L237">
        <v>5.6111722517000002</v>
      </c>
      <c r="M237">
        <v>6.1741027413999996</v>
      </c>
      <c r="N237">
        <v>6.6107117237999997</v>
      </c>
      <c r="O237">
        <v>6.6538314318999996</v>
      </c>
      <c r="P237">
        <v>6.5029581884000001</v>
      </c>
      <c r="Q237">
        <v>6.0886906762999997</v>
      </c>
      <c r="R237">
        <v>6.4269384083999999</v>
      </c>
      <c r="S237">
        <v>6.4998998416999996</v>
      </c>
      <c r="T237">
        <v>6.4903505620999997</v>
      </c>
      <c r="U237">
        <v>5.9580854319999998</v>
      </c>
      <c r="V237">
        <v>5.2972553614000004</v>
      </c>
      <c r="W237">
        <v>4.9979103556000002</v>
      </c>
      <c r="X237">
        <v>4.7075731021999996</v>
      </c>
      <c r="Y237">
        <v>4.5769666859000004</v>
      </c>
      <c r="Z237">
        <v>4.1958497421000001</v>
      </c>
      <c r="AA237">
        <v>4.1420473843999996</v>
      </c>
      <c r="AB237">
        <v>4.1985061562999997</v>
      </c>
    </row>
    <row r="238" spans="1:28" hidden="1" x14ac:dyDescent="0.25">
      <c r="A238" t="s">
        <v>74</v>
      </c>
      <c r="B238" t="s">
        <v>84</v>
      </c>
      <c r="C238">
        <v>34</v>
      </c>
      <c r="D238" t="s">
        <v>4</v>
      </c>
      <c r="E238">
        <v>0.34057290000000001</v>
      </c>
      <c r="F238">
        <v>0.33970734000000002</v>
      </c>
      <c r="G238">
        <v>0.33475274999999999</v>
      </c>
      <c r="H238">
        <v>0.33137757000000001</v>
      </c>
      <c r="I238">
        <v>0.32922899999999999</v>
      </c>
      <c r="J238">
        <v>0.32863635000000002</v>
      </c>
      <c r="K238">
        <v>0.3381345</v>
      </c>
      <c r="L238">
        <v>0.37161504000000001</v>
      </c>
      <c r="M238">
        <v>0.44039769000000001</v>
      </c>
      <c r="N238">
        <v>0.47953620000000002</v>
      </c>
      <c r="O238">
        <v>0.47324867999999998</v>
      </c>
      <c r="P238">
        <v>0.45567024</v>
      </c>
      <c r="Q238">
        <v>0.44596682999999998</v>
      </c>
      <c r="R238">
        <v>0.42967625999999998</v>
      </c>
      <c r="S238">
        <v>0.40618031999999998</v>
      </c>
      <c r="T238">
        <v>0.40073228999999999</v>
      </c>
      <c r="U238">
        <v>0.40221126000000001</v>
      </c>
      <c r="V238">
        <v>0.39146055000000002</v>
      </c>
      <c r="W238">
        <v>0.35800589999999999</v>
      </c>
      <c r="X238">
        <v>0.32058375</v>
      </c>
      <c r="Y238">
        <v>0.31233179999999999</v>
      </c>
      <c r="Z238">
        <v>0.2890875</v>
      </c>
      <c r="AA238">
        <v>0.28851947999999999</v>
      </c>
      <c r="AB238">
        <v>0.29216109000000001</v>
      </c>
    </row>
    <row r="239" spans="1:28" hidden="1" x14ac:dyDescent="0.25">
      <c r="A239" t="s">
        <v>74</v>
      </c>
      <c r="B239" t="s">
        <v>85</v>
      </c>
      <c r="C239">
        <v>34</v>
      </c>
      <c r="D239" t="s">
        <v>2</v>
      </c>
      <c r="E239">
        <v>7.7052871500000002</v>
      </c>
      <c r="F239">
        <v>7.3055171699999999</v>
      </c>
      <c r="G239">
        <v>6.9129552600000004</v>
      </c>
      <c r="H239">
        <v>6.7856456700000001</v>
      </c>
      <c r="I239">
        <v>6.7531787999999997</v>
      </c>
      <c r="J239">
        <v>6.4676583299999999</v>
      </c>
      <c r="K239">
        <v>6.4013597999999998</v>
      </c>
      <c r="L239">
        <v>6.4023550199999999</v>
      </c>
      <c r="M239">
        <v>7.0380765299999997</v>
      </c>
      <c r="N239">
        <v>7.2224162999999999</v>
      </c>
      <c r="O239">
        <v>6.9314851700000002</v>
      </c>
      <c r="P239">
        <v>6.82300328</v>
      </c>
      <c r="Q239">
        <v>6.6232259600000001</v>
      </c>
      <c r="R239">
        <v>6.61500618</v>
      </c>
      <c r="S239">
        <v>6.7942049500000001</v>
      </c>
      <c r="T239">
        <v>6.2670613599999996</v>
      </c>
      <c r="U239">
        <v>5.8584061800000002</v>
      </c>
      <c r="V239">
        <v>5.8078381400000003</v>
      </c>
      <c r="W239">
        <v>6.5850166899999998</v>
      </c>
      <c r="X239">
        <v>6.9468683999999996</v>
      </c>
      <c r="Y239">
        <v>7.1299073999999996</v>
      </c>
      <c r="Z239">
        <v>6.8421229500000003</v>
      </c>
      <c r="AA239">
        <v>7.0871682299999996</v>
      </c>
      <c r="AB239">
        <v>7.1317271199999999</v>
      </c>
    </row>
    <row r="240" spans="1:28" hidden="1" x14ac:dyDescent="0.25">
      <c r="A240" t="s">
        <v>74</v>
      </c>
      <c r="B240" t="s">
        <v>85</v>
      </c>
      <c r="C240">
        <v>34</v>
      </c>
      <c r="D240" t="s">
        <v>3</v>
      </c>
      <c r="E240">
        <v>3.1392472302000001</v>
      </c>
      <c r="F240">
        <v>3.0838780365999998</v>
      </c>
      <c r="G240">
        <v>2.9721391486000002</v>
      </c>
      <c r="H240">
        <v>2.9521027581000001</v>
      </c>
      <c r="I240">
        <v>2.9516512372000001</v>
      </c>
      <c r="J240">
        <v>2.7301926761000002</v>
      </c>
      <c r="K240">
        <v>1.6964903412000001</v>
      </c>
      <c r="L240">
        <v>3.1925328849999999</v>
      </c>
      <c r="M240">
        <v>4.0702918739999996</v>
      </c>
      <c r="N240">
        <v>4.1946024087999998</v>
      </c>
      <c r="O240">
        <v>3.8163610239999999</v>
      </c>
      <c r="P240">
        <v>3.8242936079000001</v>
      </c>
      <c r="Q240">
        <v>3.2917286024000001</v>
      </c>
      <c r="R240">
        <v>3.7173087919999999</v>
      </c>
      <c r="S240">
        <v>3.6743250022999998</v>
      </c>
      <c r="T240">
        <v>2.8653883793000001</v>
      </c>
      <c r="U240">
        <v>2.3781016417999998</v>
      </c>
      <c r="V240">
        <v>1.0834827118000001</v>
      </c>
      <c r="W240">
        <v>1.8810171417999999</v>
      </c>
      <c r="X240">
        <v>3.1883141080000001</v>
      </c>
      <c r="Y240">
        <v>3.2698374510999999</v>
      </c>
      <c r="Z240">
        <v>3.0990029454000001</v>
      </c>
      <c r="AA240">
        <v>3.2025345598000001</v>
      </c>
      <c r="AB240">
        <v>3.2795699512000001</v>
      </c>
    </row>
    <row r="241" spans="1:28" hidden="1" x14ac:dyDescent="0.25">
      <c r="A241" t="s">
        <v>74</v>
      </c>
      <c r="B241" t="s">
        <v>85</v>
      </c>
      <c r="C241">
        <v>34</v>
      </c>
      <c r="D241" t="s">
        <v>4</v>
      </c>
      <c r="E241">
        <v>0.23830784999999999</v>
      </c>
      <c r="F241">
        <v>0.22594383000000001</v>
      </c>
      <c r="G241">
        <v>0.21380273999999999</v>
      </c>
      <c r="H241">
        <v>0.20986532999999999</v>
      </c>
      <c r="I241">
        <v>0.2088612</v>
      </c>
      <c r="J241">
        <v>0.20003066999999999</v>
      </c>
      <c r="K241">
        <v>0.1979802</v>
      </c>
      <c r="L241">
        <v>0.19801098</v>
      </c>
      <c r="M241">
        <v>0.21767247000000001</v>
      </c>
      <c r="N241">
        <v>0.22337370000000001</v>
      </c>
      <c r="O241">
        <v>0.21437582999999999</v>
      </c>
      <c r="P241">
        <v>0.21102071999999999</v>
      </c>
      <c r="Q241">
        <v>0.20484204</v>
      </c>
      <c r="R241">
        <v>0.20458782</v>
      </c>
      <c r="S241">
        <v>0.21013005000000001</v>
      </c>
      <c r="T241">
        <v>0.19382663999999999</v>
      </c>
      <c r="U241">
        <v>0.18118782</v>
      </c>
      <c r="V241">
        <v>0.17962386</v>
      </c>
      <c r="W241">
        <v>0.20366031000000001</v>
      </c>
      <c r="X241">
        <v>0.2148516</v>
      </c>
      <c r="Y241">
        <v>0.2205126</v>
      </c>
      <c r="Z241">
        <v>0.21161205</v>
      </c>
      <c r="AA241">
        <v>0.21919077000000001</v>
      </c>
      <c r="AB241">
        <v>0.22056887999999999</v>
      </c>
    </row>
    <row r="242" spans="1:28" hidden="1" x14ac:dyDescent="0.25">
      <c r="A242" t="s">
        <v>74</v>
      </c>
      <c r="B242" t="s">
        <v>86</v>
      </c>
      <c r="C242">
        <v>14</v>
      </c>
      <c r="D242" t="s">
        <v>2</v>
      </c>
      <c r="E242">
        <v>6.2628607499999998</v>
      </c>
      <c r="F242">
        <v>6.1522009500000001</v>
      </c>
      <c r="G242">
        <v>6.1031097000000001</v>
      </c>
      <c r="H242">
        <v>6.1647495000000001</v>
      </c>
      <c r="I242">
        <v>6.0229334999999997</v>
      </c>
      <c r="J242">
        <v>5.6319248999999996</v>
      </c>
      <c r="K242">
        <v>5.5182897000000004</v>
      </c>
      <c r="L242">
        <v>5.4974619000000002</v>
      </c>
      <c r="M242">
        <v>5.4273271999999997</v>
      </c>
      <c r="N242">
        <v>5.2175178000000004</v>
      </c>
      <c r="O242">
        <v>5.3136511500000001</v>
      </c>
      <c r="P242">
        <v>5.2646587</v>
      </c>
      <c r="Q242">
        <v>5.0750928499999999</v>
      </c>
      <c r="R242">
        <v>4.9947599</v>
      </c>
      <c r="S242">
        <v>5.0598320499999998</v>
      </c>
      <c r="T242">
        <v>4.9836030999999998</v>
      </c>
      <c r="U242">
        <v>5.0322810999999996</v>
      </c>
      <c r="V242">
        <v>5.1408974499999998</v>
      </c>
      <c r="W242">
        <v>5.5107619000000003</v>
      </c>
      <c r="X242">
        <v>5.2942692500000001</v>
      </c>
      <c r="Y242">
        <v>5.0960470000000004</v>
      </c>
      <c r="Z242">
        <v>4.3575122500000001</v>
      </c>
      <c r="AA242">
        <v>4.4499538999999997</v>
      </c>
      <c r="AB242">
        <v>4.4901521999999998</v>
      </c>
    </row>
    <row r="243" spans="1:28" hidden="1" x14ac:dyDescent="0.25">
      <c r="A243" t="s">
        <v>74</v>
      </c>
      <c r="B243" t="s">
        <v>86</v>
      </c>
      <c r="C243">
        <v>14</v>
      </c>
      <c r="D243" t="s">
        <v>3</v>
      </c>
      <c r="E243">
        <v>2.4483608517</v>
      </c>
      <c r="F243">
        <v>2.4185185352</v>
      </c>
      <c r="G243">
        <v>2.4415620501999999</v>
      </c>
      <c r="H243">
        <v>2.4946210824000001</v>
      </c>
      <c r="I243">
        <v>2.4428359601</v>
      </c>
      <c r="J243">
        <v>2.3647600538</v>
      </c>
      <c r="K243">
        <v>2.3063017377000001</v>
      </c>
      <c r="L243">
        <v>2.5781822245999999</v>
      </c>
      <c r="M243">
        <v>2.6955445489000001</v>
      </c>
      <c r="N243">
        <v>2.7137816201999998</v>
      </c>
      <c r="O243">
        <v>2.7031124675</v>
      </c>
      <c r="P243">
        <v>2.7776289006999999</v>
      </c>
      <c r="Q243">
        <v>2.7001051547000001</v>
      </c>
      <c r="R243">
        <v>2.6442561996</v>
      </c>
      <c r="S243">
        <v>2.6958551599999998</v>
      </c>
      <c r="T243">
        <v>2.7729281422000001</v>
      </c>
      <c r="U243">
        <v>2.8237041710000002</v>
      </c>
      <c r="V243">
        <v>2.7035958401000002</v>
      </c>
      <c r="W243">
        <v>2.6794324533</v>
      </c>
      <c r="X243">
        <v>2.7045612204</v>
      </c>
      <c r="Y243">
        <v>2.6014634261</v>
      </c>
      <c r="Z243">
        <v>2.3625903911999999</v>
      </c>
      <c r="AA243">
        <v>2.3728586305000001</v>
      </c>
      <c r="AB243">
        <v>2.3489196854999999</v>
      </c>
    </row>
    <row r="244" spans="1:28" hidden="1" x14ac:dyDescent="0.25">
      <c r="A244" t="s">
        <v>74</v>
      </c>
      <c r="B244" t="s">
        <v>86</v>
      </c>
      <c r="C244">
        <v>14</v>
      </c>
      <c r="D244" t="s">
        <v>4</v>
      </c>
      <c r="E244">
        <v>0.32962425000000001</v>
      </c>
      <c r="F244">
        <v>0.32380005000000001</v>
      </c>
      <c r="G244">
        <v>0.32121630000000001</v>
      </c>
      <c r="H244">
        <v>0.32446049999999999</v>
      </c>
      <c r="I244">
        <v>0.31699650000000001</v>
      </c>
      <c r="J244">
        <v>0.29641709999999999</v>
      </c>
      <c r="K244">
        <v>0.29043629999999998</v>
      </c>
      <c r="L244">
        <v>0.28934009999999999</v>
      </c>
      <c r="M244">
        <v>0.28564879999999998</v>
      </c>
      <c r="N244">
        <v>0.27460620000000002</v>
      </c>
      <c r="O244">
        <v>0.27966584999999999</v>
      </c>
      <c r="P244">
        <v>0.27708729999999998</v>
      </c>
      <c r="Q244">
        <v>0.26711014999999999</v>
      </c>
      <c r="R244">
        <v>0.26288210000000001</v>
      </c>
      <c r="S244">
        <v>0.26630694999999999</v>
      </c>
      <c r="T244">
        <v>0.2622949</v>
      </c>
      <c r="U244">
        <v>0.26485690000000001</v>
      </c>
      <c r="V244">
        <v>0.27057355</v>
      </c>
      <c r="W244">
        <v>0.29004010000000002</v>
      </c>
      <c r="X244">
        <v>0.27864575000000003</v>
      </c>
      <c r="Y244">
        <v>0.26821299999999998</v>
      </c>
      <c r="Z244">
        <v>0.22934275000000001</v>
      </c>
      <c r="AA244">
        <v>0.2342081</v>
      </c>
      <c r="AB244">
        <v>0.2363238</v>
      </c>
    </row>
    <row r="245" spans="1:28" hidden="1" x14ac:dyDescent="0.25">
      <c r="A245" t="s">
        <v>74</v>
      </c>
      <c r="B245" t="s">
        <v>87</v>
      </c>
      <c r="C245">
        <v>34</v>
      </c>
      <c r="D245" t="s">
        <v>2</v>
      </c>
      <c r="E245">
        <v>45.101915400000003</v>
      </c>
      <c r="F245">
        <v>44.271872819999999</v>
      </c>
      <c r="G245">
        <v>42.875937090000001</v>
      </c>
      <c r="H245">
        <v>40.706956949999999</v>
      </c>
      <c r="I245">
        <v>41.475095099999997</v>
      </c>
      <c r="J245">
        <v>40.562679150000001</v>
      </c>
      <c r="K245">
        <v>38.680691940000003</v>
      </c>
      <c r="L245">
        <v>38.821437000000003</v>
      </c>
      <c r="M245">
        <v>40.261457290000003</v>
      </c>
      <c r="N245">
        <v>40.266627389999996</v>
      </c>
      <c r="O245">
        <v>40.042604920000002</v>
      </c>
      <c r="P245">
        <v>39.32741034</v>
      </c>
      <c r="Q245">
        <v>39.417579600000003</v>
      </c>
      <c r="R245">
        <v>40.948105740000003</v>
      </c>
      <c r="S245">
        <v>42.02750331</v>
      </c>
      <c r="T245">
        <v>42.233338279999998</v>
      </c>
      <c r="U245">
        <v>42.961645320000002</v>
      </c>
      <c r="V245">
        <v>43.434627990000003</v>
      </c>
      <c r="W245">
        <v>47.245003330000003</v>
      </c>
      <c r="X245">
        <v>48.50291</v>
      </c>
      <c r="Y245">
        <v>50.106746800000003</v>
      </c>
      <c r="Z245">
        <v>47.88738292</v>
      </c>
      <c r="AA245">
        <v>47.979902490000001</v>
      </c>
      <c r="AB245">
        <v>46.963022389999999</v>
      </c>
    </row>
    <row r="246" spans="1:28" hidden="1" x14ac:dyDescent="0.25">
      <c r="A246" t="s">
        <v>74</v>
      </c>
      <c r="B246" t="s">
        <v>87</v>
      </c>
      <c r="C246">
        <v>34</v>
      </c>
      <c r="D246" t="s">
        <v>3</v>
      </c>
      <c r="E246">
        <v>12.991401314200001</v>
      </c>
      <c r="F246">
        <v>12.675918486300001</v>
      </c>
      <c r="G246">
        <v>12.492183560699999</v>
      </c>
      <c r="H246">
        <v>12.2037909663</v>
      </c>
      <c r="I246">
        <v>12.146649436100001</v>
      </c>
      <c r="J246">
        <v>12.2066543669</v>
      </c>
      <c r="K246">
        <v>12.339182925599999</v>
      </c>
      <c r="L246">
        <v>13.2869100346</v>
      </c>
      <c r="M246">
        <v>13.9911767203</v>
      </c>
      <c r="N246">
        <v>14.3068247007</v>
      </c>
      <c r="O246">
        <v>14.5574213306</v>
      </c>
      <c r="P246">
        <v>14.684989532399999</v>
      </c>
      <c r="Q246">
        <v>14.6273196495</v>
      </c>
      <c r="R246">
        <v>15.0852183942</v>
      </c>
      <c r="S246">
        <v>15.509086724699999</v>
      </c>
      <c r="T246">
        <v>15.303424422699999</v>
      </c>
      <c r="U246">
        <v>14.6979954659</v>
      </c>
      <c r="V246">
        <v>14.0000169861</v>
      </c>
      <c r="W246">
        <v>14.5648678441</v>
      </c>
      <c r="X246">
        <v>14.594297451499999</v>
      </c>
      <c r="Y246">
        <v>14.865258539699999</v>
      </c>
      <c r="Z246">
        <v>14.096598571199999</v>
      </c>
      <c r="AA246">
        <v>13.951323524899999</v>
      </c>
      <c r="AB246">
        <v>13.726643129299999</v>
      </c>
    </row>
    <row r="247" spans="1:28" hidden="1" x14ac:dyDescent="0.25">
      <c r="A247" t="s">
        <v>74</v>
      </c>
      <c r="B247" t="s">
        <v>87</v>
      </c>
      <c r="C247">
        <v>34</v>
      </c>
      <c r="D247" t="s">
        <v>4</v>
      </c>
      <c r="E247">
        <v>1.3949046000000001</v>
      </c>
      <c r="F247">
        <v>1.3692331799999999</v>
      </c>
      <c r="G247">
        <v>1.3260599099999999</v>
      </c>
      <c r="H247">
        <v>1.2589780500000001</v>
      </c>
      <c r="I247">
        <v>1.2827348999999999</v>
      </c>
      <c r="J247">
        <v>1.25451585</v>
      </c>
      <c r="K247">
        <v>1.1963100600000001</v>
      </c>
      <c r="L247">
        <v>1.200663</v>
      </c>
      <c r="M247">
        <v>1.2451997100000001</v>
      </c>
      <c r="N247">
        <v>1.24535961</v>
      </c>
      <c r="O247">
        <v>1.23843108</v>
      </c>
      <c r="P247">
        <v>1.2163116599999999</v>
      </c>
      <c r="Q247">
        <v>1.2191004000000001</v>
      </c>
      <c r="R247">
        <v>1.2664362600000001</v>
      </c>
      <c r="S247">
        <v>1.2998196900000001</v>
      </c>
      <c r="T247">
        <v>1.30618572</v>
      </c>
      <c r="U247">
        <v>1.3287106799999999</v>
      </c>
      <c r="V247">
        <v>1.34333901</v>
      </c>
      <c r="W247">
        <v>1.4611856700000001</v>
      </c>
      <c r="X247">
        <v>1.5000899999999999</v>
      </c>
      <c r="Y247">
        <v>1.5496932000000001</v>
      </c>
      <c r="Z247">
        <v>1.4810530799999999</v>
      </c>
      <c r="AA247">
        <v>1.48391451</v>
      </c>
      <c r="AB247">
        <v>1.45246461</v>
      </c>
    </row>
    <row r="248" spans="1:28" hidden="1" x14ac:dyDescent="0.25">
      <c r="A248" t="s">
        <v>74</v>
      </c>
      <c r="B248" t="s">
        <v>88</v>
      </c>
      <c r="C248">
        <v>34</v>
      </c>
      <c r="D248" t="s">
        <v>2</v>
      </c>
      <c r="E248">
        <v>22.016182149999999</v>
      </c>
      <c r="F248">
        <v>21.024386249999999</v>
      </c>
      <c r="G248">
        <v>20.781450719999999</v>
      </c>
      <c r="H248">
        <v>20.4053565</v>
      </c>
      <c r="I248">
        <v>19.927301700000001</v>
      </c>
      <c r="J248">
        <v>18.975306839999998</v>
      </c>
      <c r="K248">
        <v>17.803385819999999</v>
      </c>
      <c r="L248">
        <v>17.418733289999999</v>
      </c>
      <c r="M248">
        <v>17.526574979999999</v>
      </c>
      <c r="N248">
        <v>17.492824800000001</v>
      </c>
      <c r="O248">
        <v>17.4127513</v>
      </c>
      <c r="P248">
        <v>17.65554036</v>
      </c>
      <c r="Q248">
        <v>17.91220624</v>
      </c>
      <c r="R248">
        <v>17.924096500000001</v>
      </c>
      <c r="S248">
        <v>18.51334628</v>
      </c>
      <c r="T248">
        <v>18.905172929999999</v>
      </c>
      <c r="U248">
        <v>18.863236919999999</v>
      </c>
      <c r="V248">
        <v>17.878760639999999</v>
      </c>
      <c r="W248">
        <v>19.939031910000001</v>
      </c>
      <c r="X248">
        <v>21.33345735</v>
      </c>
      <c r="Y248">
        <v>22.345113999999999</v>
      </c>
      <c r="Z248">
        <v>21.50595148</v>
      </c>
      <c r="AA248">
        <v>21.88040543</v>
      </c>
      <c r="AB248">
        <v>21.80720341</v>
      </c>
    </row>
    <row r="249" spans="1:28" hidden="1" x14ac:dyDescent="0.25">
      <c r="A249" t="s">
        <v>74</v>
      </c>
      <c r="B249" t="s">
        <v>88</v>
      </c>
      <c r="C249">
        <v>34</v>
      </c>
      <c r="D249" t="s">
        <v>3</v>
      </c>
      <c r="E249">
        <v>8.3763294158000008</v>
      </c>
      <c r="F249">
        <v>8.2762624531999993</v>
      </c>
      <c r="G249">
        <v>8.1057248279999996</v>
      </c>
      <c r="H249">
        <v>7.8531465881000004</v>
      </c>
      <c r="I249">
        <v>7.6379124206000002</v>
      </c>
      <c r="J249">
        <v>7.2845713945000004</v>
      </c>
      <c r="K249">
        <v>6.8762036724</v>
      </c>
      <c r="L249">
        <v>6.8244441879000002</v>
      </c>
      <c r="M249">
        <v>6.7910716969999996</v>
      </c>
      <c r="N249">
        <v>6.7355925447000002</v>
      </c>
      <c r="O249">
        <v>6.6601543339999996</v>
      </c>
      <c r="P249">
        <v>6.7110153166000002</v>
      </c>
      <c r="Q249">
        <v>6.8575098805000003</v>
      </c>
      <c r="R249">
        <v>7.2920116691999999</v>
      </c>
      <c r="S249">
        <v>7.6599482773999998</v>
      </c>
      <c r="T249">
        <v>7.7337570348</v>
      </c>
      <c r="U249">
        <v>7.6337629321999998</v>
      </c>
      <c r="V249">
        <v>7.3622873348000004</v>
      </c>
      <c r="W249">
        <v>7.9953210913000001</v>
      </c>
      <c r="X249">
        <v>8.3298232477000003</v>
      </c>
      <c r="Y249">
        <v>8.6616807405999996</v>
      </c>
      <c r="Z249">
        <v>8.4685431201999997</v>
      </c>
      <c r="AA249">
        <v>8.7485185482999999</v>
      </c>
      <c r="AB249">
        <v>8.7457965955999999</v>
      </c>
    </row>
    <row r="250" spans="1:28" hidden="1" x14ac:dyDescent="0.25">
      <c r="A250" t="s">
        <v>74</v>
      </c>
      <c r="B250" t="s">
        <v>88</v>
      </c>
      <c r="C250">
        <v>34</v>
      </c>
      <c r="D250" t="s">
        <v>4</v>
      </c>
      <c r="E250">
        <v>0.68091285000000001</v>
      </c>
      <c r="F250">
        <v>0.65023874999999998</v>
      </c>
      <c r="G250">
        <v>0.64272527999999995</v>
      </c>
      <c r="H250">
        <v>0.63109349999999997</v>
      </c>
      <c r="I250">
        <v>0.61630830000000003</v>
      </c>
      <c r="J250">
        <v>0.58686516</v>
      </c>
      <c r="K250">
        <v>0.55062018000000001</v>
      </c>
      <c r="L250">
        <v>0.53872370999999997</v>
      </c>
      <c r="M250">
        <v>0.54205901999999995</v>
      </c>
      <c r="N250">
        <v>0.54101520000000003</v>
      </c>
      <c r="O250">
        <v>0.53853870000000004</v>
      </c>
      <c r="P250">
        <v>0.54604763999999995</v>
      </c>
      <c r="Q250">
        <v>0.55398575999999999</v>
      </c>
      <c r="R250">
        <v>0.55435350000000005</v>
      </c>
      <c r="S250">
        <v>0.57257771999999996</v>
      </c>
      <c r="T250">
        <v>0.58469607000000001</v>
      </c>
      <c r="U250">
        <v>0.58339907999999996</v>
      </c>
      <c r="V250">
        <v>0.55295136</v>
      </c>
      <c r="W250">
        <v>0.61667108999999998</v>
      </c>
      <c r="X250">
        <v>0.65979765000000001</v>
      </c>
      <c r="Y250">
        <v>0.69108599999999998</v>
      </c>
      <c r="Z250">
        <v>0.66513252</v>
      </c>
      <c r="AA250">
        <v>0.67671356999999999</v>
      </c>
      <c r="AB250">
        <v>0.67444959000000004</v>
      </c>
    </row>
    <row r="251" spans="1:28" hidden="1" x14ac:dyDescent="0.25">
      <c r="A251" t="s">
        <v>74</v>
      </c>
      <c r="B251" t="s">
        <v>89</v>
      </c>
      <c r="C251">
        <v>110</v>
      </c>
      <c r="D251" t="s">
        <v>2</v>
      </c>
      <c r="E251">
        <v>60.775179649999998</v>
      </c>
      <c r="F251">
        <v>59.184542550000003</v>
      </c>
      <c r="G251">
        <v>57.802104900000003</v>
      </c>
      <c r="H251">
        <v>56.775274905000003</v>
      </c>
      <c r="I251">
        <v>55.4254575</v>
      </c>
      <c r="J251">
        <v>52.755189479999999</v>
      </c>
      <c r="K251">
        <v>51.224044409999998</v>
      </c>
      <c r="L251">
        <v>50.472788850000001</v>
      </c>
      <c r="M251">
        <v>48.88037087</v>
      </c>
      <c r="N251">
        <v>46.763318249999998</v>
      </c>
      <c r="O251">
        <v>46.048351074999999</v>
      </c>
      <c r="P251">
        <v>47.657684459999999</v>
      </c>
      <c r="Q251">
        <v>47.753455025000001</v>
      </c>
      <c r="R251">
        <v>46.821916885</v>
      </c>
      <c r="S251">
        <v>47.664499675000002</v>
      </c>
      <c r="T251">
        <v>49.025132380000002</v>
      </c>
      <c r="U251">
        <v>50.144585865000003</v>
      </c>
      <c r="V251">
        <v>51.713005305000003</v>
      </c>
      <c r="W251">
        <v>59.146289090000003</v>
      </c>
      <c r="X251">
        <v>60.612910749999998</v>
      </c>
      <c r="Y251">
        <v>61.208648599999997</v>
      </c>
      <c r="Z251">
        <v>58.225922820000001</v>
      </c>
      <c r="AA251">
        <v>58.424844555</v>
      </c>
      <c r="AB251">
        <v>58.027378339999999</v>
      </c>
    </row>
    <row r="252" spans="1:28" hidden="1" x14ac:dyDescent="0.25">
      <c r="A252" t="s">
        <v>74</v>
      </c>
      <c r="B252" t="s">
        <v>89</v>
      </c>
      <c r="C252">
        <v>110</v>
      </c>
      <c r="D252" t="s">
        <v>3</v>
      </c>
      <c r="E252">
        <v>20.359287184199999</v>
      </c>
      <c r="F252">
        <v>20.158155129099999</v>
      </c>
      <c r="G252">
        <v>19.890659539400001</v>
      </c>
      <c r="H252">
        <v>19.484572985300002</v>
      </c>
      <c r="I252">
        <v>18.7470448123</v>
      </c>
      <c r="J252">
        <v>17.598646406099999</v>
      </c>
      <c r="K252">
        <v>17.635842350000001</v>
      </c>
      <c r="L252">
        <v>18.429462038699999</v>
      </c>
      <c r="M252">
        <v>18.6647313297</v>
      </c>
      <c r="N252">
        <v>18.715066574600002</v>
      </c>
      <c r="O252">
        <v>18.819068229799999</v>
      </c>
      <c r="P252">
        <v>18.928332875900001</v>
      </c>
      <c r="Q252">
        <v>18.762018366500001</v>
      </c>
      <c r="R252">
        <v>20.147352315199999</v>
      </c>
      <c r="S252">
        <v>21.046481094800001</v>
      </c>
      <c r="T252">
        <v>20.998251968400002</v>
      </c>
      <c r="U252">
        <v>20.3334345558</v>
      </c>
      <c r="V252">
        <v>19.4358858298</v>
      </c>
      <c r="W252">
        <v>20.371506854300002</v>
      </c>
      <c r="X252">
        <v>21.0696771932</v>
      </c>
      <c r="Y252">
        <v>21.689869265700001</v>
      </c>
      <c r="Z252">
        <v>20.570059184200002</v>
      </c>
      <c r="AA252">
        <v>20.999299327599999</v>
      </c>
      <c r="AB252">
        <v>21.055350958399998</v>
      </c>
    </row>
    <row r="253" spans="1:28" hidden="1" x14ac:dyDescent="0.25">
      <c r="A253" t="s">
        <v>74</v>
      </c>
      <c r="B253" t="s">
        <v>89</v>
      </c>
      <c r="C253">
        <v>110</v>
      </c>
      <c r="D253" t="s">
        <v>4</v>
      </c>
      <c r="E253">
        <v>0.92551035000000004</v>
      </c>
      <c r="F253">
        <v>0.90128744999999999</v>
      </c>
      <c r="G253">
        <v>0.88023510000000005</v>
      </c>
      <c r="H253">
        <v>0.86459809499999996</v>
      </c>
      <c r="I253">
        <v>0.84404250000000003</v>
      </c>
      <c r="J253">
        <v>0.80337851999999998</v>
      </c>
      <c r="K253">
        <v>0.78006158999999997</v>
      </c>
      <c r="L253">
        <v>0.76862114999999998</v>
      </c>
      <c r="M253">
        <v>0.74437112999999999</v>
      </c>
      <c r="N253">
        <v>0.71213174999999995</v>
      </c>
      <c r="O253">
        <v>0.70124392499999999</v>
      </c>
      <c r="P253">
        <v>0.72575153999999997</v>
      </c>
      <c r="Q253">
        <v>0.72720997499999995</v>
      </c>
      <c r="R253">
        <v>0.71302411499999996</v>
      </c>
      <c r="S253">
        <v>0.72585532500000005</v>
      </c>
      <c r="T253">
        <v>0.74657562</v>
      </c>
      <c r="U253">
        <v>0.76362313500000001</v>
      </c>
      <c r="V253">
        <v>0.78750769499999995</v>
      </c>
      <c r="W253">
        <v>0.90070490999999997</v>
      </c>
      <c r="X253">
        <v>0.92303924999999998</v>
      </c>
      <c r="Y253">
        <v>0.93211140000000003</v>
      </c>
      <c r="Z253">
        <v>0.88668917999999997</v>
      </c>
      <c r="AA253">
        <v>0.88971844499999997</v>
      </c>
      <c r="AB253">
        <v>0.88366566000000002</v>
      </c>
    </row>
    <row r="254" spans="1:28" hidden="1" x14ac:dyDescent="0.25">
      <c r="A254" t="s">
        <v>74</v>
      </c>
      <c r="B254" t="s">
        <v>90</v>
      </c>
      <c r="C254">
        <v>14</v>
      </c>
      <c r="D254" t="s">
        <v>2</v>
      </c>
      <c r="E254">
        <v>16.966525000000001</v>
      </c>
      <c r="F254">
        <v>16.2292053</v>
      </c>
      <c r="G254">
        <v>15.5149668</v>
      </c>
      <c r="H254">
        <v>14.876692200000001</v>
      </c>
      <c r="I254">
        <v>14.2837155</v>
      </c>
      <c r="J254">
        <v>13.628742750000001</v>
      </c>
      <c r="K254">
        <v>12.7497942</v>
      </c>
      <c r="L254">
        <v>12.721450949999999</v>
      </c>
      <c r="M254">
        <v>13.024305249999999</v>
      </c>
      <c r="N254">
        <v>13.056773400000001</v>
      </c>
      <c r="O254">
        <v>13.10963995</v>
      </c>
      <c r="P254">
        <v>13.2914329</v>
      </c>
      <c r="Q254">
        <v>13.26877445</v>
      </c>
      <c r="R254">
        <v>13.82501845</v>
      </c>
      <c r="S254">
        <v>14.375597600000001</v>
      </c>
      <c r="T254">
        <v>14.543430300000001</v>
      </c>
      <c r="U254">
        <v>14.37116395</v>
      </c>
      <c r="V254">
        <v>14.206711350000001</v>
      </c>
      <c r="W254">
        <v>15.7965164</v>
      </c>
      <c r="X254">
        <v>16.411468500000002</v>
      </c>
      <c r="Y254">
        <v>16.966201999999999</v>
      </c>
      <c r="Z254">
        <v>16.631782050000002</v>
      </c>
      <c r="AA254">
        <v>17.045836699999999</v>
      </c>
      <c r="AB254">
        <v>16.92611295</v>
      </c>
    </row>
    <row r="255" spans="1:28" hidden="1" x14ac:dyDescent="0.25">
      <c r="A255" t="s">
        <v>74</v>
      </c>
      <c r="B255" t="s">
        <v>90</v>
      </c>
      <c r="C255">
        <v>14</v>
      </c>
      <c r="D255" t="s">
        <v>3</v>
      </c>
      <c r="E255">
        <v>3.0887308725999998</v>
      </c>
      <c r="F255">
        <v>3.0504600835</v>
      </c>
      <c r="G255">
        <v>2.9662607813999999</v>
      </c>
      <c r="H255">
        <v>2.9003969497000002</v>
      </c>
      <c r="I255">
        <v>2.8499699705000001</v>
      </c>
      <c r="J255">
        <v>2.7837932861999999</v>
      </c>
      <c r="K255">
        <v>2.8164105898999998</v>
      </c>
      <c r="L255">
        <v>2.9130731570999999</v>
      </c>
      <c r="M255">
        <v>3.0105588017999998</v>
      </c>
      <c r="N255">
        <v>3.0070536672000001</v>
      </c>
      <c r="O255">
        <v>2.9970157879000001</v>
      </c>
      <c r="P255">
        <v>2.9924647182999999</v>
      </c>
      <c r="Q255">
        <v>2.9740088278000001</v>
      </c>
      <c r="R255">
        <v>3.0693535604000002</v>
      </c>
      <c r="S255">
        <v>3.1573293404</v>
      </c>
      <c r="T255">
        <v>3.1606373379999999</v>
      </c>
      <c r="U255">
        <v>3.1359335695000001</v>
      </c>
      <c r="V255">
        <v>2.9930309838000002</v>
      </c>
      <c r="W255">
        <v>2.9038556585999999</v>
      </c>
      <c r="X255">
        <v>2.8867367448999999</v>
      </c>
      <c r="Y255">
        <v>2.9375341116000002</v>
      </c>
      <c r="Z255">
        <v>2.8816404471000001</v>
      </c>
      <c r="AA255">
        <v>3.034638766</v>
      </c>
      <c r="AB255">
        <v>3.0833259461</v>
      </c>
    </row>
    <row r="256" spans="1:28" hidden="1" x14ac:dyDescent="0.25">
      <c r="A256" t="s">
        <v>74</v>
      </c>
      <c r="B256" t="s">
        <v>90</v>
      </c>
      <c r="C256">
        <v>14</v>
      </c>
      <c r="D256" t="s">
        <v>4</v>
      </c>
      <c r="E256">
        <v>0.89297499999999996</v>
      </c>
      <c r="F256">
        <v>0.8541687</v>
      </c>
      <c r="G256">
        <v>0.8165772</v>
      </c>
      <c r="H256">
        <v>0.78298380000000001</v>
      </c>
      <c r="I256">
        <v>0.75177450000000001</v>
      </c>
      <c r="J256">
        <v>0.71730225000000003</v>
      </c>
      <c r="K256">
        <v>0.67104180000000002</v>
      </c>
      <c r="L256">
        <v>0.66955005000000001</v>
      </c>
      <c r="M256">
        <v>0.68548975000000001</v>
      </c>
      <c r="N256">
        <v>0.68719859999999999</v>
      </c>
      <c r="O256">
        <v>0.68998104999999998</v>
      </c>
      <c r="P256">
        <v>0.69954910000000003</v>
      </c>
      <c r="Q256">
        <v>0.69835654999999996</v>
      </c>
      <c r="R256">
        <v>0.72763255000000004</v>
      </c>
      <c r="S256">
        <v>0.75661040000000002</v>
      </c>
      <c r="T256">
        <v>0.76544369999999995</v>
      </c>
      <c r="U256">
        <v>0.75637705</v>
      </c>
      <c r="V256">
        <v>0.74772165000000002</v>
      </c>
      <c r="W256">
        <v>0.83139560000000001</v>
      </c>
      <c r="X256">
        <v>0.86376149999999996</v>
      </c>
      <c r="Y256">
        <v>0.89295800000000003</v>
      </c>
      <c r="Z256">
        <v>0.87535695000000002</v>
      </c>
      <c r="AA256">
        <v>0.89714930000000004</v>
      </c>
      <c r="AB256">
        <v>0.89084805</v>
      </c>
    </row>
    <row r="257" spans="1:28" hidden="1" x14ac:dyDescent="0.25">
      <c r="A257" t="s">
        <v>74</v>
      </c>
      <c r="B257" t="s">
        <v>91</v>
      </c>
      <c r="C257">
        <v>110</v>
      </c>
      <c r="D257" t="s">
        <v>2</v>
      </c>
      <c r="E257">
        <v>10.90679665</v>
      </c>
      <c r="F257">
        <v>10.522521555000001</v>
      </c>
      <c r="G257">
        <v>10.090142999999999</v>
      </c>
      <c r="H257">
        <v>9.7915047899999994</v>
      </c>
      <c r="I257">
        <v>9.6529802999999994</v>
      </c>
      <c r="J257">
        <v>9.5341508850000007</v>
      </c>
      <c r="K257">
        <v>9.8792446500000004</v>
      </c>
      <c r="L257">
        <v>10.79251695</v>
      </c>
      <c r="M257">
        <v>11.33419406</v>
      </c>
      <c r="N257">
        <v>11.81530746</v>
      </c>
      <c r="O257">
        <v>12.24770079</v>
      </c>
      <c r="P257">
        <v>12.36643072</v>
      </c>
      <c r="Q257">
        <v>12.368927695</v>
      </c>
      <c r="R257">
        <v>12.768364894999999</v>
      </c>
      <c r="S257">
        <v>13.133128125000001</v>
      </c>
      <c r="T257">
        <v>13.354491115</v>
      </c>
      <c r="U257">
        <v>13.402829990000001</v>
      </c>
      <c r="V257">
        <v>13.427310195</v>
      </c>
      <c r="W257">
        <v>14.626990944999999</v>
      </c>
      <c r="X257">
        <v>14.831494675</v>
      </c>
      <c r="Y257">
        <v>14.464291599999999</v>
      </c>
      <c r="Z257">
        <v>12.954280689999999</v>
      </c>
      <c r="AA257">
        <v>12.393148845000001</v>
      </c>
      <c r="AB257">
        <v>11.578089909999999</v>
      </c>
    </row>
    <row r="258" spans="1:28" hidden="1" x14ac:dyDescent="0.25">
      <c r="A258" t="s">
        <v>74</v>
      </c>
      <c r="B258" t="s">
        <v>91</v>
      </c>
      <c r="C258">
        <v>110</v>
      </c>
      <c r="D258" t="s">
        <v>3</v>
      </c>
      <c r="E258">
        <v>1.9320649933</v>
      </c>
      <c r="F258">
        <v>1.8831914333999999</v>
      </c>
      <c r="G258">
        <v>1.7868037305</v>
      </c>
      <c r="H258">
        <v>1.7223014908000001</v>
      </c>
      <c r="I258">
        <v>1.7025252023999999</v>
      </c>
      <c r="J258">
        <v>1.6826984814999999</v>
      </c>
      <c r="K258">
        <v>2.2872747546999999</v>
      </c>
      <c r="L258">
        <v>2.8934470741</v>
      </c>
      <c r="M258">
        <v>3.3058065999999999</v>
      </c>
      <c r="N258">
        <v>3.4780695060000002</v>
      </c>
      <c r="O258">
        <v>3.6615770127</v>
      </c>
      <c r="P258">
        <v>3.7336221558</v>
      </c>
      <c r="Q258">
        <v>3.6851011347</v>
      </c>
      <c r="R258">
        <v>3.7850821861999999</v>
      </c>
      <c r="S258">
        <v>4.0075695858999998</v>
      </c>
      <c r="T258">
        <v>3.9853479553</v>
      </c>
      <c r="U258">
        <v>3.6882454628999999</v>
      </c>
      <c r="V258">
        <v>3.2887584415000002</v>
      </c>
      <c r="W258">
        <v>3.0021297699999998</v>
      </c>
      <c r="X258">
        <v>2.8996202278999998</v>
      </c>
      <c r="Y258">
        <v>2.6967568887</v>
      </c>
      <c r="Z258">
        <v>2.3107976719000001</v>
      </c>
      <c r="AA258">
        <v>2.1072801904</v>
      </c>
      <c r="AB258">
        <v>1.8831233668</v>
      </c>
    </row>
    <row r="259" spans="1:28" hidden="1" x14ac:dyDescent="0.25">
      <c r="A259" t="s">
        <v>74</v>
      </c>
      <c r="B259" t="s">
        <v>91</v>
      </c>
      <c r="C259">
        <v>110</v>
      </c>
      <c r="D259" t="s">
        <v>4</v>
      </c>
      <c r="E259">
        <v>0.16609335</v>
      </c>
      <c r="F259">
        <v>0.16024144500000001</v>
      </c>
      <c r="G259">
        <v>0.15365699999999999</v>
      </c>
      <c r="H259">
        <v>0.14910920999999999</v>
      </c>
      <c r="I259">
        <v>0.14699970000000001</v>
      </c>
      <c r="J259">
        <v>0.14519011500000001</v>
      </c>
      <c r="K259">
        <v>0.15044535000000001</v>
      </c>
      <c r="L259">
        <v>0.16435305</v>
      </c>
      <c r="M259">
        <v>0.17260194000000001</v>
      </c>
      <c r="N259">
        <v>0.17992854</v>
      </c>
      <c r="O259">
        <v>0.18651321000000001</v>
      </c>
      <c r="P259">
        <v>0.18832128000000001</v>
      </c>
      <c r="Q259">
        <v>0.188359305</v>
      </c>
      <c r="R259">
        <v>0.194442105</v>
      </c>
      <c r="S259">
        <v>0.19999687499999999</v>
      </c>
      <c r="T259">
        <v>0.203367885</v>
      </c>
      <c r="U259">
        <v>0.20410401</v>
      </c>
      <c r="V259">
        <v>0.20447680500000001</v>
      </c>
      <c r="W259">
        <v>0.222746055</v>
      </c>
      <c r="X259">
        <v>0.225860325</v>
      </c>
      <c r="Y259">
        <v>0.2202684</v>
      </c>
      <c r="Z259">
        <v>0.19727331000000001</v>
      </c>
      <c r="AA259">
        <v>0.18872815500000001</v>
      </c>
      <c r="AB259">
        <v>0.17631609000000001</v>
      </c>
    </row>
    <row r="260" spans="1:28" hidden="1" x14ac:dyDescent="0.25">
      <c r="A260" t="s">
        <v>74</v>
      </c>
      <c r="B260" t="s">
        <v>92</v>
      </c>
      <c r="C260">
        <v>110</v>
      </c>
      <c r="D260" t="s">
        <v>2</v>
      </c>
      <c r="E260">
        <v>4.1149064500000003</v>
      </c>
      <c r="F260">
        <v>3.8614758</v>
      </c>
      <c r="G260">
        <v>3.7549746449999999</v>
      </c>
      <c r="H260">
        <v>3.6595222349999998</v>
      </c>
      <c r="I260">
        <v>3.7592919</v>
      </c>
      <c r="J260">
        <v>3.9152154299999999</v>
      </c>
      <c r="K260">
        <v>4.5695528999999997</v>
      </c>
      <c r="L260">
        <v>5.2863945299999999</v>
      </c>
      <c r="M260">
        <v>6.11834129</v>
      </c>
      <c r="N260">
        <v>6.4997648100000003</v>
      </c>
      <c r="O260">
        <v>6.9772297700000001</v>
      </c>
      <c r="P260">
        <v>7.0734327500000003</v>
      </c>
      <c r="Q260">
        <v>6.9162523599999997</v>
      </c>
      <c r="R260">
        <v>6.7310369000000003</v>
      </c>
      <c r="S260">
        <v>6.83623096</v>
      </c>
      <c r="T260">
        <v>6.863800125</v>
      </c>
      <c r="U260">
        <v>6.9405001049999999</v>
      </c>
      <c r="V260">
        <v>7.0253480049999997</v>
      </c>
      <c r="W260">
        <v>7.3096032449999999</v>
      </c>
      <c r="X260">
        <v>7.1893426250000001</v>
      </c>
      <c r="Y260">
        <v>6.9274655999999997</v>
      </c>
      <c r="Z260">
        <v>5.4975962599999999</v>
      </c>
      <c r="AA260">
        <v>4.974120965</v>
      </c>
      <c r="AB260">
        <v>4.6327573949999996</v>
      </c>
    </row>
    <row r="261" spans="1:28" hidden="1" x14ac:dyDescent="0.25">
      <c r="A261" t="s">
        <v>74</v>
      </c>
      <c r="B261" t="s">
        <v>92</v>
      </c>
      <c r="C261">
        <v>110</v>
      </c>
      <c r="D261" t="s">
        <v>3</v>
      </c>
      <c r="E261">
        <v>0.28798238819999999</v>
      </c>
      <c r="F261">
        <v>0.25831414679999998</v>
      </c>
      <c r="G261">
        <v>0.25005705779999998</v>
      </c>
      <c r="H261">
        <v>0.2618432665</v>
      </c>
      <c r="I261">
        <v>0.41989003699999999</v>
      </c>
      <c r="J261">
        <v>0.57793868960000006</v>
      </c>
      <c r="K261">
        <v>1.0440053904</v>
      </c>
      <c r="L261">
        <v>1.6968824951999999</v>
      </c>
      <c r="M261">
        <v>2.3478359512</v>
      </c>
      <c r="N261">
        <v>2.4806506544000002</v>
      </c>
      <c r="O261">
        <v>2.658614735</v>
      </c>
      <c r="P261">
        <v>2.7075395939</v>
      </c>
      <c r="Q261">
        <v>2.5306295802999998</v>
      </c>
      <c r="R261">
        <v>2.4810301491</v>
      </c>
      <c r="S261">
        <v>2.6951801146999999</v>
      </c>
      <c r="T261">
        <v>2.7125314761000001</v>
      </c>
      <c r="U261">
        <v>2.6972018870999999</v>
      </c>
      <c r="V261">
        <v>2.3453180683000001</v>
      </c>
      <c r="W261">
        <v>1.9984130081</v>
      </c>
      <c r="X261">
        <v>1.7551157491</v>
      </c>
      <c r="Y261">
        <v>1.3320697632</v>
      </c>
      <c r="Z261">
        <v>0.77134949890000004</v>
      </c>
      <c r="AA261">
        <v>0.55603242829999999</v>
      </c>
      <c r="AB261">
        <v>0.38582484080000001</v>
      </c>
    </row>
    <row r="262" spans="1:28" hidden="1" x14ac:dyDescent="0.25">
      <c r="A262" t="s">
        <v>74</v>
      </c>
      <c r="B262" t="s">
        <v>92</v>
      </c>
      <c r="C262">
        <v>110</v>
      </c>
      <c r="D262" t="s">
        <v>4</v>
      </c>
      <c r="E262">
        <v>6.2663549999999998E-2</v>
      </c>
      <c r="F262">
        <v>5.8804200000000001E-2</v>
      </c>
      <c r="G262">
        <v>5.7182354999999997E-2</v>
      </c>
      <c r="H262">
        <v>5.5728765E-2</v>
      </c>
      <c r="I262">
        <v>5.7248100000000003E-2</v>
      </c>
      <c r="J262">
        <v>5.962257E-2</v>
      </c>
      <c r="K262">
        <v>6.9587099999999999E-2</v>
      </c>
      <c r="L262">
        <v>8.0503469999999994E-2</v>
      </c>
      <c r="M262">
        <v>9.3172710000000006E-2</v>
      </c>
      <c r="N262">
        <v>9.8981189999999997E-2</v>
      </c>
      <c r="O262">
        <v>0.10625223</v>
      </c>
      <c r="P262">
        <v>0.10771725</v>
      </c>
      <c r="Q262">
        <v>0.10532364</v>
      </c>
      <c r="R262">
        <v>0.1025031</v>
      </c>
      <c r="S262">
        <v>0.10410504</v>
      </c>
      <c r="T262">
        <v>0.104524875</v>
      </c>
      <c r="U262">
        <v>0.105692895</v>
      </c>
      <c r="V262">
        <v>0.106984995</v>
      </c>
      <c r="W262">
        <v>0.111313755</v>
      </c>
      <c r="X262">
        <v>0.10948237500000001</v>
      </c>
      <c r="Y262">
        <v>0.1054944</v>
      </c>
      <c r="Z262">
        <v>8.3719740000000001E-2</v>
      </c>
      <c r="AA262">
        <v>7.5748035000000005E-2</v>
      </c>
      <c r="AB262">
        <v>7.0549605000000001E-2</v>
      </c>
    </row>
    <row r="263" spans="1:28" hidden="1" x14ac:dyDescent="0.25">
      <c r="A263" t="s">
        <v>74</v>
      </c>
      <c r="B263" t="s">
        <v>93</v>
      </c>
      <c r="C263">
        <v>110</v>
      </c>
      <c r="D263" t="s">
        <v>2</v>
      </c>
      <c r="E263">
        <v>18.830668549999999</v>
      </c>
      <c r="F263">
        <v>17.829621915000001</v>
      </c>
      <c r="G263">
        <v>16.79288085</v>
      </c>
      <c r="H263">
        <v>15.77366138</v>
      </c>
      <c r="I263">
        <v>14.96982455</v>
      </c>
      <c r="J263">
        <v>14.281342055</v>
      </c>
      <c r="K263">
        <v>13.281497119999999</v>
      </c>
      <c r="L263">
        <v>13.022108775</v>
      </c>
      <c r="M263">
        <v>12.794101960000001</v>
      </c>
      <c r="N263">
        <v>12.46124682</v>
      </c>
      <c r="O263">
        <v>12.322798175000001</v>
      </c>
      <c r="P263">
        <v>12.394034359999999</v>
      </c>
      <c r="Q263">
        <v>11.9809096</v>
      </c>
      <c r="R263">
        <v>12.232629305</v>
      </c>
      <c r="S263">
        <v>12.979032755</v>
      </c>
      <c r="T263">
        <v>13.382650294999999</v>
      </c>
      <c r="U263">
        <v>13.550500205000001</v>
      </c>
      <c r="V263">
        <v>13.497353544999999</v>
      </c>
      <c r="W263">
        <v>15.016213694999999</v>
      </c>
      <c r="X263">
        <v>15.9833783</v>
      </c>
      <c r="Y263">
        <v>15.5787797</v>
      </c>
      <c r="Z263">
        <v>14.602040895</v>
      </c>
      <c r="AA263">
        <v>16.654491305000001</v>
      </c>
      <c r="AB263">
        <v>17.161741679999999</v>
      </c>
    </row>
    <row r="264" spans="1:28" hidden="1" x14ac:dyDescent="0.25">
      <c r="A264" t="s">
        <v>74</v>
      </c>
      <c r="B264" t="s">
        <v>93</v>
      </c>
      <c r="C264">
        <v>110</v>
      </c>
      <c r="D264" t="s">
        <v>3</v>
      </c>
      <c r="E264">
        <v>1.7884747312</v>
      </c>
      <c r="F264">
        <v>1.668485032</v>
      </c>
      <c r="G264">
        <v>1.5568562637000001</v>
      </c>
      <c r="H264">
        <v>1.4257264023</v>
      </c>
      <c r="I264">
        <v>1.3105024777000001</v>
      </c>
      <c r="J264">
        <v>1.1859071775000001</v>
      </c>
      <c r="K264">
        <v>1.1596287426</v>
      </c>
      <c r="L264">
        <v>1.2818579308</v>
      </c>
      <c r="M264">
        <v>1.4418050232999999</v>
      </c>
      <c r="N264">
        <v>1.5317243056000001</v>
      </c>
      <c r="O264">
        <v>1.5641764209</v>
      </c>
      <c r="P264">
        <v>1.5871613548000001</v>
      </c>
      <c r="Q264">
        <v>1.5787040783999999</v>
      </c>
      <c r="R264">
        <v>1.5781963688</v>
      </c>
      <c r="S264">
        <v>1.6713973096999999</v>
      </c>
      <c r="T264">
        <v>1.7223087020000001</v>
      </c>
      <c r="U264">
        <v>1.7460674374</v>
      </c>
      <c r="V264">
        <v>1.7230426685</v>
      </c>
      <c r="W264">
        <v>1.4641583548999999</v>
      </c>
      <c r="X264">
        <v>1.4730507045000001</v>
      </c>
      <c r="Y264">
        <v>1.6134017799</v>
      </c>
      <c r="Z264">
        <v>1.7039721780999999</v>
      </c>
      <c r="AA264">
        <v>1.8326654376</v>
      </c>
      <c r="AB264">
        <v>1.8645169439</v>
      </c>
    </row>
    <row r="265" spans="1:28" hidden="1" x14ac:dyDescent="0.25">
      <c r="A265" t="s">
        <v>74</v>
      </c>
      <c r="B265" t="s">
        <v>93</v>
      </c>
      <c r="C265">
        <v>110</v>
      </c>
      <c r="D265" t="s">
        <v>4</v>
      </c>
      <c r="E265">
        <v>0.28676144999999997</v>
      </c>
      <c r="F265">
        <v>0.27151708499999999</v>
      </c>
      <c r="G265">
        <v>0.25572915000000002</v>
      </c>
      <c r="H265">
        <v>0.24020804130000001</v>
      </c>
      <c r="I265">
        <v>0.22796687130000001</v>
      </c>
      <c r="J265">
        <v>0.21748236630000001</v>
      </c>
      <c r="K265">
        <v>0.2022563013</v>
      </c>
      <c r="L265">
        <v>0.198306225</v>
      </c>
      <c r="M265">
        <v>0.19483403999999999</v>
      </c>
      <c r="N265">
        <v>0.18976518000000001</v>
      </c>
      <c r="O265">
        <v>0.187656825</v>
      </c>
      <c r="P265">
        <v>0.18874163999999999</v>
      </c>
      <c r="Q265">
        <v>0.18245040000000001</v>
      </c>
      <c r="R265">
        <v>0.186283695</v>
      </c>
      <c r="S265">
        <v>0.197650245</v>
      </c>
      <c r="T265">
        <v>0.20379670499999999</v>
      </c>
      <c r="U265">
        <v>0.20635279500000001</v>
      </c>
      <c r="V265">
        <v>0.20554345500000001</v>
      </c>
      <c r="W265">
        <v>0.22867330499999999</v>
      </c>
      <c r="X265">
        <v>0.2434017</v>
      </c>
      <c r="Y265">
        <v>0.23724029999999999</v>
      </c>
      <c r="Z265">
        <v>0.22236610500000001</v>
      </c>
      <c r="AA265">
        <v>0.25362169499999998</v>
      </c>
      <c r="AB265">
        <v>0.26134632000000002</v>
      </c>
    </row>
    <row r="266" spans="1:28" hidden="1" x14ac:dyDescent="0.25">
      <c r="A266" t="s">
        <v>74</v>
      </c>
      <c r="B266" t="s">
        <v>94</v>
      </c>
      <c r="C266">
        <v>110</v>
      </c>
      <c r="D266" t="s">
        <v>2</v>
      </c>
      <c r="E266">
        <v>39.581116874999999</v>
      </c>
      <c r="F266">
        <v>38.555350679999997</v>
      </c>
      <c r="G266">
        <v>37.592989920000001</v>
      </c>
      <c r="H266">
        <v>36.475813754999997</v>
      </c>
      <c r="I266">
        <v>35.651306699999999</v>
      </c>
      <c r="J266">
        <v>34.82270106</v>
      </c>
      <c r="K266">
        <v>36.640091069999997</v>
      </c>
      <c r="L266">
        <v>41.27006781</v>
      </c>
      <c r="M266">
        <v>46.677237130000002</v>
      </c>
      <c r="N266">
        <v>49.333618620000003</v>
      </c>
      <c r="O266">
        <v>50.417653475000002</v>
      </c>
      <c r="P266">
        <v>49.279398309999998</v>
      </c>
      <c r="Q266">
        <v>46.671088760000004</v>
      </c>
      <c r="R266">
        <v>45.764182515000002</v>
      </c>
      <c r="S266">
        <v>45.65425553</v>
      </c>
      <c r="T266">
        <v>44.674539070000002</v>
      </c>
      <c r="U266">
        <v>43.759607045000003</v>
      </c>
      <c r="V266">
        <v>41.374606845000002</v>
      </c>
      <c r="W266">
        <v>44.433669139999999</v>
      </c>
      <c r="X266">
        <v>44.391211699999999</v>
      </c>
      <c r="Y266">
        <v>44.3550228</v>
      </c>
      <c r="Z266">
        <v>41.247158679999998</v>
      </c>
      <c r="AA266">
        <v>40.712681920000001</v>
      </c>
      <c r="AB266">
        <v>39.290955574999998</v>
      </c>
    </row>
    <row r="267" spans="1:28" hidden="1" x14ac:dyDescent="0.25">
      <c r="A267" t="s">
        <v>74</v>
      </c>
      <c r="B267" t="s">
        <v>94</v>
      </c>
      <c r="C267">
        <v>110</v>
      </c>
      <c r="D267" t="s">
        <v>3</v>
      </c>
      <c r="E267">
        <v>9.3727131090999993</v>
      </c>
      <c r="F267">
        <v>9.3744578470000004</v>
      </c>
      <c r="G267">
        <v>9.4282636214999993</v>
      </c>
      <c r="H267">
        <v>9.4531085325999999</v>
      </c>
      <c r="I267">
        <v>9.4020578416999996</v>
      </c>
      <c r="J267">
        <v>9.4677477040000007</v>
      </c>
      <c r="K267">
        <v>10.9929010185</v>
      </c>
      <c r="L267">
        <v>13.250278529299999</v>
      </c>
      <c r="M267">
        <v>15.513651611</v>
      </c>
      <c r="N267">
        <v>16.183643506199999</v>
      </c>
      <c r="O267">
        <v>16.573270348699999</v>
      </c>
      <c r="P267">
        <v>16.2724266512</v>
      </c>
      <c r="Q267">
        <v>15.792468986299999</v>
      </c>
      <c r="R267">
        <v>16.187655213900001</v>
      </c>
      <c r="S267">
        <v>16.892350137899999</v>
      </c>
      <c r="T267">
        <v>16.881684011099999</v>
      </c>
      <c r="U267">
        <v>16.633384600100001</v>
      </c>
      <c r="V267">
        <v>14.7366498825</v>
      </c>
      <c r="W267">
        <v>13.6551874984</v>
      </c>
      <c r="X267">
        <v>12.8646611251</v>
      </c>
      <c r="Y267">
        <v>12.3043920445</v>
      </c>
      <c r="Z267">
        <v>11.041177081200001</v>
      </c>
      <c r="AA267">
        <v>10.547675507699999</v>
      </c>
      <c r="AB267">
        <v>10.302451427199999</v>
      </c>
    </row>
    <row r="268" spans="1:28" hidden="1" x14ac:dyDescent="0.25">
      <c r="A268" t="s">
        <v>74</v>
      </c>
      <c r="B268" t="s">
        <v>94</v>
      </c>
      <c r="C268">
        <v>110</v>
      </c>
      <c r="D268" t="s">
        <v>4</v>
      </c>
      <c r="E268">
        <v>0.60275812500000003</v>
      </c>
      <c r="F268">
        <v>0.58713731999999996</v>
      </c>
      <c r="G268">
        <v>0.57248208</v>
      </c>
      <c r="H268">
        <v>0.55546924499999994</v>
      </c>
      <c r="I268">
        <v>0.54291330000000004</v>
      </c>
      <c r="J268">
        <v>0.53029493999999999</v>
      </c>
      <c r="K268">
        <v>0.55797092999999998</v>
      </c>
      <c r="L268">
        <v>0.62847819000000005</v>
      </c>
      <c r="M268">
        <v>0.71082087000000005</v>
      </c>
      <c r="N268">
        <v>0.75127337999999999</v>
      </c>
      <c r="O268">
        <v>0.76778152499999996</v>
      </c>
      <c r="P268">
        <v>0.75044769</v>
      </c>
      <c r="Q268">
        <v>0.71072723999999998</v>
      </c>
      <c r="R268">
        <v>0.69691648500000003</v>
      </c>
      <c r="S268">
        <v>0.69524246999999995</v>
      </c>
      <c r="T268">
        <v>0.68032292999999999</v>
      </c>
      <c r="U268">
        <v>0.66638995499999998</v>
      </c>
      <c r="V268">
        <v>0.63007015499999997</v>
      </c>
      <c r="W268">
        <v>0.67665485999999997</v>
      </c>
      <c r="X268">
        <v>0.67600830000000001</v>
      </c>
      <c r="Y268">
        <v>0.67545719999999998</v>
      </c>
      <c r="Z268">
        <v>0.62812931999999999</v>
      </c>
      <c r="AA268">
        <v>0.61999008</v>
      </c>
      <c r="AB268">
        <v>0.59833942500000004</v>
      </c>
    </row>
    <row r="269" spans="1:28" hidden="1" x14ac:dyDescent="0.25">
      <c r="A269" t="s">
        <v>74</v>
      </c>
      <c r="B269" t="s">
        <v>95</v>
      </c>
      <c r="C269">
        <v>34</v>
      </c>
      <c r="D269" t="s">
        <v>2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</row>
    <row r="270" spans="1:28" hidden="1" x14ac:dyDescent="0.25">
      <c r="A270" t="s">
        <v>74</v>
      </c>
      <c r="B270" t="s">
        <v>95</v>
      </c>
      <c r="C270">
        <v>34</v>
      </c>
      <c r="D270" t="s">
        <v>3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</row>
    <row r="271" spans="1:28" hidden="1" x14ac:dyDescent="0.25">
      <c r="A271" t="s">
        <v>74</v>
      </c>
      <c r="B271" t="s">
        <v>95</v>
      </c>
      <c r="C271">
        <v>34</v>
      </c>
      <c r="D271" t="s">
        <v>4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</row>
    <row r="272" spans="1:28" hidden="1" x14ac:dyDescent="0.25">
      <c r="A272" t="s">
        <v>74</v>
      </c>
      <c r="B272" t="s">
        <v>96</v>
      </c>
      <c r="C272">
        <v>34</v>
      </c>
      <c r="D272" t="s">
        <v>2</v>
      </c>
      <c r="E272">
        <v>34.639897949999998</v>
      </c>
      <c r="F272">
        <v>33.127119899999997</v>
      </c>
      <c r="G272">
        <v>31.86063261</v>
      </c>
      <c r="H272">
        <v>30.697956659999999</v>
      </c>
      <c r="I272">
        <v>29.629911</v>
      </c>
      <c r="J272">
        <v>29.338035090000002</v>
      </c>
      <c r="K272">
        <v>30.8025828</v>
      </c>
      <c r="L272">
        <v>33.602817600000002</v>
      </c>
      <c r="M272">
        <v>37.562547719999998</v>
      </c>
      <c r="N272">
        <v>39.703411440000004</v>
      </c>
      <c r="O272">
        <v>40.627512009999997</v>
      </c>
      <c r="P272">
        <v>41.209852480000002</v>
      </c>
      <c r="Q272">
        <v>40.309167709999997</v>
      </c>
      <c r="R272">
        <v>39.723856130000001</v>
      </c>
      <c r="S272">
        <v>40.282392799999997</v>
      </c>
      <c r="T272">
        <v>40.576449269999998</v>
      </c>
      <c r="U272">
        <v>40.711075569999998</v>
      </c>
      <c r="V272">
        <v>40.44103921</v>
      </c>
      <c r="W272">
        <v>43.72635064</v>
      </c>
      <c r="X272">
        <v>43.816903050000001</v>
      </c>
      <c r="Y272">
        <v>43.632190799999996</v>
      </c>
      <c r="Z272">
        <v>39.587102620000003</v>
      </c>
      <c r="AA272">
        <v>37.654826730000003</v>
      </c>
      <c r="AB272">
        <v>35.598705119999998</v>
      </c>
    </row>
    <row r="273" spans="1:28" hidden="1" x14ac:dyDescent="0.25">
      <c r="A273" t="s">
        <v>74</v>
      </c>
      <c r="B273" t="s">
        <v>96</v>
      </c>
      <c r="C273">
        <v>34</v>
      </c>
      <c r="D273" t="s">
        <v>3</v>
      </c>
      <c r="E273">
        <v>7.4612074111000002</v>
      </c>
      <c r="F273">
        <v>7.2725099660000003</v>
      </c>
      <c r="G273">
        <v>7.0658038138999997</v>
      </c>
      <c r="H273">
        <v>6.9158153820999999</v>
      </c>
      <c r="I273">
        <v>6.8072470011000004</v>
      </c>
      <c r="J273">
        <v>7.0752684064000002</v>
      </c>
      <c r="K273">
        <v>8.3797828504999998</v>
      </c>
      <c r="L273">
        <v>10.2122942738</v>
      </c>
      <c r="M273">
        <v>12.296823999100001</v>
      </c>
      <c r="N273">
        <v>13.2642030174</v>
      </c>
      <c r="O273">
        <v>13.9903712367</v>
      </c>
      <c r="P273">
        <v>14.2587510578</v>
      </c>
      <c r="Q273">
        <v>14.1804517522</v>
      </c>
      <c r="R273">
        <v>14.130005908499999</v>
      </c>
      <c r="S273">
        <v>14.705913578700001</v>
      </c>
      <c r="T273">
        <v>14.6990012933</v>
      </c>
      <c r="U273">
        <v>14.4756913716</v>
      </c>
      <c r="V273">
        <v>13.543234308700001</v>
      </c>
      <c r="W273">
        <v>12.859933685</v>
      </c>
      <c r="X273">
        <v>12.0257032599</v>
      </c>
      <c r="Y273">
        <v>11.062454514100001</v>
      </c>
      <c r="Z273">
        <v>9.2317002410000004</v>
      </c>
      <c r="AA273">
        <v>8.4812994558000003</v>
      </c>
      <c r="AB273">
        <v>7.9429800966000004</v>
      </c>
    </row>
    <row r="274" spans="1:28" hidden="1" x14ac:dyDescent="0.25">
      <c r="A274" t="s">
        <v>74</v>
      </c>
      <c r="B274" t="s">
        <v>96</v>
      </c>
      <c r="C274">
        <v>34</v>
      </c>
      <c r="D274" t="s">
        <v>4</v>
      </c>
      <c r="E274">
        <v>1.0713370499999999</v>
      </c>
      <c r="F274">
        <v>1.0245500999999999</v>
      </c>
      <c r="G274">
        <v>0.98538038999999999</v>
      </c>
      <c r="H274">
        <v>0.94942134</v>
      </c>
      <c r="I274">
        <v>0.91638900000000001</v>
      </c>
      <c r="J274">
        <v>0.90736190999999999</v>
      </c>
      <c r="K274">
        <v>0.95265719999999998</v>
      </c>
      <c r="L274">
        <v>1.0392623999999999</v>
      </c>
      <c r="M274">
        <v>1.1617282799999999</v>
      </c>
      <c r="N274">
        <v>1.22794056</v>
      </c>
      <c r="O274">
        <v>1.2565209900000001</v>
      </c>
      <c r="P274">
        <v>1.27453152</v>
      </c>
      <c r="Q274">
        <v>1.24667529</v>
      </c>
      <c r="R274">
        <v>1.22857287</v>
      </c>
      <c r="S274">
        <v>1.2458472</v>
      </c>
      <c r="T274">
        <v>1.2549417300000001</v>
      </c>
      <c r="U274">
        <v>1.25910543</v>
      </c>
      <c r="V274">
        <v>1.2507537900000001</v>
      </c>
      <c r="W274">
        <v>1.35236136</v>
      </c>
      <c r="X274">
        <v>1.3551619500000001</v>
      </c>
      <c r="Y274">
        <v>1.3494492</v>
      </c>
      <c r="Z274">
        <v>1.2243433800000001</v>
      </c>
      <c r="AA274">
        <v>1.1645822699999999</v>
      </c>
      <c r="AB274">
        <v>1.1009908799999999</v>
      </c>
    </row>
    <row r="275" spans="1:28" hidden="1" x14ac:dyDescent="0.25">
      <c r="A275" t="s">
        <v>74</v>
      </c>
      <c r="B275" t="s">
        <v>97</v>
      </c>
      <c r="C275">
        <v>14</v>
      </c>
      <c r="D275" t="s">
        <v>2</v>
      </c>
      <c r="E275">
        <v>23.967060750000002</v>
      </c>
      <c r="F275">
        <v>23.570306550000002</v>
      </c>
      <c r="G275">
        <v>23.2863525</v>
      </c>
      <c r="H275">
        <v>22.904415449999998</v>
      </c>
      <c r="I275">
        <v>22.697229</v>
      </c>
      <c r="J275">
        <v>22.153956300000001</v>
      </c>
      <c r="K275">
        <v>20.496504600000002</v>
      </c>
      <c r="L275">
        <v>18.692617049999999</v>
      </c>
      <c r="M275">
        <v>18.195626449999999</v>
      </c>
      <c r="N275">
        <v>22.031682750000002</v>
      </c>
      <c r="O275">
        <v>25.198690150000001</v>
      </c>
      <c r="P275">
        <v>25.5845108</v>
      </c>
      <c r="Q275">
        <v>23.615923649999999</v>
      </c>
      <c r="R275">
        <v>24.503470650000001</v>
      </c>
      <c r="S275">
        <v>20.374437199999999</v>
      </c>
      <c r="T275">
        <v>17.238921349999998</v>
      </c>
      <c r="U275">
        <v>17.660458200000001</v>
      </c>
      <c r="V275">
        <v>18.71935195</v>
      </c>
      <c r="W275">
        <v>23.807392350000001</v>
      </c>
      <c r="X275">
        <v>25.314422</v>
      </c>
      <c r="Y275">
        <v>25.805021</v>
      </c>
      <c r="Z275">
        <v>24.80486385</v>
      </c>
      <c r="AA275">
        <v>24.68172105</v>
      </c>
      <c r="AB275">
        <v>24.380352550000001</v>
      </c>
    </row>
    <row r="276" spans="1:28" hidden="1" x14ac:dyDescent="0.25">
      <c r="A276" t="s">
        <v>74</v>
      </c>
      <c r="B276" t="s">
        <v>97</v>
      </c>
      <c r="C276">
        <v>14</v>
      </c>
      <c r="D276" t="s">
        <v>3</v>
      </c>
      <c r="E276">
        <v>12.7649583866</v>
      </c>
      <c r="F276">
        <v>12.9506650128</v>
      </c>
      <c r="G276">
        <v>12.7152467942</v>
      </c>
      <c r="H276">
        <v>12.6466698046</v>
      </c>
      <c r="I276">
        <v>12.4322769457</v>
      </c>
      <c r="J276">
        <v>12.107714917399999</v>
      </c>
      <c r="K276">
        <v>14.5111407361</v>
      </c>
      <c r="L276">
        <v>16.189727635400001</v>
      </c>
      <c r="M276">
        <v>16.060240347899999</v>
      </c>
      <c r="N276">
        <v>16.7562682356</v>
      </c>
      <c r="O276">
        <v>17.4755141889</v>
      </c>
      <c r="P276">
        <v>17.544918532000001</v>
      </c>
      <c r="Q276">
        <v>18.245892531799999</v>
      </c>
      <c r="R276">
        <v>16.366929255599999</v>
      </c>
      <c r="S276">
        <v>15.8437068673</v>
      </c>
      <c r="T276">
        <v>14.811455542299999</v>
      </c>
      <c r="U276">
        <v>14.0583315899</v>
      </c>
      <c r="V276">
        <v>13.720953184400001</v>
      </c>
      <c r="W276">
        <v>13.5662177281</v>
      </c>
      <c r="X276">
        <v>13.555775824199999</v>
      </c>
      <c r="Y276">
        <v>14.363045017899999</v>
      </c>
      <c r="Z276">
        <v>14.011016312400001</v>
      </c>
      <c r="AA276">
        <v>14.148244355599999</v>
      </c>
      <c r="AB276">
        <v>13.889447261300001</v>
      </c>
    </row>
    <row r="277" spans="1:28" hidden="1" x14ac:dyDescent="0.25">
      <c r="A277" t="s">
        <v>74</v>
      </c>
      <c r="B277" t="s">
        <v>97</v>
      </c>
      <c r="C277">
        <v>14</v>
      </c>
      <c r="D277" t="s">
        <v>4</v>
      </c>
      <c r="E277">
        <v>1.2614242499999999</v>
      </c>
      <c r="F277">
        <v>1.24054245</v>
      </c>
      <c r="G277">
        <v>1.2255974999999999</v>
      </c>
      <c r="H277">
        <v>1.20549555</v>
      </c>
      <c r="I277">
        <v>1.194591</v>
      </c>
      <c r="J277">
        <v>1.1659976999999999</v>
      </c>
      <c r="K277">
        <v>1.0787633999999999</v>
      </c>
      <c r="L277">
        <v>0.98382194999999995</v>
      </c>
      <c r="M277">
        <v>0.95766454999999995</v>
      </c>
      <c r="N277">
        <v>1.15956225</v>
      </c>
      <c r="O277">
        <v>1.32624685</v>
      </c>
      <c r="P277">
        <v>1.3465532</v>
      </c>
      <c r="Q277">
        <v>1.24294335</v>
      </c>
      <c r="R277">
        <v>1.28965635</v>
      </c>
      <c r="S277">
        <v>1.0723388</v>
      </c>
      <c r="T277">
        <v>0.90731165000000003</v>
      </c>
      <c r="U277">
        <v>0.92949780000000004</v>
      </c>
      <c r="V277">
        <v>0.98522905000000005</v>
      </c>
      <c r="W277">
        <v>1.2530206500000001</v>
      </c>
      <c r="X277">
        <v>1.332338</v>
      </c>
      <c r="Y277">
        <v>1.3581589999999999</v>
      </c>
      <c r="Z277">
        <v>1.3055191500000001</v>
      </c>
      <c r="AA277">
        <v>1.29903795</v>
      </c>
      <c r="AB277">
        <v>1.28317645</v>
      </c>
    </row>
    <row r="278" spans="1:28" hidden="1" x14ac:dyDescent="0.25">
      <c r="A278" t="s">
        <v>74</v>
      </c>
      <c r="B278" t="s">
        <v>98</v>
      </c>
      <c r="C278">
        <v>34</v>
      </c>
      <c r="D278" t="s">
        <v>2</v>
      </c>
      <c r="E278">
        <v>15.1695487</v>
      </c>
      <c r="F278">
        <v>14.749978110000001</v>
      </c>
      <c r="G278">
        <v>14.351124779999999</v>
      </c>
      <c r="H278">
        <v>14.096988659999999</v>
      </c>
      <c r="I278">
        <v>13.7504484</v>
      </c>
      <c r="J278">
        <v>13.18533804</v>
      </c>
      <c r="K278">
        <v>12.27666726</v>
      </c>
      <c r="L278">
        <v>11.875541220000001</v>
      </c>
      <c r="M278">
        <v>11.81508112</v>
      </c>
      <c r="N278">
        <v>11.99981277</v>
      </c>
      <c r="O278">
        <v>12.25615661</v>
      </c>
      <c r="P278">
        <v>12.71497922</v>
      </c>
      <c r="Q278">
        <v>13.06545283</v>
      </c>
      <c r="R278">
        <v>13.58849429</v>
      </c>
      <c r="S278">
        <v>13.629795919999999</v>
      </c>
      <c r="T278">
        <v>14.03849475</v>
      </c>
      <c r="U278">
        <v>13.26104945</v>
      </c>
      <c r="V278">
        <v>12.67791746</v>
      </c>
      <c r="W278">
        <v>15.78410869</v>
      </c>
      <c r="X278">
        <v>16.35799755</v>
      </c>
      <c r="Y278">
        <v>16.6364506</v>
      </c>
      <c r="Z278">
        <v>16.002342200000001</v>
      </c>
      <c r="AA278">
        <v>16.212180360000001</v>
      </c>
      <c r="AB278">
        <v>15.978964230000001</v>
      </c>
    </row>
    <row r="279" spans="1:28" hidden="1" x14ac:dyDescent="0.25">
      <c r="A279" t="s">
        <v>74</v>
      </c>
      <c r="B279" t="s">
        <v>98</v>
      </c>
      <c r="C279">
        <v>34</v>
      </c>
      <c r="D279" t="s">
        <v>3</v>
      </c>
      <c r="E279">
        <v>5.3252202952000003</v>
      </c>
      <c r="F279">
        <v>5.2916436718000002</v>
      </c>
      <c r="G279">
        <v>5.2363262957999996</v>
      </c>
      <c r="H279">
        <v>5.2048789036000001</v>
      </c>
      <c r="I279">
        <v>5.1469956634000003</v>
      </c>
      <c r="J279">
        <v>4.9294607435</v>
      </c>
      <c r="K279">
        <v>4.7220151025000003</v>
      </c>
      <c r="L279">
        <v>4.6673214516000003</v>
      </c>
      <c r="M279">
        <v>4.6031805647999997</v>
      </c>
      <c r="N279">
        <v>4.5878493064999999</v>
      </c>
      <c r="O279">
        <v>4.6004042151000002</v>
      </c>
      <c r="P279">
        <v>4.6460645172000001</v>
      </c>
      <c r="Q279">
        <v>4.7564144465</v>
      </c>
      <c r="R279">
        <v>4.9242981359</v>
      </c>
      <c r="S279">
        <v>5.0982867377999996</v>
      </c>
      <c r="T279">
        <v>5.1166853871000004</v>
      </c>
      <c r="U279">
        <v>5.0226729306999998</v>
      </c>
      <c r="V279">
        <v>4.8666137947000001</v>
      </c>
      <c r="W279">
        <v>5.0773642685000002</v>
      </c>
      <c r="X279">
        <v>5.0907717238999997</v>
      </c>
      <c r="Y279">
        <v>5.2416167045000002</v>
      </c>
      <c r="Z279">
        <v>5.1041845817000002</v>
      </c>
      <c r="AA279">
        <v>5.3476469179999997</v>
      </c>
      <c r="AB279">
        <v>5.4113732509999997</v>
      </c>
    </row>
    <row r="280" spans="1:28" hidden="1" x14ac:dyDescent="0.25">
      <c r="A280" t="s">
        <v>74</v>
      </c>
      <c r="B280" t="s">
        <v>98</v>
      </c>
      <c r="C280">
        <v>34</v>
      </c>
      <c r="D280" t="s">
        <v>4</v>
      </c>
      <c r="E280">
        <v>0.4691613</v>
      </c>
      <c r="F280">
        <v>0.45618489000000001</v>
      </c>
      <c r="G280">
        <v>0.44384921999999999</v>
      </c>
      <c r="H280">
        <v>0.43598934</v>
      </c>
      <c r="I280">
        <v>0.42527160000000003</v>
      </c>
      <c r="J280">
        <v>0.40779396000000001</v>
      </c>
      <c r="K280">
        <v>0.37969074000000003</v>
      </c>
      <c r="L280">
        <v>0.36728477999999998</v>
      </c>
      <c r="M280">
        <v>0.36541488</v>
      </c>
      <c r="N280">
        <v>0.37112823</v>
      </c>
      <c r="O280">
        <v>0.37905639000000002</v>
      </c>
      <c r="P280">
        <v>0.39324678000000002</v>
      </c>
      <c r="Q280">
        <v>0.40408617000000002</v>
      </c>
      <c r="R280">
        <v>0.42026270999999998</v>
      </c>
      <c r="S280">
        <v>0.42154007999999998</v>
      </c>
      <c r="T280">
        <v>0.43418024999999999</v>
      </c>
      <c r="U280">
        <v>0.41013555000000002</v>
      </c>
      <c r="V280">
        <v>0.39210054</v>
      </c>
      <c r="W280">
        <v>0.48816830999999999</v>
      </c>
      <c r="X280">
        <v>0.50591744999999999</v>
      </c>
      <c r="Y280">
        <v>0.51452940000000003</v>
      </c>
      <c r="Z280">
        <v>0.49491780000000002</v>
      </c>
      <c r="AA280">
        <v>0.50140764000000004</v>
      </c>
      <c r="AB280">
        <v>0.49419477000000001</v>
      </c>
    </row>
    <row r="281" spans="1:28" hidden="1" x14ac:dyDescent="0.25">
      <c r="A281" t="s">
        <v>74</v>
      </c>
      <c r="B281" t="s">
        <v>99</v>
      </c>
      <c r="C281">
        <v>110</v>
      </c>
      <c r="D281" t="s">
        <v>2</v>
      </c>
      <c r="E281">
        <v>16.704378599999998</v>
      </c>
      <c r="F281">
        <v>16.35186483</v>
      </c>
      <c r="G281">
        <v>16.0000839</v>
      </c>
      <c r="H281">
        <v>15.895391204999999</v>
      </c>
      <c r="I281">
        <v>15.890926199999999</v>
      </c>
      <c r="J281">
        <v>15.39361152</v>
      </c>
      <c r="K281">
        <v>14.02402221</v>
      </c>
      <c r="L281">
        <v>13.138435305</v>
      </c>
      <c r="M281">
        <v>12.508756325</v>
      </c>
      <c r="N281">
        <v>12.118091535</v>
      </c>
      <c r="O281">
        <v>12.507128120000001</v>
      </c>
      <c r="P281">
        <v>13.491279049999999</v>
      </c>
      <c r="Q281">
        <v>14.274981495</v>
      </c>
      <c r="R281">
        <v>15.144833025000001</v>
      </c>
      <c r="S281">
        <v>15.8297971</v>
      </c>
      <c r="T281">
        <v>16.240807064999998</v>
      </c>
      <c r="U281">
        <v>16.145276840000001</v>
      </c>
      <c r="V281">
        <v>15.738740744999999</v>
      </c>
      <c r="W281">
        <v>18.192271335000001</v>
      </c>
      <c r="X281">
        <v>19.033883899999999</v>
      </c>
      <c r="Y281">
        <v>19.956553100000001</v>
      </c>
      <c r="Z281">
        <v>18.945445674999998</v>
      </c>
      <c r="AA281">
        <v>18.639541120000001</v>
      </c>
      <c r="AB281">
        <v>18.120243210000002</v>
      </c>
    </row>
    <row r="282" spans="1:28" hidden="1" x14ac:dyDescent="0.25">
      <c r="A282" t="s">
        <v>74</v>
      </c>
      <c r="B282" t="s">
        <v>99</v>
      </c>
      <c r="C282">
        <v>110</v>
      </c>
      <c r="D282" t="s">
        <v>3</v>
      </c>
      <c r="E282">
        <v>8.9910792377999993</v>
      </c>
      <c r="F282">
        <v>8.7937742991000007</v>
      </c>
      <c r="G282">
        <v>8.5998010133000005</v>
      </c>
      <c r="H282">
        <v>8.4146815303999993</v>
      </c>
      <c r="I282">
        <v>8.2784518378000005</v>
      </c>
      <c r="J282">
        <v>7.7181863734</v>
      </c>
      <c r="K282">
        <v>6.8508216329999998</v>
      </c>
      <c r="L282">
        <v>6.5760903994</v>
      </c>
      <c r="M282">
        <v>6.4457902475999997</v>
      </c>
      <c r="N282">
        <v>6.3689105266999997</v>
      </c>
      <c r="O282">
        <v>6.5716611087999999</v>
      </c>
      <c r="P282">
        <v>6.9304551899</v>
      </c>
      <c r="Q282">
        <v>7.3965110547000004</v>
      </c>
      <c r="R282">
        <v>8.0529648115000008</v>
      </c>
      <c r="S282">
        <v>8.4336106298000004</v>
      </c>
      <c r="T282">
        <v>8.3168144789999996</v>
      </c>
      <c r="U282">
        <v>7.9602784704999996</v>
      </c>
      <c r="V282">
        <v>7.7554148904</v>
      </c>
      <c r="W282">
        <v>8.9633924941000007</v>
      </c>
      <c r="X282">
        <v>9.4026640431999997</v>
      </c>
      <c r="Y282">
        <v>9.9764464263000008</v>
      </c>
      <c r="Z282">
        <v>9.5254699193000008</v>
      </c>
      <c r="AA282">
        <v>9.3701062994999997</v>
      </c>
      <c r="AB282">
        <v>9.2104188894999997</v>
      </c>
    </row>
    <row r="283" spans="1:28" hidden="1" x14ac:dyDescent="0.25">
      <c r="A283" t="s">
        <v>74</v>
      </c>
      <c r="B283" t="s">
        <v>99</v>
      </c>
      <c r="C283">
        <v>110</v>
      </c>
      <c r="D283" t="s">
        <v>4</v>
      </c>
      <c r="E283">
        <v>0.25438139999999998</v>
      </c>
      <c r="F283">
        <v>0.24901317000000001</v>
      </c>
      <c r="G283">
        <v>0.24365609999999999</v>
      </c>
      <c r="H283">
        <v>0.242061795</v>
      </c>
      <c r="I283">
        <v>0.24199380000000001</v>
      </c>
      <c r="J283">
        <v>0.23442047999999999</v>
      </c>
      <c r="K283">
        <v>0.21356379</v>
      </c>
      <c r="L283">
        <v>0.200077695</v>
      </c>
      <c r="M283">
        <v>0.190488675</v>
      </c>
      <c r="N283">
        <v>0.18453946500000001</v>
      </c>
      <c r="O283">
        <v>0.19046388</v>
      </c>
      <c r="P283">
        <v>0.20545094999999999</v>
      </c>
      <c r="Q283">
        <v>0.21738550500000001</v>
      </c>
      <c r="R283">
        <v>0.23063197499999999</v>
      </c>
      <c r="S283">
        <v>0.2410629</v>
      </c>
      <c r="T283">
        <v>0.24732193499999999</v>
      </c>
      <c r="U283">
        <v>0.24586716</v>
      </c>
      <c r="V283">
        <v>0.239676255</v>
      </c>
      <c r="W283">
        <v>0.27703966499999999</v>
      </c>
      <c r="X283">
        <v>0.28985610000000001</v>
      </c>
      <c r="Y283">
        <v>0.30390689999999998</v>
      </c>
      <c r="Z283">
        <v>0.28850932499999998</v>
      </c>
      <c r="AA283">
        <v>0.28385088000000003</v>
      </c>
      <c r="AB283">
        <v>0.27594278999999999</v>
      </c>
    </row>
    <row r="284" spans="1:28" hidden="1" x14ac:dyDescent="0.25">
      <c r="A284" t="s">
        <v>74</v>
      </c>
      <c r="B284" t="s">
        <v>100</v>
      </c>
      <c r="C284">
        <v>34</v>
      </c>
      <c r="D284" t="s">
        <v>2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</row>
    <row r="285" spans="1:28" hidden="1" x14ac:dyDescent="0.25">
      <c r="A285" t="s">
        <v>74</v>
      </c>
      <c r="B285" t="s">
        <v>100</v>
      </c>
      <c r="C285">
        <v>34</v>
      </c>
      <c r="D285" t="s">
        <v>3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</row>
    <row r="286" spans="1:28" hidden="1" x14ac:dyDescent="0.25">
      <c r="A286" t="s">
        <v>74</v>
      </c>
      <c r="B286" t="s">
        <v>100</v>
      </c>
      <c r="C286">
        <v>34</v>
      </c>
      <c r="D286" t="s">
        <v>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</row>
    <row r="287" spans="1:28" hidden="1" x14ac:dyDescent="0.25">
      <c r="A287" t="s">
        <v>74</v>
      </c>
      <c r="B287" t="s">
        <v>101</v>
      </c>
      <c r="C287">
        <v>34</v>
      </c>
      <c r="D287" t="s">
        <v>2</v>
      </c>
      <c r="E287">
        <v>53.34951015</v>
      </c>
      <c r="F287">
        <v>51.138620189999997</v>
      </c>
      <c r="G287">
        <v>49.164313229999998</v>
      </c>
      <c r="H287">
        <v>47.658612300000001</v>
      </c>
      <c r="I287">
        <v>46.275547500000002</v>
      </c>
      <c r="J287">
        <v>45.240710759999999</v>
      </c>
      <c r="K287">
        <v>43.706710080000001</v>
      </c>
      <c r="L287">
        <v>44.256438180000004</v>
      </c>
      <c r="M287">
        <v>46.36504455</v>
      </c>
      <c r="N287">
        <v>48.277546020000003</v>
      </c>
      <c r="O287">
        <v>49.703656510000002</v>
      </c>
      <c r="P287">
        <v>50.724000480000001</v>
      </c>
      <c r="Q287">
        <v>50.68644887</v>
      </c>
      <c r="R287">
        <v>50.018374950000002</v>
      </c>
      <c r="S287">
        <v>51.801501700000003</v>
      </c>
      <c r="T287">
        <v>52.486638890000002</v>
      </c>
      <c r="U287">
        <v>52.344789970000001</v>
      </c>
      <c r="V287">
        <v>51.44972053</v>
      </c>
      <c r="W287">
        <v>55.186886090000002</v>
      </c>
      <c r="X287">
        <v>56.208614249999997</v>
      </c>
      <c r="Y287">
        <v>56.383907800000003</v>
      </c>
      <c r="Z287">
        <v>53.346125819999997</v>
      </c>
      <c r="AA287">
        <v>54.010410919999998</v>
      </c>
      <c r="AB287">
        <v>53.75014925</v>
      </c>
    </row>
    <row r="288" spans="1:28" hidden="1" x14ac:dyDescent="0.25">
      <c r="A288" t="s">
        <v>74</v>
      </c>
      <c r="B288" t="s">
        <v>101</v>
      </c>
      <c r="C288">
        <v>34</v>
      </c>
      <c r="D288" t="s">
        <v>3</v>
      </c>
      <c r="E288">
        <v>11.784827504000001</v>
      </c>
      <c r="F288">
        <v>11.4472588644</v>
      </c>
      <c r="G288">
        <v>11.435397570399999</v>
      </c>
      <c r="H288">
        <v>11.320348153999999</v>
      </c>
      <c r="I288">
        <v>11.220415505</v>
      </c>
      <c r="J288">
        <v>11.038433230600001</v>
      </c>
      <c r="K288">
        <v>10.8753597189</v>
      </c>
      <c r="L288">
        <v>11.049075416000001</v>
      </c>
      <c r="M288">
        <v>11.198296279499999</v>
      </c>
      <c r="N288">
        <v>11.2807045552</v>
      </c>
      <c r="O288">
        <v>11.3862799814</v>
      </c>
      <c r="P288">
        <v>11.446786377900001</v>
      </c>
      <c r="Q288">
        <v>11.647209378399999</v>
      </c>
      <c r="R288">
        <v>11.791406498100001</v>
      </c>
      <c r="S288">
        <v>12.2141456237</v>
      </c>
      <c r="T288">
        <v>12.344274996299999</v>
      </c>
      <c r="U288">
        <v>12.3350213121</v>
      </c>
      <c r="V288">
        <v>11.981329497300001</v>
      </c>
      <c r="W288">
        <v>11.7988517827</v>
      </c>
      <c r="X288">
        <v>11.571502859200001</v>
      </c>
      <c r="Y288">
        <v>11.493419489000001</v>
      </c>
      <c r="Z288">
        <v>10.759603604800001</v>
      </c>
      <c r="AA288">
        <v>11.2052268011</v>
      </c>
      <c r="AB288">
        <v>11.5801024724</v>
      </c>
    </row>
    <row r="289" spans="1:28" hidden="1" x14ac:dyDescent="0.25">
      <c r="A289" t="s">
        <v>74</v>
      </c>
      <c r="B289" t="s">
        <v>101</v>
      </c>
      <c r="C289">
        <v>34</v>
      </c>
      <c r="D289" t="s">
        <v>4</v>
      </c>
      <c r="E289">
        <v>1.6499848500000001</v>
      </c>
      <c r="F289">
        <v>1.58160681</v>
      </c>
      <c r="G289">
        <v>1.52054577</v>
      </c>
      <c r="H289">
        <v>1.4739777000000001</v>
      </c>
      <c r="I289">
        <v>1.4312024999999999</v>
      </c>
      <c r="J289">
        <v>1.3991972399999999</v>
      </c>
      <c r="K289">
        <v>1.3517539199999999</v>
      </c>
      <c r="L289">
        <v>1.3687558200000001</v>
      </c>
      <c r="M289">
        <v>1.4339704499999999</v>
      </c>
      <c r="N289">
        <v>1.4931199799999999</v>
      </c>
      <c r="O289">
        <v>1.5372264899999999</v>
      </c>
      <c r="P289">
        <v>1.56878352</v>
      </c>
      <c r="Q289">
        <v>1.5676221299999999</v>
      </c>
      <c r="R289">
        <v>1.54696005</v>
      </c>
      <c r="S289">
        <v>1.6021083</v>
      </c>
      <c r="T289">
        <v>1.6232981099999999</v>
      </c>
      <c r="U289">
        <v>1.61891103</v>
      </c>
      <c r="V289">
        <v>1.5912284699999999</v>
      </c>
      <c r="W289">
        <v>1.70681091</v>
      </c>
      <c r="X289">
        <v>1.7384107499999999</v>
      </c>
      <c r="Y289">
        <v>1.7438321999999999</v>
      </c>
      <c r="Z289">
        <v>1.64988018</v>
      </c>
      <c r="AA289">
        <v>1.67042508</v>
      </c>
      <c r="AB289">
        <v>1.66237575</v>
      </c>
    </row>
    <row r="290" spans="1:28" hidden="1" x14ac:dyDescent="0.25">
      <c r="A290" t="s">
        <v>74</v>
      </c>
      <c r="B290" t="s">
        <v>102</v>
      </c>
      <c r="C290">
        <v>110</v>
      </c>
      <c r="D290" t="s">
        <v>2</v>
      </c>
      <c r="E290">
        <v>12.09996655</v>
      </c>
      <c r="F290">
        <v>12.185926515</v>
      </c>
      <c r="G290">
        <v>12.259523744999999</v>
      </c>
      <c r="H290">
        <v>12.221820900000001</v>
      </c>
      <c r="I290">
        <v>12.303763050000001</v>
      </c>
      <c r="J290">
        <v>13.008403485000001</v>
      </c>
      <c r="K290">
        <v>12.801184109999999</v>
      </c>
      <c r="L290">
        <v>13.138435305</v>
      </c>
      <c r="M290">
        <v>12.946728694999999</v>
      </c>
      <c r="N290">
        <v>12.562174844999999</v>
      </c>
      <c r="O290">
        <v>12.268181895</v>
      </c>
      <c r="P290">
        <v>12.15250251</v>
      </c>
      <c r="Q290">
        <v>12.18512965</v>
      </c>
      <c r="R290">
        <v>12.150208445000001</v>
      </c>
      <c r="S290">
        <v>12.285603589999999</v>
      </c>
      <c r="T290">
        <v>12.41819838</v>
      </c>
      <c r="U290">
        <v>12.58712785</v>
      </c>
      <c r="V290">
        <v>12.642824675</v>
      </c>
      <c r="W290">
        <v>13.34255587</v>
      </c>
      <c r="X290">
        <v>13.361850049999999</v>
      </c>
      <c r="Y290">
        <v>13.093230699999999</v>
      </c>
      <c r="Z290">
        <v>12.065856985</v>
      </c>
      <c r="AA290">
        <v>12.04825602</v>
      </c>
      <c r="AB290">
        <v>12.0193049</v>
      </c>
    </row>
    <row r="291" spans="1:28" hidden="1" x14ac:dyDescent="0.25">
      <c r="A291" t="s">
        <v>74</v>
      </c>
      <c r="B291" t="s">
        <v>102</v>
      </c>
      <c r="C291">
        <v>110</v>
      </c>
      <c r="D291" t="s">
        <v>3</v>
      </c>
      <c r="E291">
        <v>7.2088604618999996</v>
      </c>
      <c r="F291">
        <v>7.2142331664999997</v>
      </c>
      <c r="G291">
        <v>7.2181303220000004</v>
      </c>
      <c r="H291">
        <v>7.1433357101999997</v>
      </c>
      <c r="I291">
        <v>7.6148416270999997</v>
      </c>
      <c r="J291">
        <v>8.0506041196999991</v>
      </c>
      <c r="K291">
        <v>8.1676938824</v>
      </c>
      <c r="L291">
        <v>8.0664653744999999</v>
      </c>
      <c r="M291">
        <v>7.8699878076000003</v>
      </c>
      <c r="N291">
        <v>7.6243020063999998</v>
      </c>
      <c r="O291">
        <v>7.4183584380000003</v>
      </c>
      <c r="P291">
        <v>7.3269138472000002</v>
      </c>
      <c r="Q291">
        <v>7.3172913347000001</v>
      </c>
      <c r="R291">
        <v>7.2757633115000004</v>
      </c>
      <c r="S291">
        <v>7.3451424730000001</v>
      </c>
      <c r="T291">
        <v>7.4033860191</v>
      </c>
      <c r="U291">
        <v>7.4757661189000002</v>
      </c>
      <c r="V291">
        <v>7.4800305999000001</v>
      </c>
      <c r="W291">
        <v>7.9565813069000004</v>
      </c>
      <c r="X291">
        <v>7.8738928239000003</v>
      </c>
      <c r="Y291">
        <v>7.7992361404999997</v>
      </c>
      <c r="Z291">
        <v>7.21216758</v>
      </c>
      <c r="AA291">
        <v>7.0265116648000001</v>
      </c>
      <c r="AB291">
        <v>7.0862639831000003</v>
      </c>
    </row>
    <row r="292" spans="1:28" hidden="1" x14ac:dyDescent="0.25">
      <c r="A292" t="s">
        <v>74</v>
      </c>
      <c r="B292" t="s">
        <v>102</v>
      </c>
      <c r="C292">
        <v>110</v>
      </c>
      <c r="D292" t="s">
        <v>4</v>
      </c>
      <c r="E292">
        <v>0.18426345</v>
      </c>
      <c r="F292">
        <v>0.18557248500000001</v>
      </c>
      <c r="G292">
        <v>0.186693255</v>
      </c>
      <c r="H292">
        <v>0.18611910000000001</v>
      </c>
      <c r="I292">
        <v>0.18736695</v>
      </c>
      <c r="J292">
        <v>0.198097515</v>
      </c>
      <c r="K292">
        <v>0.19494189000000001</v>
      </c>
      <c r="L292">
        <v>0.200077695</v>
      </c>
      <c r="M292">
        <v>0.19715830500000001</v>
      </c>
      <c r="N292">
        <v>0.191302155</v>
      </c>
      <c r="O292">
        <v>0.18682510499999999</v>
      </c>
      <c r="P292">
        <v>0.18506349</v>
      </c>
      <c r="Q292">
        <v>0.18556035000000001</v>
      </c>
      <c r="R292">
        <v>0.18502855500000001</v>
      </c>
      <c r="S292">
        <v>0.18709041000000001</v>
      </c>
      <c r="T292">
        <v>0.18910962000000001</v>
      </c>
      <c r="U292">
        <v>0.19168215</v>
      </c>
      <c r="V292">
        <v>0.192530325</v>
      </c>
      <c r="W292">
        <v>0.20318612999999999</v>
      </c>
      <c r="X292">
        <v>0.20347994999999999</v>
      </c>
      <c r="Y292">
        <v>0.19938929999999999</v>
      </c>
      <c r="Z292">
        <v>0.18374401500000001</v>
      </c>
      <c r="AA292">
        <v>0.18347598000000001</v>
      </c>
      <c r="AB292">
        <v>0.18303510000000001</v>
      </c>
    </row>
    <row r="293" spans="1:28" hidden="1" x14ac:dyDescent="0.25">
      <c r="A293" t="s">
        <v>74</v>
      </c>
      <c r="B293" t="s">
        <v>103</v>
      </c>
      <c r="C293">
        <v>110</v>
      </c>
      <c r="D293" t="s">
        <v>2</v>
      </c>
      <c r="E293">
        <v>24.230527200000001</v>
      </c>
      <c r="F293">
        <v>23.272817610000001</v>
      </c>
      <c r="G293">
        <v>22.32804501</v>
      </c>
      <c r="H293">
        <v>21.584859555000001</v>
      </c>
      <c r="I293">
        <v>20.9033154</v>
      </c>
      <c r="J293">
        <v>20.050446255000001</v>
      </c>
      <c r="K293">
        <v>19.056966389999999</v>
      </c>
      <c r="L293">
        <v>18.683333234999999</v>
      </c>
      <c r="M293">
        <v>18.925715140000001</v>
      </c>
      <c r="N293">
        <v>18.725512904999999</v>
      </c>
      <c r="O293">
        <v>18.788000319999998</v>
      </c>
      <c r="P293">
        <v>19.005106139999999</v>
      </c>
      <c r="Q293">
        <v>19.162648024999999</v>
      </c>
      <c r="R293">
        <v>19.684848729999999</v>
      </c>
      <c r="S293">
        <v>20.354597510000001</v>
      </c>
      <c r="T293">
        <v>20.704037095</v>
      </c>
      <c r="U293">
        <v>19.640138595</v>
      </c>
      <c r="V293">
        <v>19.549098985000001</v>
      </c>
      <c r="W293">
        <v>22.8862977</v>
      </c>
      <c r="X293">
        <v>23.371321550000001</v>
      </c>
      <c r="Y293">
        <v>23.997574700000001</v>
      </c>
      <c r="Z293">
        <v>23.250883630000001</v>
      </c>
      <c r="AA293">
        <v>23.72862636</v>
      </c>
      <c r="AB293">
        <v>23.772359375000001</v>
      </c>
    </row>
    <row r="294" spans="1:28" hidden="1" x14ac:dyDescent="0.25">
      <c r="A294" t="s">
        <v>74</v>
      </c>
      <c r="B294" t="s">
        <v>103</v>
      </c>
      <c r="C294">
        <v>110</v>
      </c>
      <c r="D294" t="s">
        <v>3</v>
      </c>
      <c r="E294">
        <v>9.8561409512000004</v>
      </c>
      <c r="F294">
        <v>9.4701767989000007</v>
      </c>
      <c r="G294">
        <v>9.0407840050000008</v>
      </c>
      <c r="H294">
        <v>8.7177561782000002</v>
      </c>
      <c r="I294">
        <v>8.3473924217000004</v>
      </c>
      <c r="J294">
        <v>7.7364096469000003</v>
      </c>
      <c r="K294">
        <v>7.3049334220000004</v>
      </c>
      <c r="L294">
        <v>7.3794231354999997</v>
      </c>
      <c r="M294">
        <v>7.5819076752000001</v>
      </c>
      <c r="N294">
        <v>7.5483670000999998</v>
      </c>
      <c r="O294">
        <v>7.5560187552000002</v>
      </c>
      <c r="P294">
        <v>7.6799688893000004</v>
      </c>
      <c r="Q294">
        <v>7.8384945500000001</v>
      </c>
      <c r="R294">
        <v>8.1042015887000005</v>
      </c>
      <c r="S294">
        <v>8.5910531407999997</v>
      </c>
      <c r="T294">
        <v>8.7128014085000007</v>
      </c>
      <c r="U294">
        <v>8.5520740685999996</v>
      </c>
      <c r="V294">
        <v>8.0747132834999995</v>
      </c>
      <c r="W294">
        <v>8.4598178397999995</v>
      </c>
      <c r="X294">
        <v>8.8873940079999993</v>
      </c>
      <c r="Y294">
        <v>9.5341924887000005</v>
      </c>
      <c r="Z294">
        <v>9.4950111005999993</v>
      </c>
      <c r="AA294">
        <v>9.9387613068</v>
      </c>
      <c r="AB294">
        <v>9.8649847416000007</v>
      </c>
    </row>
    <row r="295" spans="1:28" hidden="1" x14ac:dyDescent="0.25">
      <c r="A295" t="s">
        <v>74</v>
      </c>
      <c r="B295" t="s">
        <v>103</v>
      </c>
      <c r="C295">
        <v>110</v>
      </c>
      <c r="D295" t="s">
        <v>4</v>
      </c>
      <c r="E295">
        <v>0.36899280000000001</v>
      </c>
      <c r="F295">
        <v>0.35440839000000002</v>
      </c>
      <c r="G295">
        <v>0.34002099000000002</v>
      </c>
      <c r="H295">
        <v>0.32870344499999998</v>
      </c>
      <c r="I295">
        <v>0.31832460000000001</v>
      </c>
      <c r="J295">
        <v>0.30533674500000002</v>
      </c>
      <c r="K295">
        <v>0.29020761</v>
      </c>
      <c r="L295">
        <v>0.28451776499999998</v>
      </c>
      <c r="M295">
        <v>0.28820886000000001</v>
      </c>
      <c r="N295">
        <v>0.285160095</v>
      </c>
      <c r="O295">
        <v>0.28611167999999998</v>
      </c>
      <c r="P295">
        <v>0.28941786000000003</v>
      </c>
      <c r="Q295">
        <v>0.29181697499999998</v>
      </c>
      <c r="R295">
        <v>0.29976926999999998</v>
      </c>
      <c r="S295">
        <v>0.30996848999999999</v>
      </c>
      <c r="T295">
        <v>0.31528990499999998</v>
      </c>
      <c r="U295">
        <v>0.299088405</v>
      </c>
      <c r="V295">
        <v>0.29770201499999999</v>
      </c>
      <c r="W295">
        <v>0.34852230000000001</v>
      </c>
      <c r="X295">
        <v>0.35590844999999999</v>
      </c>
      <c r="Y295">
        <v>0.36544529999999997</v>
      </c>
      <c r="Z295">
        <v>0.35407437000000003</v>
      </c>
      <c r="AA295">
        <v>0.36134964000000003</v>
      </c>
      <c r="AB295">
        <v>0.36201562500000001</v>
      </c>
    </row>
    <row r="296" spans="1:28" hidden="1" x14ac:dyDescent="0.25">
      <c r="A296" t="s">
        <v>74</v>
      </c>
      <c r="B296" t="s">
        <v>104</v>
      </c>
      <c r="C296">
        <v>110</v>
      </c>
      <c r="D296" t="s">
        <v>2</v>
      </c>
      <c r="E296">
        <v>23.748670125</v>
      </c>
      <c r="F296">
        <v>22.946077349999999</v>
      </c>
      <c r="G296">
        <v>22.306423275</v>
      </c>
      <c r="H296">
        <v>21.872844990000001</v>
      </c>
      <c r="I296">
        <v>21.240687749999999</v>
      </c>
      <c r="J296">
        <v>20.558221634999999</v>
      </c>
      <c r="K296">
        <v>19.488177719999999</v>
      </c>
      <c r="L296">
        <v>19.045237995000001</v>
      </c>
      <c r="M296">
        <v>19.31059995</v>
      </c>
      <c r="N296">
        <v>19.27052424</v>
      </c>
      <c r="O296">
        <v>19.306854980000001</v>
      </c>
      <c r="P296">
        <v>19.43296256</v>
      </c>
      <c r="Q296">
        <v>19.652776145000001</v>
      </c>
      <c r="R296">
        <v>20.062611005000001</v>
      </c>
      <c r="S296">
        <v>20.522701550000001</v>
      </c>
      <c r="T296">
        <v>20.711076890000001</v>
      </c>
      <c r="U296">
        <v>20.870723720000001</v>
      </c>
      <c r="V296">
        <v>20.893931304999999</v>
      </c>
      <c r="W296">
        <v>23.166538079999999</v>
      </c>
      <c r="X296">
        <v>23.72085865</v>
      </c>
      <c r="Y296">
        <v>24.0937895</v>
      </c>
      <c r="Z296">
        <v>23.045862775</v>
      </c>
      <c r="AA296">
        <v>23.28409783</v>
      </c>
      <c r="AB296">
        <v>23.148572665</v>
      </c>
    </row>
    <row r="297" spans="1:28" hidden="1" x14ac:dyDescent="0.25">
      <c r="A297" t="s">
        <v>74</v>
      </c>
      <c r="B297" t="s">
        <v>104</v>
      </c>
      <c r="C297">
        <v>110</v>
      </c>
      <c r="D297" t="s">
        <v>3</v>
      </c>
      <c r="E297">
        <v>10.156940437699999</v>
      </c>
      <c r="F297">
        <v>9.8543642746</v>
      </c>
      <c r="G297">
        <v>9.5374292871000002</v>
      </c>
      <c r="H297">
        <v>9.3783498844000004</v>
      </c>
      <c r="I297">
        <v>9.0881483636000002</v>
      </c>
      <c r="J297">
        <v>8.4946809859000005</v>
      </c>
      <c r="K297">
        <v>8.1091830628999997</v>
      </c>
      <c r="L297">
        <v>8.2042517599</v>
      </c>
      <c r="M297">
        <v>8.5083940878999993</v>
      </c>
      <c r="N297">
        <v>8.5055684897999999</v>
      </c>
      <c r="O297">
        <v>8.6099208941000001</v>
      </c>
      <c r="P297">
        <v>8.7209858072999999</v>
      </c>
      <c r="Q297">
        <v>8.7896200050999997</v>
      </c>
      <c r="R297">
        <v>9.4882935112000002</v>
      </c>
      <c r="S297">
        <v>9.9785099702999993</v>
      </c>
      <c r="T297">
        <v>10.0888338636</v>
      </c>
      <c r="U297">
        <v>9.9450205561999994</v>
      </c>
      <c r="V297">
        <v>9.4732513922999999</v>
      </c>
      <c r="W297">
        <v>10.1193323671</v>
      </c>
      <c r="X297">
        <v>10.4529917646</v>
      </c>
      <c r="Y297">
        <v>10.964117440400001</v>
      </c>
      <c r="Z297">
        <v>10.8919183595</v>
      </c>
      <c r="AA297">
        <v>11.1759073535</v>
      </c>
      <c r="AB297">
        <v>11.0020187358</v>
      </c>
    </row>
    <row r="298" spans="1:28" hidden="1" x14ac:dyDescent="0.25">
      <c r="A298" t="s">
        <v>74</v>
      </c>
      <c r="B298" t="s">
        <v>104</v>
      </c>
      <c r="C298">
        <v>110</v>
      </c>
      <c r="D298" t="s">
        <v>4</v>
      </c>
      <c r="E298">
        <v>0.36165487499999999</v>
      </c>
      <c r="F298">
        <v>0.34943265000000001</v>
      </c>
      <c r="G298">
        <v>0.339691725</v>
      </c>
      <c r="H298">
        <v>0.33308901000000002</v>
      </c>
      <c r="I298">
        <v>0.32346225000000001</v>
      </c>
      <c r="J298">
        <v>0.31306936499999999</v>
      </c>
      <c r="K298">
        <v>0.29677428</v>
      </c>
      <c r="L298">
        <v>0.29002900500000001</v>
      </c>
      <c r="M298">
        <v>0.29407005000000003</v>
      </c>
      <c r="N298">
        <v>0.29345976000000001</v>
      </c>
      <c r="O298">
        <v>0.29401302000000001</v>
      </c>
      <c r="P298">
        <v>0.29593343999999999</v>
      </c>
      <c r="Q298">
        <v>0.29928085500000001</v>
      </c>
      <c r="R298">
        <v>0.30552199499999999</v>
      </c>
      <c r="S298">
        <v>0.31252845000000001</v>
      </c>
      <c r="T298">
        <v>0.31539710999999998</v>
      </c>
      <c r="U298">
        <v>0.31782828000000002</v>
      </c>
      <c r="V298">
        <v>0.31818169499999999</v>
      </c>
      <c r="W298">
        <v>0.35278991999999998</v>
      </c>
      <c r="X298">
        <v>0.36123135000000001</v>
      </c>
      <c r="Y298">
        <v>0.36691049999999997</v>
      </c>
      <c r="Z298">
        <v>0.35095222500000001</v>
      </c>
      <c r="AA298">
        <v>0.35458016999999997</v>
      </c>
      <c r="AB298">
        <v>0.35251633500000001</v>
      </c>
    </row>
    <row r="299" spans="1:28" hidden="1" x14ac:dyDescent="0.25">
      <c r="A299" t="s">
        <v>74</v>
      </c>
      <c r="B299" t="s">
        <v>105</v>
      </c>
      <c r="C299">
        <v>110</v>
      </c>
      <c r="D299" t="s">
        <v>2</v>
      </c>
      <c r="E299">
        <v>13.629671549999999</v>
      </c>
      <c r="F299">
        <v>13.114165890000001</v>
      </c>
      <c r="G299">
        <v>12.627093240000001</v>
      </c>
      <c r="H299">
        <v>12.221820900000001</v>
      </c>
      <c r="I299">
        <v>11.83557285</v>
      </c>
      <c r="J299">
        <v>11.411583540000001</v>
      </c>
      <c r="K299">
        <v>10.876823099999999</v>
      </c>
      <c r="L299">
        <v>10.695578175</v>
      </c>
      <c r="M299">
        <v>10.916129525000001</v>
      </c>
      <c r="N299">
        <v>11.108811285</v>
      </c>
      <c r="O299">
        <v>11.98827346</v>
      </c>
      <c r="P299">
        <v>12.38713345</v>
      </c>
      <c r="Q299">
        <v>12.845441145000001</v>
      </c>
      <c r="R299">
        <v>13.03623269</v>
      </c>
      <c r="S299">
        <v>13.441318865</v>
      </c>
      <c r="T299">
        <v>13.579764555000001</v>
      </c>
      <c r="U299">
        <v>13.972415105</v>
      </c>
      <c r="V299">
        <v>14.071709015</v>
      </c>
      <c r="W299">
        <v>15.638970094999999</v>
      </c>
      <c r="X299">
        <v>15.816553774999999</v>
      </c>
      <c r="Y299">
        <v>16.140032699999999</v>
      </c>
      <c r="Z299">
        <v>14.92855559</v>
      </c>
      <c r="AA299">
        <v>14.508491505</v>
      </c>
      <c r="AB299">
        <v>14.225379849999999</v>
      </c>
    </row>
    <row r="300" spans="1:28" hidden="1" x14ac:dyDescent="0.25">
      <c r="A300" t="s">
        <v>74</v>
      </c>
      <c r="B300" t="s">
        <v>105</v>
      </c>
      <c r="C300">
        <v>110</v>
      </c>
      <c r="D300" t="s">
        <v>3</v>
      </c>
      <c r="E300">
        <v>4.6010718255</v>
      </c>
      <c r="F300">
        <v>4.4457478005000004</v>
      </c>
      <c r="G300">
        <v>4.3243247190999998</v>
      </c>
      <c r="H300">
        <v>4.1770982218999997</v>
      </c>
      <c r="I300">
        <v>3.9818052124999999</v>
      </c>
      <c r="J300">
        <v>3.6856115996000001</v>
      </c>
      <c r="K300">
        <v>3.3785474129000002</v>
      </c>
      <c r="L300">
        <v>3.3667056234000001</v>
      </c>
      <c r="M300">
        <v>3.5208852195000002</v>
      </c>
      <c r="N300">
        <v>3.5634169567999998</v>
      </c>
      <c r="O300">
        <v>3.7683456913</v>
      </c>
      <c r="P300">
        <v>3.9100372469</v>
      </c>
      <c r="Q300">
        <v>4.0490693821999999</v>
      </c>
      <c r="R300">
        <v>4.2500075398000003</v>
      </c>
      <c r="S300">
        <v>4.4938052760999998</v>
      </c>
      <c r="T300">
        <v>4.5591097922000001</v>
      </c>
      <c r="U300">
        <v>4.5447358567</v>
      </c>
      <c r="V300">
        <v>4.4294287879000001</v>
      </c>
      <c r="W300">
        <v>4.6991782150999999</v>
      </c>
      <c r="X300">
        <v>4.8988753502</v>
      </c>
      <c r="Y300">
        <v>4.9606950157999998</v>
      </c>
      <c r="Z300">
        <v>4.6552758833999999</v>
      </c>
      <c r="AA300">
        <v>4.7087208113000001</v>
      </c>
      <c r="AB300">
        <v>4.6599889399999999</v>
      </c>
    </row>
    <row r="301" spans="1:28" hidden="1" x14ac:dyDescent="0.25">
      <c r="A301" t="s">
        <v>74</v>
      </c>
      <c r="B301" t="s">
        <v>105</v>
      </c>
      <c r="C301">
        <v>110</v>
      </c>
      <c r="D301" t="s">
        <v>4</v>
      </c>
      <c r="E301">
        <v>0.20755845000000001</v>
      </c>
      <c r="F301">
        <v>0.19970810999999999</v>
      </c>
      <c r="G301">
        <v>0.19229076000000001</v>
      </c>
      <c r="H301">
        <v>0.18611910000000001</v>
      </c>
      <c r="I301">
        <v>0.18023715000000001</v>
      </c>
      <c r="J301">
        <v>0.17378046</v>
      </c>
      <c r="K301">
        <v>0.1656369</v>
      </c>
      <c r="L301">
        <v>0.162876825</v>
      </c>
      <c r="M301">
        <v>0.16623547499999999</v>
      </c>
      <c r="N301">
        <v>0.169169715</v>
      </c>
      <c r="O301">
        <v>0.18256254</v>
      </c>
      <c r="P301">
        <v>0.18863654999999999</v>
      </c>
      <c r="Q301">
        <v>0.19561585500000001</v>
      </c>
      <c r="R301">
        <v>0.19852131000000001</v>
      </c>
      <c r="S301">
        <v>0.204690135</v>
      </c>
      <c r="T301">
        <v>0.206798445</v>
      </c>
      <c r="U301">
        <v>0.21277789499999999</v>
      </c>
      <c r="V301">
        <v>0.21428998499999999</v>
      </c>
      <c r="W301">
        <v>0.238156905</v>
      </c>
      <c r="X301">
        <v>0.24086122500000001</v>
      </c>
      <c r="Y301">
        <v>0.24578729999999999</v>
      </c>
      <c r="Z301">
        <v>0.22733840999999999</v>
      </c>
      <c r="AA301">
        <v>0.22094149499999999</v>
      </c>
      <c r="AB301">
        <v>0.21663014999999999</v>
      </c>
    </row>
    <row r="302" spans="1:28" hidden="1" x14ac:dyDescent="0.25">
      <c r="A302" t="s">
        <v>74</v>
      </c>
      <c r="B302" t="s">
        <v>106</v>
      </c>
      <c r="C302">
        <v>115</v>
      </c>
      <c r="D302" t="s">
        <v>2</v>
      </c>
      <c r="E302">
        <v>33.722346725000001</v>
      </c>
      <c r="F302">
        <v>32.733433320000003</v>
      </c>
      <c r="G302">
        <v>31.848815654999999</v>
      </c>
      <c r="H302">
        <v>31.285051889999998</v>
      </c>
      <c r="I302">
        <v>30.618262049999998</v>
      </c>
      <c r="J302">
        <v>29.404203254999999</v>
      </c>
      <c r="K302">
        <v>27.945068580000001</v>
      </c>
      <c r="L302">
        <v>27.226870604999998</v>
      </c>
      <c r="M302">
        <v>26.656591065000001</v>
      </c>
      <c r="N302">
        <v>25.94523096</v>
      </c>
      <c r="O302">
        <v>25.990522245000001</v>
      </c>
      <c r="P302">
        <v>26.27176437</v>
      </c>
      <c r="Q302">
        <v>25.534313585</v>
      </c>
      <c r="R302">
        <v>26.079333784999999</v>
      </c>
      <c r="S302">
        <v>27.148802459999999</v>
      </c>
      <c r="T302">
        <v>27.79311066</v>
      </c>
      <c r="U302">
        <v>28.008117445</v>
      </c>
      <c r="V302">
        <v>28.052361675</v>
      </c>
      <c r="W302">
        <v>32.157583604999999</v>
      </c>
      <c r="X302">
        <v>33.094808149999999</v>
      </c>
      <c r="Y302">
        <v>33.210141800000002</v>
      </c>
      <c r="Z302">
        <v>31.937693190000001</v>
      </c>
      <c r="AA302">
        <v>33.056061204999999</v>
      </c>
      <c r="AB302">
        <v>33.342160364999998</v>
      </c>
    </row>
    <row r="303" spans="1:28" hidden="1" x14ac:dyDescent="0.25">
      <c r="A303" t="s">
        <v>74</v>
      </c>
      <c r="B303" t="s">
        <v>106</v>
      </c>
      <c r="C303">
        <v>115</v>
      </c>
      <c r="D303" t="s">
        <v>3</v>
      </c>
      <c r="E303">
        <v>10.5071725275</v>
      </c>
      <c r="F303">
        <v>10.489390216</v>
      </c>
      <c r="G303">
        <v>10.3433518757</v>
      </c>
      <c r="H303">
        <v>10.267348635399999</v>
      </c>
      <c r="I303">
        <v>10.022388989</v>
      </c>
      <c r="J303">
        <v>9.3714421943000001</v>
      </c>
      <c r="K303">
        <v>8.9721185802000001</v>
      </c>
      <c r="L303">
        <v>8.9857007576000001</v>
      </c>
      <c r="M303">
        <v>8.9045573649000005</v>
      </c>
      <c r="N303">
        <v>8.7051019641000007</v>
      </c>
      <c r="O303">
        <v>8.6528454363999998</v>
      </c>
      <c r="P303">
        <v>8.6192524869000007</v>
      </c>
      <c r="Q303">
        <v>8.7260779141999993</v>
      </c>
      <c r="R303">
        <v>8.9123327243000006</v>
      </c>
      <c r="S303">
        <v>9.4130888620000004</v>
      </c>
      <c r="T303">
        <v>9.5841155490999999</v>
      </c>
      <c r="U303">
        <v>9.5714738616999995</v>
      </c>
      <c r="V303">
        <v>9.4081576249999994</v>
      </c>
      <c r="W303">
        <v>9.8825472241999996</v>
      </c>
      <c r="X303">
        <v>10.075298524700001</v>
      </c>
      <c r="Y303">
        <v>10.374499741099999</v>
      </c>
      <c r="Z303">
        <v>10.069559833</v>
      </c>
      <c r="AA303">
        <v>10.474043502500001</v>
      </c>
      <c r="AB303">
        <v>10.669991259</v>
      </c>
    </row>
    <row r="304" spans="1:28" hidden="1" x14ac:dyDescent="0.25">
      <c r="A304" t="s">
        <v>74</v>
      </c>
      <c r="B304" t="s">
        <v>106</v>
      </c>
      <c r="C304">
        <v>115</v>
      </c>
      <c r="D304" t="s">
        <v>4</v>
      </c>
      <c r="E304">
        <v>0.51353827500000004</v>
      </c>
      <c r="F304">
        <v>0.49847868000000001</v>
      </c>
      <c r="G304">
        <v>0.48500734499999998</v>
      </c>
      <c r="H304">
        <v>0.47642211000000001</v>
      </c>
      <c r="I304">
        <v>0.46626794999999999</v>
      </c>
      <c r="J304">
        <v>0.44777974500000001</v>
      </c>
      <c r="K304">
        <v>0.42555942000000002</v>
      </c>
      <c r="L304">
        <v>0.41462239499999998</v>
      </c>
      <c r="M304">
        <v>0.40593793500000003</v>
      </c>
      <c r="N304">
        <v>0.39510504000000002</v>
      </c>
      <c r="O304">
        <v>0.395794755</v>
      </c>
      <c r="P304">
        <v>0.40007763000000002</v>
      </c>
      <c r="Q304">
        <v>0.38884741499999997</v>
      </c>
      <c r="R304">
        <v>0.397147215</v>
      </c>
      <c r="S304">
        <v>0.41343353999999999</v>
      </c>
      <c r="T304">
        <v>0.42324534000000003</v>
      </c>
      <c r="U304">
        <v>0.42651955499999999</v>
      </c>
      <c r="V304">
        <v>0.42719332500000001</v>
      </c>
      <c r="W304">
        <v>0.48970939499999999</v>
      </c>
      <c r="X304">
        <v>0.50398184999999995</v>
      </c>
      <c r="Y304">
        <v>0.50573820000000003</v>
      </c>
      <c r="Z304">
        <v>0.48636080999999998</v>
      </c>
      <c r="AA304">
        <v>0.50339179499999998</v>
      </c>
      <c r="AB304">
        <v>0.507748635</v>
      </c>
    </row>
    <row r="305" spans="1:28" hidden="1" x14ac:dyDescent="0.25">
      <c r="A305" t="s">
        <v>74</v>
      </c>
      <c r="B305" t="s">
        <v>107</v>
      </c>
      <c r="C305">
        <v>110</v>
      </c>
      <c r="D305" t="s">
        <v>2</v>
      </c>
      <c r="E305">
        <v>32.728038474999998</v>
      </c>
      <c r="F305">
        <v>31.597268325000002</v>
      </c>
      <c r="G305">
        <v>30.443402880000001</v>
      </c>
      <c r="H305">
        <v>29.58523542</v>
      </c>
      <c r="I305">
        <v>28.704190350000001</v>
      </c>
      <c r="J305">
        <v>27.099170279999999</v>
      </c>
      <c r="K305">
        <v>25.02956511</v>
      </c>
      <c r="L305">
        <v>23.569047495</v>
      </c>
      <c r="M305">
        <v>22.807742964999999</v>
      </c>
      <c r="N305">
        <v>22.426207155</v>
      </c>
      <c r="O305">
        <v>22.597485850000002</v>
      </c>
      <c r="P305">
        <v>23.173255780000002</v>
      </c>
      <c r="Q305">
        <v>22.6003522</v>
      </c>
      <c r="R305">
        <v>23.544892340000001</v>
      </c>
      <c r="S305">
        <v>25.222610334999999</v>
      </c>
      <c r="T305">
        <v>25.758609905</v>
      </c>
      <c r="U305">
        <v>26.158723800000001</v>
      </c>
      <c r="V305">
        <v>26.357312605000001</v>
      </c>
      <c r="W305">
        <v>29.853384925</v>
      </c>
      <c r="X305">
        <v>30.80692895</v>
      </c>
      <c r="Y305">
        <v>32.119707400000003</v>
      </c>
      <c r="Z305">
        <v>31.36059745</v>
      </c>
      <c r="AA305">
        <v>32.534889825</v>
      </c>
      <c r="AB305">
        <v>32.695552190000001</v>
      </c>
    </row>
    <row r="306" spans="1:28" hidden="1" x14ac:dyDescent="0.25">
      <c r="A306" t="s">
        <v>74</v>
      </c>
      <c r="B306" t="s">
        <v>107</v>
      </c>
      <c r="C306">
        <v>110</v>
      </c>
      <c r="D306" t="s">
        <v>3</v>
      </c>
      <c r="E306">
        <v>10.203400734100001</v>
      </c>
      <c r="F306">
        <v>10.0463043365</v>
      </c>
      <c r="G306">
        <v>9.7940000753999996</v>
      </c>
      <c r="H306">
        <v>9.5349629831999998</v>
      </c>
      <c r="I306">
        <v>9.0940769260999996</v>
      </c>
      <c r="J306">
        <v>8.1673383865000009</v>
      </c>
      <c r="K306">
        <v>7.3544542514</v>
      </c>
      <c r="L306">
        <v>7.0003826362000003</v>
      </c>
      <c r="M306">
        <v>6.7925504139999999</v>
      </c>
      <c r="N306">
        <v>6.6737885086000004</v>
      </c>
      <c r="O306">
        <v>6.8071714747999996</v>
      </c>
      <c r="P306">
        <v>6.9181852142000002</v>
      </c>
      <c r="Q306">
        <v>7.0642715475999998</v>
      </c>
      <c r="R306">
        <v>7.4997440299999996</v>
      </c>
      <c r="S306">
        <v>7.8597637714999999</v>
      </c>
      <c r="T306">
        <v>7.9744200385999999</v>
      </c>
      <c r="U306">
        <v>7.9460142440999997</v>
      </c>
      <c r="V306">
        <v>7.7140711268000004</v>
      </c>
      <c r="W306">
        <v>8.2911542405999992</v>
      </c>
      <c r="X306">
        <v>8.6657919615000001</v>
      </c>
      <c r="Y306">
        <v>9.1813515639999999</v>
      </c>
      <c r="Z306">
        <v>9.3038047533999997</v>
      </c>
      <c r="AA306">
        <v>10.0263499958</v>
      </c>
      <c r="AB306">
        <v>10.2053199941</v>
      </c>
    </row>
    <row r="307" spans="1:28" hidden="1" x14ac:dyDescent="0.25">
      <c r="A307" t="s">
        <v>74</v>
      </c>
      <c r="B307" t="s">
        <v>107</v>
      </c>
      <c r="C307">
        <v>110</v>
      </c>
      <c r="D307" t="s">
        <v>4</v>
      </c>
      <c r="E307">
        <v>0.49839652499999998</v>
      </c>
      <c r="F307">
        <v>0.481176675</v>
      </c>
      <c r="G307">
        <v>0.46360511999999998</v>
      </c>
      <c r="H307">
        <v>0.45053658000000002</v>
      </c>
      <c r="I307">
        <v>0.43711965000000003</v>
      </c>
      <c r="J307">
        <v>0.41267772000000003</v>
      </c>
      <c r="K307">
        <v>0.38116088999999997</v>
      </c>
      <c r="L307">
        <v>0.35891950500000003</v>
      </c>
      <c r="M307">
        <v>0.34732603499999998</v>
      </c>
      <c r="N307">
        <v>0.34151584499999998</v>
      </c>
      <c r="O307">
        <v>0.34412415000000002</v>
      </c>
      <c r="P307">
        <v>0.35289221999999998</v>
      </c>
      <c r="Q307">
        <v>0.34416780000000002</v>
      </c>
      <c r="R307">
        <v>0.35855165999999999</v>
      </c>
      <c r="S307">
        <v>0.38410066500000001</v>
      </c>
      <c r="T307">
        <v>0.39226309500000001</v>
      </c>
      <c r="U307">
        <v>0.39835619999999999</v>
      </c>
      <c r="V307">
        <v>0.401380395</v>
      </c>
      <c r="W307">
        <v>0.45462007500000001</v>
      </c>
      <c r="X307">
        <v>0.46914105</v>
      </c>
      <c r="Y307">
        <v>0.48913259999999997</v>
      </c>
      <c r="Z307">
        <v>0.47757254999999998</v>
      </c>
      <c r="AA307">
        <v>0.49545517500000003</v>
      </c>
      <c r="AB307">
        <v>0.49790181</v>
      </c>
    </row>
    <row r="308" spans="1:28" hidden="1" x14ac:dyDescent="0.25">
      <c r="A308" t="s">
        <v>74</v>
      </c>
      <c r="B308" t="s">
        <v>108</v>
      </c>
      <c r="C308">
        <v>110</v>
      </c>
      <c r="D308" t="s">
        <v>2</v>
      </c>
      <c r="E308">
        <v>31.603705300000001</v>
      </c>
      <c r="F308">
        <v>30.230899964999999</v>
      </c>
      <c r="G308">
        <v>29.564118990000001</v>
      </c>
      <c r="H308">
        <v>28.847711745000002</v>
      </c>
      <c r="I308">
        <v>28.229115</v>
      </c>
      <c r="J308">
        <v>27.018995220000001</v>
      </c>
      <c r="K308">
        <v>24.54686586</v>
      </c>
      <c r="L308">
        <v>22.91632641</v>
      </c>
      <c r="M308">
        <v>22.183964135</v>
      </c>
      <c r="N308">
        <v>22.722262695000001</v>
      </c>
      <c r="O308">
        <v>23.956065814999999</v>
      </c>
      <c r="P308">
        <v>24.546536870000001</v>
      </c>
      <c r="Q308">
        <v>24.38387397</v>
      </c>
      <c r="R308">
        <v>24.61636352</v>
      </c>
      <c r="S308">
        <v>25.460757725000001</v>
      </c>
      <c r="T308">
        <v>26.251395554999998</v>
      </c>
      <c r="U308">
        <v>26.404840825000001</v>
      </c>
      <c r="V308">
        <v>26.210221570000002</v>
      </c>
      <c r="W308">
        <v>29.775540374999999</v>
      </c>
      <c r="X308">
        <v>31.307402525000001</v>
      </c>
      <c r="Y308">
        <v>31.085398300000001</v>
      </c>
      <c r="Z308">
        <v>30.555700760000001</v>
      </c>
      <c r="AA308">
        <v>31.385247074999999</v>
      </c>
      <c r="AB308">
        <v>31.531657474999999</v>
      </c>
    </row>
    <row r="309" spans="1:28" hidden="1" x14ac:dyDescent="0.25">
      <c r="A309" t="s">
        <v>74</v>
      </c>
      <c r="B309" t="s">
        <v>108</v>
      </c>
      <c r="C309">
        <v>110</v>
      </c>
      <c r="D309" t="s">
        <v>3</v>
      </c>
      <c r="E309">
        <v>9.4782684195000009</v>
      </c>
      <c r="F309">
        <v>9.3679217604999998</v>
      </c>
      <c r="G309">
        <v>9.1930070337000007</v>
      </c>
      <c r="H309">
        <v>9.0794957955999998</v>
      </c>
      <c r="I309">
        <v>8.9033868131999991</v>
      </c>
      <c r="J309">
        <v>8.3515905113999995</v>
      </c>
      <c r="K309">
        <v>7.7572579676000002</v>
      </c>
      <c r="L309">
        <v>7.6414563859999998</v>
      </c>
      <c r="M309">
        <v>7.5596595308000003</v>
      </c>
      <c r="N309">
        <v>7.3899415619999997</v>
      </c>
      <c r="O309">
        <v>7.4323490851000003</v>
      </c>
      <c r="P309">
        <v>7.5105724543000001</v>
      </c>
      <c r="Q309">
        <v>7.5867042642999998</v>
      </c>
      <c r="R309">
        <v>7.8856158841999999</v>
      </c>
      <c r="S309">
        <v>8.2696511096999998</v>
      </c>
      <c r="T309">
        <v>8.4226583453000003</v>
      </c>
      <c r="U309">
        <v>8.3530830232</v>
      </c>
      <c r="V309">
        <v>8.1287898725000005</v>
      </c>
      <c r="W309">
        <v>8.4454528298000007</v>
      </c>
      <c r="X309">
        <v>8.6381233099999992</v>
      </c>
      <c r="Y309">
        <v>8.8489342450000006</v>
      </c>
      <c r="Z309">
        <v>8.8074064363000009</v>
      </c>
      <c r="AA309">
        <v>9.3877186202999994</v>
      </c>
      <c r="AB309">
        <v>9.5674354883999992</v>
      </c>
    </row>
    <row r="310" spans="1:28" hidden="1" x14ac:dyDescent="0.25">
      <c r="A310" t="s">
        <v>74</v>
      </c>
      <c r="B310" t="s">
        <v>108</v>
      </c>
      <c r="C310">
        <v>110</v>
      </c>
      <c r="D310" t="s">
        <v>4</v>
      </c>
      <c r="E310">
        <v>0.4812747</v>
      </c>
      <c r="F310">
        <v>0.46036903499999998</v>
      </c>
      <c r="G310">
        <v>0.45021501000000003</v>
      </c>
      <c r="H310">
        <v>0.43930525500000001</v>
      </c>
      <c r="I310">
        <v>0.42988500000000002</v>
      </c>
      <c r="J310">
        <v>0.41145678000000002</v>
      </c>
      <c r="K310">
        <v>0.37381014000000001</v>
      </c>
      <c r="L310">
        <v>0.34897959000000001</v>
      </c>
      <c r="M310">
        <v>0.33782686499999998</v>
      </c>
      <c r="N310">
        <v>0.34602430499999998</v>
      </c>
      <c r="O310">
        <v>0.36481318499999998</v>
      </c>
      <c r="P310">
        <v>0.37380512999999999</v>
      </c>
      <c r="Q310">
        <v>0.37132802999999998</v>
      </c>
      <c r="R310">
        <v>0.37486848</v>
      </c>
      <c r="S310">
        <v>0.38772727499999998</v>
      </c>
      <c r="T310">
        <v>0.399767445</v>
      </c>
      <c r="U310">
        <v>0.40210417500000001</v>
      </c>
      <c r="V310">
        <v>0.39914042999999999</v>
      </c>
      <c r="W310">
        <v>0.45343462499999998</v>
      </c>
      <c r="X310">
        <v>0.47676247500000002</v>
      </c>
      <c r="Y310">
        <v>0.47338170000000002</v>
      </c>
      <c r="Z310">
        <v>0.46531524000000002</v>
      </c>
      <c r="AA310">
        <v>0.477947925</v>
      </c>
      <c r="AB310">
        <v>0.48017752499999999</v>
      </c>
    </row>
    <row r="311" spans="1:28" hidden="1" x14ac:dyDescent="0.25">
      <c r="A311" t="s">
        <v>109</v>
      </c>
      <c r="B311" t="s">
        <v>110</v>
      </c>
      <c r="C311">
        <v>115</v>
      </c>
      <c r="D311" t="s">
        <v>2</v>
      </c>
      <c r="E311">
        <v>4.0335247650000001</v>
      </c>
      <c r="F311">
        <v>3.7479210599999999</v>
      </c>
      <c r="G311">
        <v>3.6267562099999999</v>
      </c>
      <c r="H311">
        <v>3.401574375</v>
      </c>
      <c r="I311">
        <v>3.229506695</v>
      </c>
      <c r="J311">
        <v>3.1552278450000002</v>
      </c>
      <c r="K311">
        <v>3.33142366</v>
      </c>
      <c r="L311">
        <v>4.0795321449999999</v>
      </c>
      <c r="M311">
        <v>4.752346245</v>
      </c>
      <c r="N311">
        <v>5.4399885350000003</v>
      </c>
      <c r="O311">
        <v>5.7211932299999999</v>
      </c>
      <c r="P311">
        <v>5.8577221100000001</v>
      </c>
      <c r="Q311">
        <v>5.72607292</v>
      </c>
      <c r="R311">
        <v>5.901894435</v>
      </c>
      <c r="S311">
        <v>5.8453386900000002</v>
      </c>
      <c r="T311">
        <v>5.8860044150000004</v>
      </c>
      <c r="U311">
        <v>5.6867399000000001</v>
      </c>
      <c r="V311">
        <v>5.7671690900000003</v>
      </c>
      <c r="W311">
        <v>6.8154445050000003</v>
      </c>
      <c r="X311">
        <v>6.8365698000000004</v>
      </c>
      <c r="Y311">
        <v>6.7470165550000001</v>
      </c>
      <c r="Z311">
        <v>5.7789959849999999</v>
      </c>
      <c r="AA311">
        <v>5.1697823500000002</v>
      </c>
      <c r="AB311">
        <v>4.6811750700000001</v>
      </c>
    </row>
    <row r="312" spans="1:28" hidden="1" x14ac:dyDescent="0.25">
      <c r="A312" t="s">
        <v>109</v>
      </c>
      <c r="B312" t="s">
        <v>110</v>
      </c>
      <c r="C312">
        <v>115</v>
      </c>
      <c r="D312" t="s">
        <v>3</v>
      </c>
      <c r="E312">
        <v>1.7553906653</v>
      </c>
      <c r="F312">
        <v>1.5432397339999999</v>
      </c>
      <c r="G312">
        <v>1.6423489989</v>
      </c>
      <c r="H312">
        <v>1.5612751756000001</v>
      </c>
      <c r="I312">
        <v>1.4462808912</v>
      </c>
      <c r="J312">
        <v>1.3706152461000001</v>
      </c>
      <c r="K312">
        <v>1.7170582802000001</v>
      </c>
      <c r="L312">
        <v>2.5850825158999999</v>
      </c>
      <c r="M312">
        <v>3.1845665473999998</v>
      </c>
      <c r="N312">
        <v>2.5098093592000001</v>
      </c>
      <c r="O312">
        <v>2.6506335101</v>
      </c>
      <c r="P312">
        <v>2.6229393954</v>
      </c>
      <c r="Q312">
        <v>2.6585167943000001</v>
      </c>
      <c r="R312">
        <v>2.7517208941</v>
      </c>
      <c r="S312">
        <v>2.6892024030999999</v>
      </c>
      <c r="T312">
        <v>2.7154141701999999</v>
      </c>
      <c r="U312">
        <v>2.5192429722999998</v>
      </c>
      <c r="V312">
        <v>2.5487377033</v>
      </c>
      <c r="W312">
        <v>2.5060941242000001</v>
      </c>
      <c r="X312">
        <v>2.3699219319</v>
      </c>
      <c r="Y312">
        <v>2.4133091795000001</v>
      </c>
      <c r="Z312">
        <v>2.1744218541999998</v>
      </c>
      <c r="AA312">
        <v>2.0396491663999998</v>
      </c>
      <c r="AB312">
        <v>1.9740784577999999</v>
      </c>
    </row>
    <row r="313" spans="1:28" hidden="1" x14ac:dyDescent="0.25">
      <c r="A313" t="s">
        <v>109</v>
      </c>
      <c r="B313" t="s">
        <v>110</v>
      </c>
      <c r="C313">
        <v>115</v>
      </c>
      <c r="D313" t="s">
        <v>4</v>
      </c>
      <c r="E313">
        <v>6.1424235000000001E-2</v>
      </c>
      <c r="F313">
        <v>5.7074939999999998E-2</v>
      </c>
      <c r="G313">
        <v>5.5229790000000001E-2</v>
      </c>
      <c r="H313">
        <v>5.1800625000000003E-2</v>
      </c>
      <c r="I313">
        <v>4.9180305000000001E-2</v>
      </c>
      <c r="J313">
        <v>4.8049155000000003E-2</v>
      </c>
      <c r="K313">
        <v>5.0732340000000001E-2</v>
      </c>
      <c r="L313">
        <v>6.2124855E-2</v>
      </c>
      <c r="M313">
        <v>7.2370754999999995E-2</v>
      </c>
      <c r="N313">
        <v>8.2842465000000004E-2</v>
      </c>
      <c r="O313">
        <v>8.7124770000000004E-2</v>
      </c>
      <c r="P313">
        <v>8.9203889999999994E-2</v>
      </c>
      <c r="Q313">
        <v>8.7199079999999998E-2</v>
      </c>
      <c r="R313">
        <v>8.9876565000000005E-2</v>
      </c>
      <c r="S313">
        <v>8.901531E-2</v>
      </c>
      <c r="T313">
        <v>8.9634585000000003E-2</v>
      </c>
      <c r="U313">
        <v>8.6600099999999999E-2</v>
      </c>
      <c r="V313">
        <v>8.7824910000000006E-2</v>
      </c>
      <c r="W313">
        <v>0.10378849499999999</v>
      </c>
      <c r="X313">
        <v>0.1041102</v>
      </c>
      <c r="Y313">
        <v>0.10274644500000001</v>
      </c>
      <c r="Z313">
        <v>8.8005015000000006E-2</v>
      </c>
      <c r="AA313">
        <v>7.8727649999999996E-2</v>
      </c>
      <c r="AB313">
        <v>7.1286929999999998E-2</v>
      </c>
    </row>
    <row r="314" spans="1:28" hidden="1" x14ac:dyDescent="0.25">
      <c r="A314" t="s">
        <v>109</v>
      </c>
      <c r="B314" t="s">
        <v>111</v>
      </c>
      <c r="C314">
        <v>115</v>
      </c>
      <c r="D314" t="s">
        <v>2</v>
      </c>
      <c r="E314">
        <v>4.1590354349999998</v>
      </c>
      <c r="F314">
        <v>3.89933723</v>
      </c>
      <c r="G314">
        <v>3.6099678700000002</v>
      </c>
      <c r="H314">
        <v>3.6180596450000002</v>
      </c>
      <c r="I314">
        <v>3.7668251800000001</v>
      </c>
      <c r="J314">
        <v>4.0369939349999999</v>
      </c>
      <c r="K314">
        <v>4.270921585</v>
      </c>
      <c r="L314">
        <v>4.6141960549999999</v>
      </c>
      <c r="M314">
        <v>5.2828042049999997</v>
      </c>
      <c r="N314">
        <v>5.4937823400000001</v>
      </c>
      <c r="O314">
        <v>5.7560839000000001</v>
      </c>
      <c r="P314">
        <v>5.9218022699999997</v>
      </c>
      <c r="Q314">
        <v>5.9362275950000001</v>
      </c>
      <c r="R314">
        <v>5.8279967800000003</v>
      </c>
      <c r="S314">
        <v>5.9753665700000003</v>
      </c>
      <c r="T314">
        <v>5.9917165849999998</v>
      </c>
      <c r="U314">
        <v>6.0673370049999997</v>
      </c>
      <c r="V314">
        <v>6.2138212800000003</v>
      </c>
      <c r="W314">
        <v>7.6206918549999996</v>
      </c>
      <c r="X314">
        <v>7.4994688900000002</v>
      </c>
      <c r="Y314">
        <v>7.253848305</v>
      </c>
      <c r="Z314">
        <v>5.8454884099999997</v>
      </c>
      <c r="AA314">
        <v>4.9875593199999999</v>
      </c>
      <c r="AB314">
        <v>4.3096734550000004</v>
      </c>
    </row>
    <row r="315" spans="1:28" hidden="1" x14ac:dyDescent="0.25">
      <c r="A315" t="s">
        <v>109</v>
      </c>
      <c r="B315" t="s">
        <v>111</v>
      </c>
      <c r="C315">
        <v>115</v>
      </c>
      <c r="D315" t="s">
        <v>3</v>
      </c>
      <c r="E315">
        <v>2.9168566592</v>
      </c>
      <c r="F315">
        <v>2.7453600986</v>
      </c>
      <c r="G315">
        <v>2.8847410948999999</v>
      </c>
      <c r="H315">
        <v>2.7076093559999999</v>
      </c>
      <c r="I315">
        <v>2.4263387024999998</v>
      </c>
      <c r="J315">
        <v>2.1244926095999999</v>
      </c>
      <c r="K315">
        <v>2.8145716349000001</v>
      </c>
      <c r="L315">
        <v>3.0689243483999999</v>
      </c>
      <c r="M315">
        <v>3.3648463192000002</v>
      </c>
      <c r="N315">
        <v>3.2375308142999999</v>
      </c>
      <c r="O315">
        <v>3.3050810161999999</v>
      </c>
      <c r="P315">
        <v>3.2492405224000001</v>
      </c>
      <c r="Q315">
        <v>3.3623062934000001</v>
      </c>
      <c r="R315">
        <v>3.4007328943999999</v>
      </c>
      <c r="S315">
        <v>3.2897764986000002</v>
      </c>
      <c r="T315">
        <v>3.1224018199999999</v>
      </c>
      <c r="U315">
        <v>3.0481915649000002</v>
      </c>
      <c r="V315">
        <v>3.0302277387999998</v>
      </c>
      <c r="W315">
        <v>2.9748371487999998</v>
      </c>
      <c r="X315">
        <v>2.9396217873000001</v>
      </c>
      <c r="Y315">
        <v>2.8476988536999999</v>
      </c>
      <c r="Z315">
        <v>2.5746999779999999</v>
      </c>
      <c r="AA315">
        <v>2.5179508078000001</v>
      </c>
      <c r="AB315">
        <v>2.7279822619999998</v>
      </c>
    </row>
    <row r="316" spans="1:28" hidden="1" x14ac:dyDescent="0.25">
      <c r="A316" t="s">
        <v>109</v>
      </c>
      <c r="B316" t="s">
        <v>111</v>
      </c>
      <c r="C316">
        <v>115</v>
      </c>
      <c r="D316" t="s">
        <v>4</v>
      </c>
      <c r="E316">
        <v>6.3335564999999996E-2</v>
      </c>
      <c r="F316">
        <v>5.9380769999999999E-2</v>
      </c>
      <c r="G316">
        <v>5.4974130000000003E-2</v>
      </c>
      <c r="H316">
        <v>5.5097355000000001E-2</v>
      </c>
      <c r="I316">
        <v>5.7362820000000002E-2</v>
      </c>
      <c r="J316">
        <v>6.1477064999999997E-2</v>
      </c>
      <c r="K316">
        <v>6.5039415000000003E-2</v>
      </c>
      <c r="L316">
        <v>7.0266944999999997E-2</v>
      </c>
      <c r="M316">
        <v>8.0448795000000003E-2</v>
      </c>
      <c r="N316">
        <v>8.3661659999999999E-2</v>
      </c>
      <c r="O316">
        <v>8.7656100000000001E-2</v>
      </c>
      <c r="P316">
        <v>9.017973E-2</v>
      </c>
      <c r="Q316">
        <v>9.0399405000000002E-2</v>
      </c>
      <c r="R316">
        <v>8.8751220000000006E-2</v>
      </c>
      <c r="S316">
        <v>9.0995430000000002E-2</v>
      </c>
      <c r="T316">
        <v>9.1244414999999995E-2</v>
      </c>
      <c r="U316">
        <v>9.2395994999999995E-2</v>
      </c>
      <c r="V316">
        <v>9.4626719999999998E-2</v>
      </c>
      <c r="W316">
        <v>0.11605114499999999</v>
      </c>
      <c r="X316">
        <v>0.11420511</v>
      </c>
      <c r="Y316">
        <v>0.110464695</v>
      </c>
      <c r="Z316">
        <v>8.9017589999999994E-2</v>
      </c>
      <c r="AA316">
        <v>7.59526799E-2</v>
      </c>
      <c r="AB316">
        <v>6.5629544999999997E-2</v>
      </c>
    </row>
    <row r="317" spans="1:28" hidden="1" x14ac:dyDescent="0.25">
      <c r="A317" t="s">
        <v>0</v>
      </c>
      <c r="B317" t="s">
        <v>1</v>
      </c>
      <c r="C317">
        <v>115</v>
      </c>
      <c r="D317" t="s">
        <v>2</v>
      </c>
      <c r="E317">
        <v>11.642422229999999</v>
      </c>
      <c r="F317">
        <v>11.17481121</v>
      </c>
      <c r="G317">
        <v>10.949488519999999</v>
      </c>
      <c r="H317">
        <v>10.589684764999999</v>
      </c>
      <c r="I317">
        <v>10.714871369999999</v>
      </c>
      <c r="J317">
        <v>11.092748889999999</v>
      </c>
      <c r="K317">
        <v>11.179565804999999</v>
      </c>
      <c r="L317">
        <v>12.16001018</v>
      </c>
      <c r="M317">
        <v>13.42205128</v>
      </c>
      <c r="N317">
        <v>13.859323314999999</v>
      </c>
      <c r="O317">
        <v>14.607152060000001</v>
      </c>
      <c r="P317">
        <v>15.421955880000001</v>
      </c>
      <c r="Q317">
        <v>15.973797205</v>
      </c>
      <c r="R317">
        <v>15.857122970000001</v>
      </c>
      <c r="S317">
        <v>15.796459775000001</v>
      </c>
      <c r="T317">
        <v>15.800119049999999</v>
      </c>
      <c r="U317">
        <v>15.69615033</v>
      </c>
      <c r="V317">
        <v>15.688004380000001</v>
      </c>
      <c r="W317">
        <v>17.763035915</v>
      </c>
      <c r="X317">
        <v>17.894691999999999</v>
      </c>
      <c r="Y317">
        <v>16.781718829999999</v>
      </c>
      <c r="Z317">
        <v>14.899749265000001</v>
      </c>
      <c r="AA317">
        <v>13.270708000000001</v>
      </c>
      <c r="AB317">
        <v>12.21437036</v>
      </c>
    </row>
    <row r="318" spans="1:28" hidden="1" x14ac:dyDescent="0.25">
      <c r="A318" t="s">
        <v>0</v>
      </c>
      <c r="B318" t="s">
        <v>1</v>
      </c>
      <c r="C318">
        <v>115</v>
      </c>
      <c r="D318" t="s">
        <v>3</v>
      </c>
      <c r="E318">
        <v>0</v>
      </c>
      <c r="F318">
        <v>0</v>
      </c>
      <c r="G318">
        <v>0</v>
      </c>
      <c r="H318">
        <v>0.43172521159999999</v>
      </c>
      <c r="I318">
        <v>0</v>
      </c>
      <c r="J318">
        <v>0</v>
      </c>
      <c r="K318">
        <v>0.68831502349999996</v>
      </c>
      <c r="L318">
        <v>0.98276867369999998</v>
      </c>
      <c r="M318">
        <v>1.4732363558999999</v>
      </c>
      <c r="N318">
        <v>1.8593923531000001</v>
      </c>
      <c r="O318">
        <v>2.5728365182999999</v>
      </c>
      <c r="P318">
        <v>3.0350270080000001</v>
      </c>
      <c r="Q318">
        <v>3.3115296986999998</v>
      </c>
      <c r="R318">
        <v>3.3527661986999999</v>
      </c>
      <c r="S318">
        <v>3.4940202613000002</v>
      </c>
      <c r="T318">
        <v>3.5625637351999999</v>
      </c>
      <c r="U318">
        <v>3.5022119271999999</v>
      </c>
      <c r="V318">
        <v>3.2207118191999999</v>
      </c>
      <c r="W318">
        <v>2.8571118625</v>
      </c>
      <c r="X318">
        <v>2.5653429071999998</v>
      </c>
      <c r="Y318">
        <v>2.1637651514999998</v>
      </c>
      <c r="Z318">
        <v>1.4340860891</v>
      </c>
      <c r="AA318">
        <v>0.63420994330000002</v>
      </c>
      <c r="AB318">
        <v>0.35411688180000001</v>
      </c>
    </row>
    <row r="319" spans="1:28" hidden="1" x14ac:dyDescent="0.25">
      <c r="A319" t="s">
        <v>0</v>
      </c>
      <c r="B319" t="s">
        <v>1</v>
      </c>
      <c r="C319">
        <v>115</v>
      </c>
      <c r="D319" t="s">
        <v>4</v>
      </c>
      <c r="E319">
        <v>0.17729576999999999</v>
      </c>
      <c r="F319">
        <v>0.17017478999999999</v>
      </c>
      <c r="G319">
        <v>0.16674348</v>
      </c>
      <c r="H319">
        <v>0.16126423500000001</v>
      </c>
      <c r="I319">
        <v>0.16317063000000001</v>
      </c>
      <c r="J319">
        <v>0.16892510999999999</v>
      </c>
      <c r="K319">
        <v>0.17024719499999999</v>
      </c>
      <c r="L319">
        <v>0.18517781999999999</v>
      </c>
      <c r="M319">
        <v>0.20439672</v>
      </c>
      <c r="N319">
        <v>0.21105568499999999</v>
      </c>
      <c r="O319">
        <v>0.22244394000000001</v>
      </c>
      <c r="P319">
        <v>0.23485212</v>
      </c>
      <c r="Q319">
        <v>0.243255795</v>
      </c>
      <c r="R319">
        <v>0.24147903000000001</v>
      </c>
      <c r="S319">
        <v>0.24055522500000001</v>
      </c>
      <c r="T319">
        <v>0.24061094999999999</v>
      </c>
      <c r="U319">
        <v>0.23902767</v>
      </c>
      <c r="V319">
        <v>0.23890362000000001</v>
      </c>
      <c r="W319">
        <v>0.27050308499999998</v>
      </c>
      <c r="X319">
        <v>0.27250799999999997</v>
      </c>
      <c r="Y319">
        <v>0.25555917</v>
      </c>
      <c r="Z319">
        <v>0.22689973499999999</v>
      </c>
      <c r="AA319">
        <v>0.20209199999999999</v>
      </c>
      <c r="AB319">
        <v>0.18600564</v>
      </c>
    </row>
    <row r="320" spans="1:28" hidden="1" x14ac:dyDescent="0.25">
      <c r="A320" t="s">
        <v>0</v>
      </c>
      <c r="B320" t="s">
        <v>5</v>
      </c>
      <c r="C320">
        <v>115</v>
      </c>
      <c r="D320" t="s">
        <v>2</v>
      </c>
      <c r="E320">
        <v>19.454621724999999</v>
      </c>
      <c r="F320">
        <v>18.507538315000001</v>
      </c>
      <c r="G320">
        <v>18.073462605</v>
      </c>
      <c r="H320">
        <v>17.118222410000001</v>
      </c>
      <c r="I320">
        <v>16.929988909999999</v>
      </c>
      <c r="J320">
        <v>17.072157900000001</v>
      </c>
      <c r="K320">
        <v>16.798726824999999</v>
      </c>
      <c r="L320">
        <v>18.001737859999999</v>
      </c>
      <c r="M320">
        <v>20.042721884999999</v>
      </c>
      <c r="N320">
        <v>21.620999205</v>
      </c>
      <c r="O320">
        <v>23.27053635</v>
      </c>
      <c r="P320">
        <v>24.455880425</v>
      </c>
      <c r="Q320">
        <v>25.330982989999999</v>
      </c>
      <c r="R320">
        <v>25.156568055000001</v>
      </c>
      <c r="S320">
        <v>25.258898720000001</v>
      </c>
      <c r="T320">
        <v>25.283970910000001</v>
      </c>
      <c r="U320">
        <v>25.291316054999999</v>
      </c>
      <c r="V320">
        <v>25.304951410000001</v>
      </c>
      <c r="W320">
        <v>28.804104809999998</v>
      </c>
      <c r="X320">
        <v>29.801591654999999</v>
      </c>
      <c r="Y320">
        <v>28.296498849999999</v>
      </c>
      <c r="Z320">
        <v>25.40361098</v>
      </c>
      <c r="AA320">
        <v>22.571851225</v>
      </c>
      <c r="AB320">
        <v>20.61554568</v>
      </c>
    </row>
    <row r="321" spans="1:28" hidden="1" x14ac:dyDescent="0.25">
      <c r="A321" t="s">
        <v>0</v>
      </c>
      <c r="B321" t="s">
        <v>5</v>
      </c>
      <c r="C321">
        <v>115</v>
      </c>
      <c r="D321" t="s">
        <v>3</v>
      </c>
      <c r="E321">
        <v>7.1964152403000003</v>
      </c>
      <c r="F321">
        <v>6.6018845378000002</v>
      </c>
      <c r="G321">
        <v>6.5501938436999998</v>
      </c>
      <c r="H321">
        <v>6.1005520715000001</v>
      </c>
      <c r="I321">
        <v>5.8439093843999999</v>
      </c>
      <c r="J321">
        <v>6.3781379881999998</v>
      </c>
      <c r="K321">
        <v>6.6276502274000002</v>
      </c>
      <c r="L321">
        <v>6.8118322038999999</v>
      </c>
      <c r="M321">
        <v>7.5789572966999996</v>
      </c>
      <c r="N321">
        <v>8.3720425587000005</v>
      </c>
      <c r="O321">
        <v>9.1589932565000005</v>
      </c>
      <c r="P321">
        <v>9.6594268024000005</v>
      </c>
      <c r="Q321">
        <v>9.9499777124000008</v>
      </c>
      <c r="R321">
        <v>10.2406019688</v>
      </c>
      <c r="S321">
        <v>10.3142490013</v>
      </c>
      <c r="T321">
        <v>10.282299032599999</v>
      </c>
      <c r="U321">
        <v>10.3462102244</v>
      </c>
      <c r="V321">
        <v>9.6511889017999994</v>
      </c>
      <c r="W321">
        <v>9.7165965296000003</v>
      </c>
      <c r="X321">
        <v>9.8164438306000008</v>
      </c>
      <c r="Y321">
        <v>9.2089140115999992</v>
      </c>
      <c r="Z321">
        <v>8.3127451008000008</v>
      </c>
      <c r="AA321">
        <v>7.4852806369999998</v>
      </c>
      <c r="AB321">
        <v>7.1274007641999999</v>
      </c>
    </row>
    <row r="322" spans="1:28" hidden="1" x14ac:dyDescent="0.25">
      <c r="A322" t="s">
        <v>0</v>
      </c>
      <c r="B322" t="s">
        <v>5</v>
      </c>
      <c r="C322">
        <v>115</v>
      </c>
      <c r="D322" t="s">
        <v>4</v>
      </c>
      <c r="E322">
        <v>0.29626327499999999</v>
      </c>
      <c r="F322">
        <v>0.28184068499999998</v>
      </c>
      <c r="G322">
        <v>0.27523039500000002</v>
      </c>
      <c r="H322">
        <v>0.26068359000000002</v>
      </c>
      <c r="I322">
        <v>0.25781709000000003</v>
      </c>
      <c r="J322">
        <v>0.25998209999999999</v>
      </c>
      <c r="K322">
        <v>0.25581817499999998</v>
      </c>
      <c r="L322">
        <v>0.27413813999999997</v>
      </c>
      <c r="M322">
        <v>0.30521911499999999</v>
      </c>
      <c r="N322">
        <v>0.32925379500000002</v>
      </c>
      <c r="O322">
        <v>0.35437364999999998</v>
      </c>
      <c r="P322">
        <v>0.37242457499999998</v>
      </c>
      <c r="Q322">
        <v>0.38575101000000001</v>
      </c>
      <c r="R322">
        <v>0.38309494500000002</v>
      </c>
      <c r="S322">
        <v>0.38465327999999999</v>
      </c>
      <c r="T322">
        <v>0.38503509000000002</v>
      </c>
      <c r="U322">
        <v>0.38514694500000002</v>
      </c>
      <c r="V322">
        <v>0.38535459</v>
      </c>
      <c r="W322">
        <v>0.43864119000000001</v>
      </c>
      <c r="X322">
        <v>0.453831345</v>
      </c>
      <c r="Y322">
        <v>0.43091115000000002</v>
      </c>
      <c r="Z322">
        <v>0.38685702</v>
      </c>
      <c r="AA322">
        <v>0.34373377500000002</v>
      </c>
      <c r="AB322">
        <v>0.31394232</v>
      </c>
    </row>
    <row r="323" spans="1:28" hidden="1" x14ac:dyDescent="0.25">
      <c r="A323" t="s">
        <v>0</v>
      </c>
      <c r="B323" t="s">
        <v>6</v>
      </c>
      <c r="C323">
        <v>115</v>
      </c>
      <c r="D323" t="s">
        <v>2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</row>
    <row r="324" spans="1:28" hidden="1" x14ac:dyDescent="0.25">
      <c r="A324" t="s">
        <v>0</v>
      </c>
      <c r="B324" t="s">
        <v>6</v>
      </c>
      <c r="C324">
        <v>115</v>
      </c>
      <c r="D324" t="s">
        <v>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</row>
    <row r="325" spans="1:28" hidden="1" x14ac:dyDescent="0.25">
      <c r="A325" t="s">
        <v>0</v>
      </c>
      <c r="B325" t="s">
        <v>6</v>
      </c>
      <c r="C325">
        <v>115</v>
      </c>
      <c r="D325" t="s">
        <v>4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</row>
    <row r="326" spans="1:28" hidden="1" x14ac:dyDescent="0.25">
      <c r="A326" t="s">
        <v>7</v>
      </c>
      <c r="B326" t="s">
        <v>8</v>
      </c>
      <c r="C326">
        <v>110</v>
      </c>
      <c r="D326" t="s">
        <v>2</v>
      </c>
      <c r="E326">
        <v>11.3900475</v>
      </c>
      <c r="F326">
        <v>10.7245618</v>
      </c>
      <c r="G326">
        <v>10.382688</v>
      </c>
      <c r="H326">
        <v>10.2834591</v>
      </c>
      <c r="I326">
        <v>10.286355</v>
      </c>
      <c r="J326">
        <v>10.130892449999999</v>
      </c>
      <c r="K326">
        <v>12.0573456</v>
      </c>
      <c r="L326">
        <v>12.768909600000001</v>
      </c>
      <c r="M326">
        <v>13.707417599999999</v>
      </c>
      <c r="N326">
        <v>13.8976211</v>
      </c>
      <c r="O326">
        <v>14.5969514</v>
      </c>
      <c r="P326">
        <v>14.735206</v>
      </c>
      <c r="Q326">
        <v>14.660582399999999</v>
      </c>
      <c r="R326">
        <v>13.6559218</v>
      </c>
      <c r="S326">
        <v>13.1793</v>
      </c>
      <c r="T326">
        <v>12.7466092</v>
      </c>
      <c r="U326">
        <v>12.3648232</v>
      </c>
      <c r="V326">
        <v>13.5278718</v>
      </c>
      <c r="W326">
        <v>18.016103099999999</v>
      </c>
      <c r="X326">
        <v>18.658657999999999</v>
      </c>
      <c r="Y326">
        <v>16.576052799999999</v>
      </c>
      <c r="Z326">
        <v>13.774880250000001</v>
      </c>
      <c r="AA326">
        <v>12.433182199999999</v>
      </c>
      <c r="AB326">
        <v>10.13999385</v>
      </c>
    </row>
    <row r="327" spans="1:28" hidden="1" x14ac:dyDescent="0.25">
      <c r="A327" t="s">
        <v>7</v>
      </c>
      <c r="B327" t="s">
        <v>8</v>
      </c>
      <c r="C327">
        <v>110</v>
      </c>
      <c r="D327" t="s">
        <v>3</v>
      </c>
      <c r="E327">
        <v>5.0417878404999996</v>
      </c>
      <c r="F327">
        <v>5.0246396901999999</v>
      </c>
      <c r="G327">
        <v>4.9308129250999997</v>
      </c>
      <c r="H327">
        <v>4.8633987982000004</v>
      </c>
      <c r="I327">
        <v>4.6228747997999999</v>
      </c>
      <c r="J327">
        <v>4.7348407126999996</v>
      </c>
      <c r="K327">
        <v>5.1320450310999997</v>
      </c>
      <c r="L327">
        <v>5.1014473049999998</v>
      </c>
      <c r="M327">
        <v>5.1406903030000004</v>
      </c>
      <c r="N327">
        <v>5.0662598436000001</v>
      </c>
      <c r="O327">
        <v>5.6219389611999997</v>
      </c>
      <c r="P327">
        <v>5.8204810244000003</v>
      </c>
      <c r="Q327">
        <v>5.8089791496999998</v>
      </c>
      <c r="R327">
        <v>5.7666428588</v>
      </c>
      <c r="S327">
        <v>6.0104230676999997</v>
      </c>
      <c r="T327">
        <v>6.1936676765999996</v>
      </c>
      <c r="U327">
        <v>6.0140990979</v>
      </c>
      <c r="V327">
        <v>5.9928881155999996</v>
      </c>
      <c r="W327">
        <v>6.0962526699000001</v>
      </c>
      <c r="X327">
        <v>6.0188293144999996</v>
      </c>
      <c r="Y327">
        <v>5.8161578711999997</v>
      </c>
      <c r="Z327">
        <v>4.9781077752999998</v>
      </c>
      <c r="AA327">
        <v>4.9735327234</v>
      </c>
      <c r="AB327">
        <v>4.7320888485000001</v>
      </c>
    </row>
    <row r="328" spans="1:28" hidden="1" x14ac:dyDescent="0.25">
      <c r="A328" t="s">
        <v>7</v>
      </c>
      <c r="B328" t="s">
        <v>8</v>
      </c>
      <c r="C328">
        <v>110</v>
      </c>
      <c r="D328" t="s">
        <v>4</v>
      </c>
      <c r="E328">
        <v>0.17345250000000001</v>
      </c>
      <c r="F328">
        <v>0.1633182</v>
      </c>
      <c r="G328">
        <v>0.158112</v>
      </c>
      <c r="H328">
        <v>0.15660089999999999</v>
      </c>
      <c r="I328">
        <v>0.15664500000000001</v>
      </c>
      <c r="J328">
        <v>0.15427755000000001</v>
      </c>
      <c r="K328">
        <v>0.18361440000000001</v>
      </c>
      <c r="L328">
        <v>0.1944504</v>
      </c>
      <c r="M328">
        <v>0.20874239999999999</v>
      </c>
      <c r="N328">
        <v>0.21163889999999999</v>
      </c>
      <c r="O328">
        <v>0.2222886</v>
      </c>
      <c r="P328">
        <v>0.22439400000000001</v>
      </c>
      <c r="Q328">
        <v>0.2232576</v>
      </c>
      <c r="R328">
        <v>0.20795820000000001</v>
      </c>
      <c r="S328">
        <v>0.20069999999999999</v>
      </c>
      <c r="T328">
        <v>0.1941108</v>
      </c>
      <c r="U328">
        <v>0.18829679999999999</v>
      </c>
      <c r="V328">
        <v>0.2060082</v>
      </c>
      <c r="W328">
        <v>0.27435690000000001</v>
      </c>
      <c r="X328">
        <v>0.28414200000000001</v>
      </c>
      <c r="Y328">
        <v>0.25242720000000002</v>
      </c>
      <c r="Z328">
        <v>0.20976975</v>
      </c>
      <c r="AA328">
        <v>0.1893378</v>
      </c>
      <c r="AB328">
        <v>0.15441615</v>
      </c>
    </row>
    <row r="329" spans="1:28" hidden="1" x14ac:dyDescent="0.25">
      <c r="A329" t="s">
        <v>7</v>
      </c>
      <c r="B329" t="s">
        <v>9</v>
      </c>
      <c r="C329">
        <v>110</v>
      </c>
      <c r="D329" t="s">
        <v>2</v>
      </c>
      <c r="E329">
        <v>53.003096249999999</v>
      </c>
      <c r="F329">
        <v>51.490707550000003</v>
      </c>
      <c r="G329">
        <v>52.210860750000002</v>
      </c>
      <c r="H329">
        <v>52.243393750000003</v>
      </c>
      <c r="I329">
        <v>50.263445249999997</v>
      </c>
      <c r="J329">
        <v>50.645881350000003</v>
      </c>
      <c r="K329">
        <v>55.196640449999997</v>
      </c>
      <c r="L329">
        <v>57.846173800000003</v>
      </c>
      <c r="M329">
        <v>61.698508799999999</v>
      </c>
      <c r="N329">
        <v>63.106763299999997</v>
      </c>
      <c r="O329">
        <v>65.449024350000002</v>
      </c>
      <c r="P329">
        <v>66.713498400000006</v>
      </c>
      <c r="Q329">
        <v>68.456239199999999</v>
      </c>
      <c r="R329">
        <v>66.533755600000006</v>
      </c>
      <c r="S329">
        <v>63.60342</v>
      </c>
      <c r="T329">
        <v>63.085113000100002</v>
      </c>
      <c r="U329">
        <v>61.858719049999998</v>
      </c>
      <c r="V329">
        <v>62.569327600000001</v>
      </c>
      <c r="W329">
        <v>71.835508250000004</v>
      </c>
      <c r="X329">
        <v>75.753591999999998</v>
      </c>
      <c r="Y329">
        <v>74.233067199999994</v>
      </c>
      <c r="Z329">
        <v>65.463592500000004</v>
      </c>
      <c r="AA329">
        <v>62.818542450000002</v>
      </c>
      <c r="AB329">
        <v>58.846894399999996</v>
      </c>
    </row>
    <row r="330" spans="1:28" hidden="1" x14ac:dyDescent="0.25">
      <c r="A330" t="s">
        <v>7</v>
      </c>
      <c r="B330" t="s">
        <v>9</v>
      </c>
      <c r="C330">
        <v>110</v>
      </c>
      <c r="D330" t="s">
        <v>3</v>
      </c>
      <c r="E330">
        <v>15.6900259878</v>
      </c>
      <c r="F330">
        <v>15.7143003937</v>
      </c>
      <c r="G330">
        <v>16.4385198264</v>
      </c>
      <c r="H330">
        <v>15.9263947499</v>
      </c>
      <c r="I330">
        <v>15.196196238300001</v>
      </c>
      <c r="J330">
        <v>14.2120180162</v>
      </c>
      <c r="K330">
        <v>17.637785634</v>
      </c>
      <c r="L330">
        <v>18.238183475700001</v>
      </c>
      <c r="M330">
        <v>18.924147134599998</v>
      </c>
      <c r="N330">
        <v>18.808751082699999</v>
      </c>
      <c r="O330">
        <v>21.353711668100001</v>
      </c>
      <c r="P330">
        <v>22.3065100946</v>
      </c>
      <c r="Q330">
        <v>22.502906841600002</v>
      </c>
      <c r="R330">
        <v>21.833153157800002</v>
      </c>
      <c r="S330">
        <v>20.959551336800001</v>
      </c>
      <c r="T330">
        <v>20.857940407899999</v>
      </c>
      <c r="U330">
        <v>20.290240355200002</v>
      </c>
      <c r="V330">
        <v>19.896098063699998</v>
      </c>
      <c r="W330">
        <v>20.806880272699999</v>
      </c>
      <c r="X330">
        <v>20.499911821800001</v>
      </c>
      <c r="Y330">
        <v>20.1493626619</v>
      </c>
      <c r="Z330">
        <v>17.612861655500001</v>
      </c>
      <c r="AA330">
        <v>18.3196403946</v>
      </c>
      <c r="AB330">
        <v>18.9995013437</v>
      </c>
    </row>
    <row r="331" spans="1:28" hidden="1" x14ac:dyDescent="0.25">
      <c r="A331" t="s">
        <v>7</v>
      </c>
      <c r="B331" t="s">
        <v>9</v>
      </c>
      <c r="C331">
        <v>110</v>
      </c>
      <c r="D331" t="s">
        <v>4</v>
      </c>
      <c r="E331">
        <v>0.80715375</v>
      </c>
      <c r="F331">
        <v>0.78412245000000003</v>
      </c>
      <c r="G331">
        <v>0.79508924999999997</v>
      </c>
      <c r="H331">
        <v>0.79558467629999996</v>
      </c>
      <c r="I331">
        <v>0.76543317629999996</v>
      </c>
      <c r="J331">
        <v>0.77125707629999996</v>
      </c>
      <c r="K331">
        <v>0.84055797629999995</v>
      </c>
      <c r="L331">
        <v>0.88090619999999997</v>
      </c>
      <c r="M331">
        <v>0.93957120000000005</v>
      </c>
      <c r="N331">
        <v>0.96101669999999995</v>
      </c>
      <c r="O331">
        <v>0.99668564999999998</v>
      </c>
      <c r="P331">
        <v>1.0159415999999999</v>
      </c>
      <c r="Q331">
        <v>1.0424808000000001</v>
      </c>
      <c r="R331">
        <v>1.0132044</v>
      </c>
      <c r="S331">
        <v>0.96858</v>
      </c>
      <c r="T331">
        <v>0.96068699989999995</v>
      </c>
      <c r="U331">
        <v>0.94201095000000001</v>
      </c>
      <c r="V331">
        <v>0.95283240000000002</v>
      </c>
      <c r="W331">
        <v>1.0939417499999999</v>
      </c>
      <c r="X331">
        <v>1.153608</v>
      </c>
      <c r="Y331">
        <v>1.1304528</v>
      </c>
      <c r="Z331">
        <v>0.99690749999999995</v>
      </c>
      <c r="AA331">
        <v>0.95662754999999999</v>
      </c>
      <c r="AB331">
        <v>0.89614559999999999</v>
      </c>
    </row>
    <row r="332" spans="1:28" hidden="1" x14ac:dyDescent="0.25">
      <c r="A332" t="s">
        <v>7</v>
      </c>
      <c r="B332" t="s">
        <v>10</v>
      </c>
      <c r="C332">
        <v>44</v>
      </c>
      <c r="D332" t="s">
        <v>2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</row>
    <row r="333" spans="1:28" hidden="1" x14ac:dyDescent="0.25">
      <c r="A333" t="s">
        <v>7</v>
      </c>
      <c r="B333" t="s">
        <v>10</v>
      </c>
      <c r="C333">
        <v>44</v>
      </c>
      <c r="D333" t="s">
        <v>3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</row>
    <row r="334" spans="1:28" hidden="1" x14ac:dyDescent="0.25">
      <c r="A334" t="s">
        <v>7</v>
      </c>
      <c r="B334" t="s">
        <v>10</v>
      </c>
      <c r="C334">
        <v>44</v>
      </c>
      <c r="D334" t="s">
        <v>4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</row>
    <row r="335" spans="1:28" hidden="1" x14ac:dyDescent="0.25">
      <c r="A335" t="s">
        <v>7</v>
      </c>
      <c r="B335" t="s">
        <v>11</v>
      </c>
      <c r="C335">
        <v>110</v>
      </c>
      <c r="D335" t="s">
        <v>2</v>
      </c>
      <c r="E335">
        <v>6.8570774999999999</v>
      </c>
      <c r="F335">
        <v>6.8995901000000002</v>
      </c>
      <c r="G335">
        <v>7.0750087500000003</v>
      </c>
      <c r="H335">
        <v>7.1786799999999999</v>
      </c>
      <c r="I335">
        <v>6.8691930000000001</v>
      </c>
      <c r="J335">
        <v>6.9466435500000001</v>
      </c>
      <c r="K335">
        <v>7.2601395000000002</v>
      </c>
      <c r="L335">
        <v>6.9400342000000004</v>
      </c>
      <c r="M335">
        <v>6.9797887999999997</v>
      </c>
      <c r="N335">
        <v>7.0987078500000003</v>
      </c>
      <c r="O335">
        <v>7.3888593</v>
      </c>
      <c r="P335">
        <v>7.5848152000000004</v>
      </c>
      <c r="Q335">
        <v>7.5955320000000004</v>
      </c>
      <c r="R335">
        <v>7.5573927999999997</v>
      </c>
      <c r="S335">
        <v>7.4229599999999998</v>
      </c>
      <c r="T335">
        <v>7.3157525999999997</v>
      </c>
      <c r="U335">
        <v>7.0936252499999997</v>
      </c>
      <c r="V335">
        <v>7.1494451999999997</v>
      </c>
      <c r="W335">
        <v>8.2944092000000005</v>
      </c>
      <c r="X335">
        <v>8.6719399999999993</v>
      </c>
      <c r="Y335">
        <v>8.1592672000000004</v>
      </c>
      <c r="Z335">
        <v>6.8934240000000004</v>
      </c>
      <c r="AA335">
        <v>6.8802840999999999</v>
      </c>
      <c r="AB335">
        <v>6.9962875499999999</v>
      </c>
    </row>
    <row r="336" spans="1:28" hidden="1" x14ac:dyDescent="0.25">
      <c r="A336" t="s">
        <v>7</v>
      </c>
      <c r="B336" t="s">
        <v>11</v>
      </c>
      <c r="C336">
        <v>110</v>
      </c>
      <c r="D336" t="s">
        <v>3</v>
      </c>
      <c r="E336">
        <v>2.0606658267000002</v>
      </c>
      <c r="F336">
        <v>2.0734415698999999</v>
      </c>
      <c r="G336">
        <v>2.1261577915999998</v>
      </c>
      <c r="H336">
        <v>2.1573127263999998</v>
      </c>
      <c r="I336">
        <v>2.0643067358999998</v>
      </c>
      <c r="J336">
        <v>2.0875819141999998</v>
      </c>
      <c r="K336">
        <v>2.1817926608999998</v>
      </c>
      <c r="L336">
        <v>2.0855956945999998</v>
      </c>
      <c r="M336">
        <v>2.0975426130999999</v>
      </c>
      <c r="N336">
        <v>2.0655002818999999</v>
      </c>
      <c r="O336">
        <v>2.0440588142</v>
      </c>
      <c r="P336">
        <v>2.0559757408000001</v>
      </c>
      <c r="Q336">
        <v>2.0429372043999998</v>
      </c>
      <c r="R336">
        <v>2.0420224391000001</v>
      </c>
      <c r="S336">
        <v>2.0731990477000002</v>
      </c>
      <c r="T336">
        <v>2.1147011603000001</v>
      </c>
      <c r="U336">
        <v>2.1172033518000002</v>
      </c>
      <c r="V336">
        <v>2.1485271828000001</v>
      </c>
      <c r="W336">
        <v>2.1936784413999999</v>
      </c>
      <c r="X336">
        <v>2.1870063869999998</v>
      </c>
      <c r="Y336">
        <v>2.1979290925999999</v>
      </c>
      <c r="Z336">
        <v>2.0574501589</v>
      </c>
      <c r="AA336">
        <v>2.0676397958999999</v>
      </c>
      <c r="AB336">
        <v>2.1025007619</v>
      </c>
    </row>
    <row r="337" spans="1:28" hidden="1" x14ac:dyDescent="0.25">
      <c r="A337" t="s">
        <v>7</v>
      </c>
      <c r="B337" t="s">
        <v>11</v>
      </c>
      <c r="C337">
        <v>110</v>
      </c>
      <c r="D337" t="s">
        <v>4</v>
      </c>
      <c r="E337">
        <v>0.1044225</v>
      </c>
      <c r="F337">
        <v>0.10506989999999999</v>
      </c>
      <c r="G337">
        <v>0.10774125</v>
      </c>
      <c r="H337">
        <v>0.10932</v>
      </c>
      <c r="I337">
        <v>0.10460700000000001</v>
      </c>
      <c r="J337">
        <v>0.10578645</v>
      </c>
      <c r="K337">
        <v>0.11056050000000001</v>
      </c>
      <c r="L337">
        <v>0.1056858</v>
      </c>
      <c r="M337">
        <v>0.1062912</v>
      </c>
      <c r="N337">
        <v>0.10810214999999999</v>
      </c>
      <c r="O337">
        <v>0.1125207</v>
      </c>
      <c r="P337">
        <v>0.1155048</v>
      </c>
      <c r="Q337">
        <v>0.11566800000000001</v>
      </c>
      <c r="R337">
        <v>0.1150872</v>
      </c>
      <c r="S337">
        <v>0.11304</v>
      </c>
      <c r="T337">
        <v>0.1114074</v>
      </c>
      <c r="U337">
        <v>0.10802475</v>
      </c>
      <c r="V337">
        <v>0.10887479999999999</v>
      </c>
      <c r="W337">
        <v>0.1263108</v>
      </c>
      <c r="X337">
        <v>0.13206000000000001</v>
      </c>
      <c r="Y337">
        <v>0.1242528</v>
      </c>
      <c r="Z337">
        <v>0.104976</v>
      </c>
      <c r="AA337">
        <v>0.10477590000000001</v>
      </c>
      <c r="AB337">
        <v>0.10654245</v>
      </c>
    </row>
    <row r="338" spans="1:28" hidden="1" x14ac:dyDescent="0.25">
      <c r="A338" t="s">
        <v>7</v>
      </c>
      <c r="B338" t="s">
        <v>12</v>
      </c>
      <c r="C338">
        <v>110</v>
      </c>
      <c r="D338" t="s">
        <v>2</v>
      </c>
      <c r="E338">
        <v>27.322668749999998</v>
      </c>
      <c r="F338">
        <v>26.262365500000001</v>
      </c>
      <c r="G338">
        <v>26.14598775</v>
      </c>
      <c r="H338">
        <v>25.839538000000001</v>
      </c>
      <c r="I338">
        <v>24.962494</v>
      </c>
      <c r="J338">
        <v>25.230128350000001</v>
      </c>
      <c r="K338">
        <v>24.579673750000001</v>
      </c>
      <c r="L338">
        <v>25.387153600000001</v>
      </c>
      <c r="M338">
        <v>26.799564799999999</v>
      </c>
      <c r="N338">
        <v>27.987967300000001</v>
      </c>
      <c r="O338">
        <v>29.3294782</v>
      </c>
      <c r="P338">
        <v>30.503637600000001</v>
      </c>
      <c r="Q338">
        <v>31.2140196</v>
      </c>
      <c r="R338">
        <v>30.887255700000001</v>
      </c>
      <c r="S338">
        <v>31.52394</v>
      </c>
      <c r="T338">
        <v>32.090354400000002</v>
      </c>
      <c r="U338">
        <v>31.54644725</v>
      </c>
      <c r="V338">
        <v>32.008954000000003</v>
      </c>
      <c r="W338">
        <v>36.50347945</v>
      </c>
      <c r="X338">
        <v>37.317315999999998</v>
      </c>
      <c r="Y338">
        <v>36.689595199999999</v>
      </c>
      <c r="Z338">
        <v>32.61211875</v>
      </c>
      <c r="AA338">
        <v>30.950216900000001</v>
      </c>
      <c r="AB338">
        <v>28.868675499999998</v>
      </c>
    </row>
    <row r="339" spans="1:28" hidden="1" x14ac:dyDescent="0.25">
      <c r="A339" t="s">
        <v>7</v>
      </c>
      <c r="B339" t="s">
        <v>12</v>
      </c>
      <c r="C339">
        <v>110</v>
      </c>
      <c r="D339" t="s">
        <v>3</v>
      </c>
      <c r="E339">
        <v>13.413531906099999</v>
      </c>
      <c r="F339">
        <v>13.2108922647</v>
      </c>
      <c r="G339">
        <v>13.353698849200001</v>
      </c>
      <c r="H339">
        <v>13.235126124600001</v>
      </c>
      <c r="I339">
        <v>12.7713816019</v>
      </c>
      <c r="J339">
        <v>12.690233797499999</v>
      </c>
      <c r="K339">
        <v>11.841752770199999</v>
      </c>
      <c r="L339">
        <v>12.499767499300001</v>
      </c>
      <c r="M339">
        <v>13.400320929099999</v>
      </c>
      <c r="N339">
        <v>14.129621394300001</v>
      </c>
      <c r="O339">
        <v>14.80034457</v>
      </c>
      <c r="P339">
        <v>15.3171737647</v>
      </c>
      <c r="Q339">
        <v>15.4599119003</v>
      </c>
      <c r="R339">
        <v>15.7983463575</v>
      </c>
      <c r="S339">
        <v>13.519260233900001</v>
      </c>
      <c r="T339">
        <v>12.9736991307</v>
      </c>
      <c r="U339">
        <v>12.7665310404</v>
      </c>
      <c r="V339">
        <v>16.027480650800001</v>
      </c>
      <c r="W339">
        <v>16.914201184100001</v>
      </c>
      <c r="X339">
        <v>16.898863069499999</v>
      </c>
      <c r="Y339">
        <v>16.552383025899999</v>
      </c>
      <c r="Z339">
        <v>14.7833893853</v>
      </c>
      <c r="AA339">
        <v>14.2801805415</v>
      </c>
      <c r="AB339">
        <v>14.0536115776</v>
      </c>
    </row>
    <row r="340" spans="1:28" hidden="1" x14ac:dyDescent="0.25">
      <c r="A340" t="s">
        <v>7</v>
      </c>
      <c r="B340" t="s">
        <v>12</v>
      </c>
      <c r="C340">
        <v>110</v>
      </c>
      <c r="D340" t="s">
        <v>4</v>
      </c>
      <c r="E340">
        <v>0.41608125000000001</v>
      </c>
      <c r="F340">
        <v>0.39993450000000003</v>
      </c>
      <c r="G340">
        <v>0.39816225</v>
      </c>
      <c r="H340">
        <v>0.39349550249999998</v>
      </c>
      <c r="I340">
        <v>0.3801395025</v>
      </c>
      <c r="J340">
        <v>0.38421515249999999</v>
      </c>
      <c r="K340">
        <v>0.37430975249999998</v>
      </c>
      <c r="L340">
        <v>0.38660640000000002</v>
      </c>
      <c r="M340">
        <v>0.40811520000000001</v>
      </c>
      <c r="N340">
        <v>0.4262127</v>
      </c>
      <c r="O340">
        <v>0.44664179999999998</v>
      </c>
      <c r="P340">
        <v>0.4645224</v>
      </c>
      <c r="Q340">
        <v>0.4753404</v>
      </c>
      <c r="R340">
        <v>0.47036430000000001</v>
      </c>
      <c r="S340">
        <v>0.48005999999999999</v>
      </c>
      <c r="T340">
        <v>0.4886856</v>
      </c>
      <c r="U340">
        <v>0.48040274999999999</v>
      </c>
      <c r="V340">
        <v>0.48744599999999999</v>
      </c>
      <c r="W340">
        <v>0.55589054999999998</v>
      </c>
      <c r="X340">
        <v>0.56828400000000001</v>
      </c>
      <c r="Y340">
        <v>0.55872480000000002</v>
      </c>
      <c r="Z340">
        <v>0.49663125000000002</v>
      </c>
      <c r="AA340">
        <v>0.47132309999999999</v>
      </c>
      <c r="AB340">
        <v>0.43962449999999997</v>
      </c>
    </row>
    <row r="341" spans="1:28" hidden="1" x14ac:dyDescent="0.25">
      <c r="A341" t="s">
        <v>7</v>
      </c>
      <c r="B341" t="s">
        <v>13</v>
      </c>
      <c r="C341">
        <v>110</v>
      </c>
      <c r="D341" t="s">
        <v>2</v>
      </c>
      <c r="E341">
        <v>20.321535000000001</v>
      </c>
      <c r="F341">
        <v>20.6987703</v>
      </c>
      <c r="G341">
        <v>21.360217500000001</v>
      </c>
      <c r="H341">
        <v>20.0285172</v>
      </c>
      <c r="I341">
        <v>19.387163999999999</v>
      </c>
      <c r="J341">
        <v>19.656955499999999</v>
      </c>
      <c r="K341">
        <v>21.47714685</v>
      </c>
      <c r="L341">
        <v>20.151523999999998</v>
      </c>
      <c r="M341">
        <v>20.798156800000001</v>
      </c>
      <c r="N341">
        <v>21.413900000000002</v>
      </c>
      <c r="O341">
        <v>21.714659900000001</v>
      </c>
      <c r="P341">
        <v>22.014749999999999</v>
      </c>
      <c r="Q341">
        <v>23.401472399999999</v>
      </c>
      <c r="R341">
        <v>22.6721784</v>
      </c>
      <c r="S341">
        <v>23.048999999999999</v>
      </c>
      <c r="T341">
        <v>23.1960014</v>
      </c>
      <c r="U341">
        <v>23.495470950000001</v>
      </c>
      <c r="V341">
        <v>23.878212399999999</v>
      </c>
      <c r="W341">
        <v>25.516080250000002</v>
      </c>
      <c r="X341">
        <v>25.260522000000002</v>
      </c>
      <c r="Y341">
        <v>24.5726768</v>
      </c>
      <c r="Z341">
        <v>21.075207750000001</v>
      </c>
      <c r="AA341">
        <v>20.629790750000002</v>
      </c>
      <c r="AB341">
        <v>19.930686999999999</v>
      </c>
    </row>
    <row r="342" spans="1:28" hidden="1" x14ac:dyDescent="0.25">
      <c r="A342" t="s">
        <v>7</v>
      </c>
      <c r="B342" t="s">
        <v>13</v>
      </c>
      <c r="C342">
        <v>110</v>
      </c>
      <c r="D342" t="s">
        <v>3</v>
      </c>
      <c r="E342">
        <v>6.9278092537999996</v>
      </c>
      <c r="F342">
        <v>7.0678625739000003</v>
      </c>
      <c r="G342">
        <v>7.4038672304000004</v>
      </c>
      <c r="H342">
        <v>7.3217448425000002</v>
      </c>
      <c r="I342">
        <v>7.8427834068999998</v>
      </c>
      <c r="J342">
        <v>7.5115937928000003</v>
      </c>
      <c r="K342">
        <v>7.6330463499999999</v>
      </c>
      <c r="L342">
        <v>7.9447267196000002</v>
      </c>
      <c r="M342">
        <v>7.0773356089000004</v>
      </c>
      <c r="N342">
        <v>7.3068717914999999</v>
      </c>
      <c r="O342">
        <v>7.6706236323999999</v>
      </c>
      <c r="P342">
        <v>8.2103399280999998</v>
      </c>
      <c r="Q342">
        <v>9.3910169349999997</v>
      </c>
      <c r="R342">
        <v>9.1857502304</v>
      </c>
      <c r="S342">
        <v>9.1717746825000006</v>
      </c>
      <c r="T342">
        <v>9.2564103770999999</v>
      </c>
      <c r="U342">
        <v>9.3088988376999993</v>
      </c>
      <c r="V342">
        <v>9.4305118294000003</v>
      </c>
      <c r="W342">
        <v>9.2982942175000005</v>
      </c>
      <c r="X342">
        <v>9.0893572420000002</v>
      </c>
      <c r="Y342">
        <v>9.1258115267999997</v>
      </c>
      <c r="Z342">
        <v>8.1452564679999995</v>
      </c>
      <c r="AA342">
        <v>7.8515158557999998</v>
      </c>
      <c r="AB342">
        <v>7.4207436691000002</v>
      </c>
    </row>
    <row r="343" spans="1:28" hidden="1" x14ac:dyDescent="0.25">
      <c r="A343" t="s">
        <v>7</v>
      </c>
      <c r="B343" t="s">
        <v>13</v>
      </c>
      <c r="C343">
        <v>110</v>
      </c>
      <c r="D343" t="s">
        <v>4</v>
      </c>
      <c r="E343">
        <v>0.30946499999999999</v>
      </c>
      <c r="F343">
        <v>0.31520969999999998</v>
      </c>
      <c r="G343">
        <v>0.32528249999999997</v>
      </c>
      <c r="H343">
        <v>0.30500280000000002</v>
      </c>
      <c r="I343">
        <v>0.295236</v>
      </c>
      <c r="J343">
        <v>0.29934450000000001</v>
      </c>
      <c r="K343">
        <v>0.32706315000000002</v>
      </c>
      <c r="L343">
        <v>0.30687599999999998</v>
      </c>
      <c r="M343">
        <v>0.31672319999999998</v>
      </c>
      <c r="N343">
        <v>0.3261</v>
      </c>
      <c r="O343">
        <v>0.33068009999999998</v>
      </c>
      <c r="P343">
        <v>0.33524999999999999</v>
      </c>
      <c r="Q343">
        <v>0.35636760000000001</v>
      </c>
      <c r="R343">
        <v>0.3452616</v>
      </c>
      <c r="S343">
        <v>0.35099999999999998</v>
      </c>
      <c r="T343">
        <v>0.35323860000000001</v>
      </c>
      <c r="U343">
        <v>0.35779905000000001</v>
      </c>
      <c r="V343">
        <v>0.3636276</v>
      </c>
      <c r="W343">
        <v>0.38856974999999999</v>
      </c>
      <c r="X343">
        <v>0.38467800000000002</v>
      </c>
      <c r="Y343">
        <v>0.37420320000000001</v>
      </c>
      <c r="Z343">
        <v>0.32094224999999998</v>
      </c>
      <c r="AA343">
        <v>0.31415925</v>
      </c>
      <c r="AB343">
        <v>0.30351299999999998</v>
      </c>
    </row>
    <row r="344" spans="1:28" hidden="1" x14ac:dyDescent="0.25">
      <c r="A344" t="s">
        <v>7</v>
      </c>
      <c r="B344" t="s">
        <v>14</v>
      </c>
      <c r="C344">
        <v>110</v>
      </c>
      <c r="D344" t="s">
        <v>2</v>
      </c>
      <c r="E344">
        <v>35.562686249999999</v>
      </c>
      <c r="F344">
        <v>33.161955599999999</v>
      </c>
      <c r="G344">
        <v>30.02147025</v>
      </c>
      <c r="H344">
        <v>29.04673395</v>
      </c>
      <c r="I344">
        <v>29.795560500000001</v>
      </c>
      <c r="J344">
        <v>30.668408400000001</v>
      </c>
      <c r="K344">
        <v>31.622962050000002</v>
      </c>
      <c r="L344">
        <v>33.852677</v>
      </c>
      <c r="M344">
        <v>38.3686656</v>
      </c>
      <c r="N344">
        <v>43.149008500000001</v>
      </c>
      <c r="O344">
        <v>47.044663800000002</v>
      </c>
      <c r="P344">
        <v>50.064476800000001</v>
      </c>
      <c r="Q344">
        <v>52.011309599999997</v>
      </c>
      <c r="R344">
        <v>51.980991299999999</v>
      </c>
      <c r="S344">
        <v>49.112099999999998</v>
      </c>
      <c r="T344">
        <v>47.947042000000003</v>
      </c>
      <c r="U344">
        <v>46.471896149999999</v>
      </c>
      <c r="V344">
        <v>47.429326000000003</v>
      </c>
      <c r="W344">
        <v>53.630895850000002</v>
      </c>
      <c r="X344">
        <v>57.290751999999998</v>
      </c>
      <c r="Y344">
        <v>54.688775999999997</v>
      </c>
      <c r="Z344">
        <v>51.281808750000003</v>
      </c>
      <c r="AA344">
        <v>44.998385399999997</v>
      </c>
      <c r="AB344">
        <v>38.6901893</v>
      </c>
    </row>
    <row r="345" spans="1:28" hidden="1" x14ac:dyDescent="0.25">
      <c r="A345" t="s">
        <v>7</v>
      </c>
      <c r="B345" t="s">
        <v>14</v>
      </c>
      <c r="C345">
        <v>110</v>
      </c>
      <c r="D345" t="s">
        <v>3</v>
      </c>
      <c r="E345">
        <v>16.604433552700002</v>
      </c>
      <c r="F345">
        <v>16.5426964342</v>
      </c>
      <c r="G345">
        <v>13.8125268204</v>
      </c>
      <c r="H345">
        <v>11.7585264074</v>
      </c>
      <c r="I345">
        <v>12.1437527982</v>
      </c>
      <c r="J345">
        <v>13.085018292199999</v>
      </c>
      <c r="K345">
        <v>12.823967827800001</v>
      </c>
      <c r="L345">
        <v>16.434890582600001</v>
      </c>
      <c r="M345">
        <v>17.712988615499999</v>
      </c>
      <c r="N345">
        <v>18.764305824699999</v>
      </c>
      <c r="O345">
        <v>20.910341396500002</v>
      </c>
      <c r="P345">
        <v>22.527768635299999</v>
      </c>
      <c r="Q345">
        <v>23.162359606300001</v>
      </c>
      <c r="R345">
        <v>23.112095554100001</v>
      </c>
      <c r="S345">
        <v>22.214209284999999</v>
      </c>
      <c r="T345">
        <v>22.5782630223</v>
      </c>
      <c r="U345">
        <v>21.8236070813</v>
      </c>
      <c r="V345">
        <v>22.012402292800001</v>
      </c>
      <c r="W345">
        <v>21.803580506999999</v>
      </c>
      <c r="X345">
        <v>22.026770834400001</v>
      </c>
      <c r="Y345">
        <v>20.552528696100001</v>
      </c>
      <c r="Z345">
        <v>19.919245327199999</v>
      </c>
      <c r="AA345">
        <v>18.492526667700002</v>
      </c>
      <c r="AB345">
        <v>17.790807104500001</v>
      </c>
    </row>
    <row r="346" spans="1:28" hidden="1" x14ac:dyDescent="0.25">
      <c r="A346" t="s">
        <v>7</v>
      </c>
      <c r="B346" t="s">
        <v>14</v>
      </c>
      <c r="C346">
        <v>110</v>
      </c>
      <c r="D346" t="s">
        <v>4</v>
      </c>
      <c r="E346">
        <v>0.54156375000000001</v>
      </c>
      <c r="F346">
        <v>0.50500440000000002</v>
      </c>
      <c r="G346">
        <v>0.45717975</v>
      </c>
      <c r="H346">
        <v>0.44233604999999998</v>
      </c>
      <c r="I346">
        <v>0.45373950000000002</v>
      </c>
      <c r="J346">
        <v>0.46703159999999999</v>
      </c>
      <c r="K346">
        <v>0.48156795000000002</v>
      </c>
      <c r="L346">
        <v>0.51552299999999995</v>
      </c>
      <c r="M346">
        <v>0.58429439999999999</v>
      </c>
      <c r="N346">
        <v>0.65709150000000005</v>
      </c>
      <c r="O346">
        <v>0.71641619999999995</v>
      </c>
      <c r="P346">
        <v>0.76240319999999995</v>
      </c>
      <c r="Q346">
        <v>0.79205040000000004</v>
      </c>
      <c r="R346">
        <v>0.79158870000000003</v>
      </c>
      <c r="S346">
        <v>0.74790000000000001</v>
      </c>
      <c r="T346">
        <v>0.73015799999999997</v>
      </c>
      <c r="U346">
        <v>0.70769384999999996</v>
      </c>
      <c r="V346">
        <v>0.72227399999999997</v>
      </c>
      <c r="W346">
        <v>0.81671415000000003</v>
      </c>
      <c r="X346">
        <v>0.872448</v>
      </c>
      <c r="Y346">
        <v>0.83282400000000001</v>
      </c>
      <c r="Z346">
        <v>0.78094125000000003</v>
      </c>
      <c r="AA346">
        <v>0.68525460000000005</v>
      </c>
      <c r="AB346">
        <v>0.58919069999999996</v>
      </c>
    </row>
    <row r="347" spans="1:28" hidden="1" x14ac:dyDescent="0.25">
      <c r="A347" t="s">
        <v>7</v>
      </c>
      <c r="B347" t="s">
        <v>15</v>
      </c>
      <c r="C347">
        <v>110</v>
      </c>
      <c r="D347" t="s">
        <v>2</v>
      </c>
      <c r="E347">
        <v>21.627645000000001</v>
      </c>
      <c r="F347">
        <v>20.122279349999999</v>
      </c>
      <c r="G347">
        <v>20.395853249999998</v>
      </c>
      <c r="H347">
        <v>20.611784950000001</v>
      </c>
      <c r="I347">
        <v>21.453152249999999</v>
      </c>
      <c r="J347">
        <v>23.792921249999999</v>
      </c>
      <c r="K347">
        <v>24.85908525</v>
      </c>
      <c r="L347">
        <v>25.660235</v>
      </c>
      <c r="M347">
        <v>26.618009600000001</v>
      </c>
      <c r="N347">
        <v>28.14857155</v>
      </c>
      <c r="O347">
        <v>29.465053600000001</v>
      </c>
      <c r="P347">
        <v>30.4566728</v>
      </c>
      <c r="Q347">
        <v>31.4189784</v>
      </c>
      <c r="R347">
        <v>30.911171499999998</v>
      </c>
      <c r="S347">
        <v>31.512119999999999</v>
      </c>
      <c r="T347">
        <v>32.243502200000002</v>
      </c>
      <c r="U347">
        <v>32.307714349999998</v>
      </c>
      <c r="V347">
        <v>31.786994100000001</v>
      </c>
      <c r="W347">
        <v>36.382294899999998</v>
      </c>
      <c r="X347">
        <v>36.995615000000001</v>
      </c>
      <c r="Y347">
        <v>34.493912000000002</v>
      </c>
      <c r="Z347">
        <v>28.49521275</v>
      </c>
      <c r="AA347">
        <v>25.541118950000001</v>
      </c>
      <c r="AB347">
        <v>22.951110700000001</v>
      </c>
    </row>
    <row r="348" spans="1:28" hidden="1" x14ac:dyDescent="0.25">
      <c r="A348" t="s">
        <v>7</v>
      </c>
      <c r="B348" t="s">
        <v>15</v>
      </c>
      <c r="C348">
        <v>110</v>
      </c>
      <c r="D348" t="s">
        <v>3</v>
      </c>
      <c r="E348">
        <v>8.9650527524000001</v>
      </c>
      <c r="F348">
        <v>8.9130420309999998</v>
      </c>
      <c r="G348">
        <v>9.0991630563000001</v>
      </c>
      <c r="H348">
        <v>9.2554519638000006</v>
      </c>
      <c r="I348">
        <v>9.5790598786000007</v>
      </c>
      <c r="J348">
        <v>10.966838252700001</v>
      </c>
      <c r="K348">
        <v>11.6583348604</v>
      </c>
      <c r="L348">
        <v>12.4902543615</v>
      </c>
      <c r="M348">
        <v>11.548431625599999</v>
      </c>
      <c r="N348">
        <v>11.5800454747</v>
      </c>
      <c r="O348">
        <v>12.314559041900001</v>
      </c>
      <c r="P348">
        <v>12.753104044200001</v>
      </c>
      <c r="Q348">
        <v>12.8490484312</v>
      </c>
      <c r="R348">
        <v>13.431347261200001</v>
      </c>
      <c r="S348">
        <v>13.293617857299999</v>
      </c>
      <c r="T348">
        <v>15.0017305185</v>
      </c>
      <c r="U348">
        <v>14.6981791348</v>
      </c>
      <c r="V348">
        <v>13.9924033553</v>
      </c>
      <c r="W348">
        <v>13.5437555635</v>
      </c>
      <c r="X348">
        <v>13.493778668999999</v>
      </c>
      <c r="Y348">
        <v>12.045698231499999</v>
      </c>
      <c r="Z348">
        <v>10.603972429700001</v>
      </c>
      <c r="AA348">
        <v>9.2455971883999997</v>
      </c>
      <c r="AB348">
        <v>9.1335410205999992</v>
      </c>
    </row>
    <row r="349" spans="1:28" hidden="1" x14ac:dyDescent="0.25">
      <c r="A349" t="s">
        <v>7</v>
      </c>
      <c r="B349" t="s">
        <v>15</v>
      </c>
      <c r="C349">
        <v>110</v>
      </c>
      <c r="D349" t="s">
        <v>4</v>
      </c>
      <c r="E349">
        <v>0.32935500000000001</v>
      </c>
      <c r="F349">
        <v>0.30643065000000003</v>
      </c>
      <c r="G349">
        <v>0.31059674999999998</v>
      </c>
      <c r="H349">
        <v>0.31388505</v>
      </c>
      <c r="I349">
        <v>0.32669775000000001</v>
      </c>
      <c r="J349">
        <v>0.36232874999999998</v>
      </c>
      <c r="K349">
        <v>0.37856475000000001</v>
      </c>
      <c r="L349">
        <v>0.39076499999999997</v>
      </c>
      <c r="M349">
        <v>0.4053504</v>
      </c>
      <c r="N349">
        <v>0.42865845000000002</v>
      </c>
      <c r="O349">
        <v>0.44870640000000001</v>
      </c>
      <c r="P349">
        <v>0.46380719999999998</v>
      </c>
      <c r="Q349">
        <v>0.47846159999999999</v>
      </c>
      <c r="R349">
        <v>0.47072849999999999</v>
      </c>
      <c r="S349">
        <v>0.47987999999999997</v>
      </c>
      <c r="T349">
        <v>0.4910178</v>
      </c>
      <c r="U349">
        <v>0.49199565000000001</v>
      </c>
      <c r="V349">
        <v>0.48406589999999999</v>
      </c>
      <c r="W349">
        <v>0.55404509999999996</v>
      </c>
      <c r="X349">
        <v>0.56338500000000002</v>
      </c>
      <c r="Y349">
        <v>0.52528799999999998</v>
      </c>
      <c r="Z349">
        <v>0.43393725</v>
      </c>
      <c r="AA349">
        <v>0.38895105000000002</v>
      </c>
      <c r="AB349">
        <v>0.34950930000000002</v>
      </c>
    </row>
    <row r="350" spans="1:28" hidden="1" x14ac:dyDescent="0.25">
      <c r="A350" t="s">
        <v>7</v>
      </c>
      <c r="B350" t="s">
        <v>16</v>
      </c>
      <c r="C350">
        <v>110</v>
      </c>
      <c r="D350" t="s">
        <v>2</v>
      </c>
      <c r="E350">
        <v>10.76580375</v>
      </c>
      <c r="F350">
        <v>9.54412795</v>
      </c>
      <c r="G350">
        <v>9.4093110000000006</v>
      </c>
      <c r="H350">
        <v>9.3502306999999991</v>
      </c>
      <c r="I350">
        <v>9.4146300000000007</v>
      </c>
      <c r="J350">
        <v>9.8284777499999993</v>
      </c>
      <c r="K350">
        <v>9.7874032500000006</v>
      </c>
      <c r="L350">
        <v>9.6425984000000007</v>
      </c>
      <c r="M350">
        <v>10.731929600000001</v>
      </c>
      <c r="N350">
        <v>12.291578599999999</v>
      </c>
      <c r="O350">
        <v>13.354176900000001</v>
      </c>
      <c r="P350">
        <v>14.488640800000001</v>
      </c>
      <c r="Q350">
        <v>15.3357408</v>
      </c>
      <c r="R350">
        <v>15.2104488</v>
      </c>
      <c r="S350">
        <v>15.38964</v>
      </c>
      <c r="T350">
        <v>15.2440964</v>
      </c>
      <c r="U350">
        <v>14.498677949999999</v>
      </c>
      <c r="V350">
        <v>14.0769305</v>
      </c>
      <c r="W350">
        <v>16.750397799999998</v>
      </c>
      <c r="X350">
        <v>18.169112999999999</v>
      </c>
      <c r="Y350">
        <v>18.202484800000001</v>
      </c>
      <c r="Z350">
        <v>15.701688000000001</v>
      </c>
      <c r="AA350">
        <v>14.026045399999999</v>
      </c>
      <c r="AB350">
        <v>12.122788999999999</v>
      </c>
    </row>
    <row r="351" spans="1:28" hidden="1" x14ac:dyDescent="0.25">
      <c r="A351" t="s">
        <v>7</v>
      </c>
      <c r="B351" t="s">
        <v>16</v>
      </c>
      <c r="C351">
        <v>110</v>
      </c>
      <c r="D351" t="s">
        <v>3</v>
      </c>
      <c r="E351">
        <v>4.4626217297000004</v>
      </c>
      <c r="F351">
        <v>4.2275137964000002</v>
      </c>
      <c r="G351">
        <v>4.1977579454000002</v>
      </c>
      <c r="H351">
        <v>4.1985985833999999</v>
      </c>
      <c r="I351">
        <v>4.2037320880999998</v>
      </c>
      <c r="J351">
        <v>4.5302266426999998</v>
      </c>
      <c r="K351">
        <v>4.5900652961999997</v>
      </c>
      <c r="L351">
        <v>4.6935854921000004</v>
      </c>
      <c r="M351">
        <v>4.6561315836999997</v>
      </c>
      <c r="N351">
        <v>5.0566345397000001</v>
      </c>
      <c r="O351">
        <v>5.5812150257999997</v>
      </c>
      <c r="P351">
        <v>6.0668197342000001</v>
      </c>
      <c r="Q351">
        <v>6.2716767475999999</v>
      </c>
      <c r="R351">
        <v>6.6091581107000001</v>
      </c>
      <c r="S351">
        <v>6.4922319767000003</v>
      </c>
      <c r="T351">
        <v>7.0925244028999996</v>
      </c>
      <c r="U351">
        <v>6.5960768198000004</v>
      </c>
      <c r="V351">
        <v>6.1965623089999999</v>
      </c>
      <c r="W351">
        <v>6.2355410514000003</v>
      </c>
      <c r="X351">
        <v>6.6270013197999997</v>
      </c>
      <c r="Y351">
        <v>6.3565315225000001</v>
      </c>
      <c r="Z351">
        <v>5.8430961056999999</v>
      </c>
      <c r="AA351">
        <v>5.0772703485999999</v>
      </c>
      <c r="AB351">
        <v>4.8243412731999999</v>
      </c>
    </row>
    <row r="352" spans="1:28" hidden="1" x14ac:dyDescent="0.25">
      <c r="A352" t="s">
        <v>7</v>
      </c>
      <c r="B352" t="s">
        <v>16</v>
      </c>
      <c r="C352">
        <v>110</v>
      </c>
      <c r="D352" t="s">
        <v>4</v>
      </c>
      <c r="E352">
        <v>0.16394624999999999</v>
      </c>
      <c r="F352">
        <v>0.14534205</v>
      </c>
      <c r="G352">
        <v>0.143289</v>
      </c>
      <c r="H352">
        <v>0.1423893</v>
      </c>
      <c r="I352">
        <v>0.14337</v>
      </c>
      <c r="J352">
        <v>0.14967225000000001</v>
      </c>
      <c r="K352">
        <v>0.14904675000000001</v>
      </c>
      <c r="L352">
        <v>0.14684159999999999</v>
      </c>
      <c r="M352">
        <v>0.1634304</v>
      </c>
      <c r="N352">
        <v>0.1871814</v>
      </c>
      <c r="O352">
        <v>0.20336309999999999</v>
      </c>
      <c r="P352">
        <v>0.22063920000000001</v>
      </c>
      <c r="Q352">
        <v>0.2335392</v>
      </c>
      <c r="R352">
        <v>0.23163120000000001</v>
      </c>
      <c r="S352">
        <v>0.23436000000000001</v>
      </c>
      <c r="T352">
        <v>0.23214360000000001</v>
      </c>
      <c r="U352">
        <v>0.22079204999999999</v>
      </c>
      <c r="V352">
        <v>0.21436949999999999</v>
      </c>
      <c r="W352">
        <v>0.25508219999999998</v>
      </c>
      <c r="X352">
        <v>0.27668700000000002</v>
      </c>
      <c r="Y352">
        <v>0.27719519999999997</v>
      </c>
      <c r="Z352">
        <v>0.23911199999999999</v>
      </c>
      <c r="AA352">
        <v>0.2135946</v>
      </c>
      <c r="AB352">
        <v>0.184611</v>
      </c>
    </row>
    <row r="353" spans="1:28" hidden="1" x14ac:dyDescent="0.25">
      <c r="A353" t="s">
        <v>7</v>
      </c>
      <c r="B353" t="s">
        <v>17</v>
      </c>
      <c r="C353">
        <v>110</v>
      </c>
      <c r="D353" t="s">
        <v>2</v>
      </c>
      <c r="E353">
        <v>1.8247125</v>
      </c>
      <c r="F353">
        <v>2.0131429999999999</v>
      </c>
      <c r="G353">
        <v>2.08194525</v>
      </c>
      <c r="H353">
        <v>1.96516365</v>
      </c>
      <c r="I353">
        <v>2.1095744999999999</v>
      </c>
      <c r="J353">
        <v>2.0813247000000001</v>
      </c>
      <c r="K353">
        <v>5.6978309999999999</v>
      </c>
      <c r="L353">
        <v>5.6593765999999999</v>
      </c>
      <c r="M353">
        <v>5.5071744000000002</v>
      </c>
      <c r="N353">
        <v>8.2978862499999995</v>
      </c>
      <c r="O353">
        <v>7.3549654499999999</v>
      </c>
      <c r="P353">
        <v>5.6827408000000004</v>
      </c>
      <c r="Q353">
        <v>5.8955795999999996</v>
      </c>
      <c r="R353">
        <v>5.8474130999999998</v>
      </c>
      <c r="S353">
        <v>6.0045599999999997</v>
      </c>
      <c r="T353">
        <v>6.1141313999999998</v>
      </c>
      <c r="U353">
        <v>6.8283351999999997</v>
      </c>
      <c r="V353">
        <v>6.2732877</v>
      </c>
      <c r="W353">
        <v>6.0996223499999997</v>
      </c>
      <c r="X353">
        <v>6.4060459999999999</v>
      </c>
      <c r="Y353">
        <v>5.9906911999999997</v>
      </c>
      <c r="Z353">
        <v>5.3854875</v>
      </c>
      <c r="AA353">
        <v>3.1636033000000001</v>
      </c>
      <c r="AB353">
        <v>2.8149527000000001</v>
      </c>
    </row>
    <row r="354" spans="1:28" hidden="1" x14ac:dyDescent="0.25">
      <c r="A354" t="s">
        <v>7</v>
      </c>
      <c r="B354" t="s">
        <v>17</v>
      </c>
      <c r="C354">
        <v>110</v>
      </c>
      <c r="D354" t="s">
        <v>3</v>
      </c>
      <c r="E354">
        <v>0.14517529530000001</v>
      </c>
      <c r="F354">
        <v>0.15444704779999999</v>
      </c>
      <c r="G354">
        <v>0.15668556759999999</v>
      </c>
      <c r="H354">
        <v>0.1535827783</v>
      </c>
      <c r="I354">
        <v>0.1885390253</v>
      </c>
      <c r="J354">
        <v>0.16049686429999999</v>
      </c>
      <c r="K354">
        <v>0.4318577139</v>
      </c>
      <c r="L354">
        <v>0.42363915889999998</v>
      </c>
      <c r="M354">
        <v>0.42105585509999999</v>
      </c>
      <c r="N354">
        <v>0.43160814310000001</v>
      </c>
      <c r="O354">
        <v>0.43319450030000001</v>
      </c>
      <c r="P354">
        <v>0.4207701479</v>
      </c>
      <c r="Q354">
        <v>0.42842737549999999</v>
      </c>
      <c r="R354">
        <v>0.43296306509999999</v>
      </c>
      <c r="S354">
        <v>0.44704482569999998</v>
      </c>
      <c r="T354">
        <v>0.45020724699999998</v>
      </c>
      <c r="U354">
        <v>0.46087512060000002</v>
      </c>
      <c r="V354">
        <v>0.54481623619999997</v>
      </c>
      <c r="W354">
        <v>0.50128434609999994</v>
      </c>
      <c r="X354">
        <v>0.4708240071</v>
      </c>
      <c r="Y354">
        <v>0.43947454470000002</v>
      </c>
      <c r="Z354">
        <v>0.38986279229999998</v>
      </c>
      <c r="AA354">
        <v>0.27029319619999997</v>
      </c>
      <c r="AB354">
        <v>0.23168653350000001</v>
      </c>
    </row>
    <row r="355" spans="1:28" hidden="1" x14ac:dyDescent="0.25">
      <c r="A355" t="s">
        <v>7</v>
      </c>
      <c r="B355" t="s">
        <v>17</v>
      </c>
      <c r="C355">
        <v>110</v>
      </c>
      <c r="D355" t="s">
        <v>4</v>
      </c>
      <c r="E355">
        <v>2.77875E-2</v>
      </c>
      <c r="F355">
        <v>3.0657E-2</v>
      </c>
      <c r="G355">
        <v>3.1704749999999997E-2</v>
      </c>
      <c r="H355">
        <v>2.9926350000000001E-2</v>
      </c>
      <c r="I355">
        <v>3.2125500000000001E-2</v>
      </c>
      <c r="J355">
        <v>3.1695300000000003E-2</v>
      </c>
      <c r="K355">
        <v>8.6768999999999999E-2</v>
      </c>
      <c r="L355">
        <v>8.6183399999999993E-2</v>
      </c>
      <c r="M355">
        <v>8.3865599999999998E-2</v>
      </c>
      <c r="N355">
        <v>0.12636375</v>
      </c>
      <c r="O355">
        <v>0.11200454999999999</v>
      </c>
      <c r="P355">
        <v>8.6539199999999997E-2</v>
      </c>
      <c r="Q355">
        <v>8.9780399999999996E-2</v>
      </c>
      <c r="R355">
        <v>8.9046899999999998E-2</v>
      </c>
      <c r="S355">
        <v>9.1439999999999994E-2</v>
      </c>
      <c r="T355">
        <v>9.31086E-2</v>
      </c>
      <c r="U355">
        <v>0.1039848</v>
      </c>
      <c r="V355">
        <v>9.5532300000000001E-2</v>
      </c>
      <c r="W355">
        <v>9.2887650000000002E-2</v>
      </c>
      <c r="X355">
        <v>9.7554000000000002E-2</v>
      </c>
      <c r="Y355">
        <v>9.1228799999999999E-2</v>
      </c>
      <c r="Z355">
        <v>8.2012500000000002E-2</v>
      </c>
      <c r="AA355">
        <v>4.8176700000000003E-2</v>
      </c>
      <c r="AB355">
        <v>4.2867299999999997E-2</v>
      </c>
    </row>
    <row r="356" spans="1:28" hidden="1" x14ac:dyDescent="0.25">
      <c r="A356" t="s">
        <v>7</v>
      </c>
      <c r="B356" t="s">
        <v>18</v>
      </c>
      <c r="C356">
        <v>115</v>
      </c>
      <c r="D356" t="s">
        <v>2</v>
      </c>
      <c r="E356">
        <v>4.6770262499999999</v>
      </c>
      <c r="F356">
        <v>4.4197639500000001</v>
      </c>
      <c r="G356">
        <v>4.2179669999999998</v>
      </c>
      <c r="H356">
        <v>4.1546610499999996</v>
      </c>
      <c r="I356">
        <v>4.0012177500000004</v>
      </c>
      <c r="J356">
        <v>4.1537548500000003</v>
      </c>
      <c r="K356">
        <v>4.2825632999999996</v>
      </c>
      <c r="L356">
        <v>4.5011348</v>
      </c>
      <c r="M356">
        <v>5.0431999999999997</v>
      </c>
      <c r="N356">
        <v>5.5783209500000002</v>
      </c>
      <c r="O356">
        <v>6.1799786499999998</v>
      </c>
      <c r="P356">
        <v>6.4459188000000003</v>
      </c>
      <c r="Q356">
        <v>6.7274712000000001</v>
      </c>
      <c r="R356">
        <v>6.8399188000000004</v>
      </c>
      <c r="S356">
        <v>6.6310200000000004</v>
      </c>
      <c r="T356">
        <v>6.5146718001000004</v>
      </c>
      <c r="U356">
        <v>6.3900299</v>
      </c>
      <c r="V356">
        <v>6.5186118000000004</v>
      </c>
      <c r="W356">
        <v>7.9577854500000003</v>
      </c>
      <c r="X356">
        <v>8.1544209999999993</v>
      </c>
      <c r="Y356">
        <v>7.7526592000000001</v>
      </c>
      <c r="Z356">
        <v>6.8694885000000001</v>
      </c>
      <c r="AA356">
        <v>5.8515599500000004</v>
      </c>
      <c r="AB356">
        <v>5.0854072500000003</v>
      </c>
    </row>
    <row r="357" spans="1:28" hidden="1" x14ac:dyDescent="0.25">
      <c r="A357" t="s">
        <v>7</v>
      </c>
      <c r="B357" t="s">
        <v>18</v>
      </c>
      <c r="C357">
        <v>115</v>
      </c>
      <c r="D357" t="s">
        <v>3</v>
      </c>
      <c r="E357">
        <v>2.2844923010999998</v>
      </c>
      <c r="F357">
        <v>2.1953743694000001</v>
      </c>
      <c r="G357">
        <v>2.4847869343000002</v>
      </c>
      <c r="H357">
        <v>2.3467584459999999</v>
      </c>
      <c r="I357">
        <v>2.3583750112000001</v>
      </c>
      <c r="J357">
        <v>2.4518090956999998</v>
      </c>
      <c r="K357">
        <v>2.5278399981000002</v>
      </c>
      <c r="L357">
        <v>2.1971807067000002</v>
      </c>
      <c r="M357">
        <v>2.1623567558999999</v>
      </c>
      <c r="N357">
        <v>2.8535326635999998</v>
      </c>
      <c r="O357">
        <v>2.9329738058000001</v>
      </c>
      <c r="P357">
        <v>2.7368087390000002</v>
      </c>
      <c r="Q357">
        <v>3.1820358443000001</v>
      </c>
      <c r="R357">
        <v>3.1554873430999999</v>
      </c>
      <c r="S357">
        <v>3.0717737409999999</v>
      </c>
      <c r="T357">
        <v>3.0048739846000001</v>
      </c>
      <c r="U357">
        <v>3.3299707532</v>
      </c>
      <c r="V357">
        <v>2.7513066937000001</v>
      </c>
      <c r="W357">
        <v>3.5635282193000002</v>
      </c>
      <c r="X357">
        <v>3.4030705782999999</v>
      </c>
      <c r="Y357">
        <v>3.2733347223</v>
      </c>
      <c r="Z357">
        <v>3.0440156447</v>
      </c>
      <c r="AA357">
        <v>2.94712898</v>
      </c>
      <c r="AB357">
        <v>2.4942898741000001</v>
      </c>
    </row>
    <row r="358" spans="1:28" hidden="1" x14ac:dyDescent="0.25">
      <c r="A358" t="s">
        <v>7</v>
      </c>
      <c r="B358" t="s">
        <v>18</v>
      </c>
      <c r="C358">
        <v>115</v>
      </c>
      <c r="D358" t="s">
        <v>4</v>
      </c>
      <c r="E358">
        <v>7.1223750000000002E-2</v>
      </c>
      <c r="F358">
        <v>6.7306050000000006E-2</v>
      </c>
      <c r="G358">
        <v>6.4232999999999998E-2</v>
      </c>
      <c r="H358">
        <v>6.3268950000000004E-2</v>
      </c>
      <c r="I358">
        <v>6.093225E-2</v>
      </c>
      <c r="J358">
        <v>6.3255149999999996E-2</v>
      </c>
      <c r="K358">
        <v>6.5216700000000002E-2</v>
      </c>
      <c r="L358">
        <v>6.8545200000000001E-2</v>
      </c>
      <c r="M358">
        <v>7.6799999899999999E-2</v>
      </c>
      <c r="N358">
        <v>8.4949049999999998E-2</v>
      </c>
      <c r="O358">
        <v>9.4111349999999996E-2</v>
      </c>
      <c r="P358">
        <v>9.8161200000000004E-2</v>
      </c>
      <c r="Q358">
        <v>0.10244880000000001</v>
      </c>
      <c r="R358">
        <v>0.1041612</v>
      </c>
      <c r="S358">
        <v>0.10098</v>
      </c>
      <c r="T358">
        <v>9.9208199900000002E-2</v>
      </c>
      <c r="U358">
        <v>9.7310099999999997E-2</v>
      </c>
      <c r="V358">
        <v>9.9268200000000001E-2</v>
      </c>
      <c r="W358">
        <v>0.12118455</v>
      </c>
      <c r="X358">
        <v>0.124179</v>
      </c>
      <c r="Y358">
        <v>0.11806079999999999</v>
      </c>
      <c r="Z358">
        <v>0.1046115</v>
      </c>
      <c r="AA358">
        <v>8.9110049999999996E-2</v>
      </c>
      <c r="AB358">
        <v>7.7442750000000005E-2</v>
      </c>
    </row>
    <row r="359" spans="1:28" hidden="1" x14ac:dyDescent="0.25">
      <c r="A359" t="s">
        <v>7</v>
      </c>
      <c r="B359" t="s">
        <v>19</v>
      </c>
      <c r="C359">
        <v>110</v>
      </c>
      <c r="D359" t="s">
        <v>2</v>
      </c>
      <c r="E359">
        <v>10.794615</v>
      </c>
      <c r="F359">
        <v>9.9559072000000004</v>
      </c>
      <c r="G359">
        <v>9.5084512500000002</v>
      </c>
      <c r="H359">
        <v>9.1887103999999997</v>
      </c>
      <c r="I359">
        <v>9.2402850000000001</v>
      </c>
      <c r="J359">
        <v>9.2325429000000003</v>
      </c>
      <c r="K359">
        <v>8.5375564500000003</v>
      </c>
      <c r="L359">
        <v>8.3807740000000006</v>
      </c>
      <c r="M359">
        <v>8.2910208000000001</v>
      </c>
      <c r="N359">
        <v>8.9831310500000008</v>
      </c>
      <c r="O359">
        <v>9.6032574999999998</v>
      </c>
      <c r="P359">
        <v>9.9565376000000008</v>
      </c>
      <c r="Q359">
        <v>9.7295148000000005</v>
      </c>
      <c r="R359">
        <v>10.0805097</v>
      </c>
      <c r="S359">
        <v>9.8815200000000001</v>
      </c>
      <c r="T359">
        <v>9.2595516</v>
      </c>
      <c r="U359">
        <v>8.9967930000000003</v>
      </c>
      <c r="V359">
        <v>9.2639052999999993</v>
      </c>
      <c r="W359">
        <v>10.529590900000001</v>
      </c>
      <c r="X359">
        <v>12.140715999999999</v>
      </c>
      <c r="Y359">
        <v>12.2117936</v>
      </c>
      <c r="Z359">
        <v>12.147266249999999</v>
      </c>
      <c r="AA359">
        <v>12.0349664</v>
      </c>
      <c r="AB359">
        <v>12.163883200000001</v>
      </c>
    </row>
    <row r="360" spans="1:28" hidden="1" x14ac:dyDescent="0.25">
      <c r="A360" t="s">
        <v>7</v>
      </c>
      <c r="B360" t="s">
        <v>19</v>
      </c>
      <c r="C360">
        <v>110</v>
      </c>
      <c r="D360" t="s">
        <v>3</v>
      </c>
      <c r="E360">
        <v>3.633106111</v>
      </c>
      <c r="F360">
        <v>3.5108322933</v>
      </c>
      <c r="G360">
        <v>3.4646524671000001</v>
      </c>
      <c r="H360">
        <v>3.3712014263999999</v>
      </c>
      <c r="I360">
        <v>3.4189612289000002</v>
      </c>
      <c r="J360">
        <v>3.3436100956999999</v>
      </c>
      <c r="K360">
        <v>3.0138417658000001</v>
      </c>
      <c r="L360">
        <v>3.0462606834999999</v>
      </c>
      <c r="M360">
        <v>2.9060348250999999</v>
      </c>
      <c r="N360">
        <v>3.0290608880000001</v>
      </c>
      <c r="O360">
        <v>3.1475690578000002</v>
      </c>
      <c r="P360">
        <v>3.2856097608999999</v>
      </c>
      <c r="Q360">
        <v>3.1941374827</v>
      </c>
      <c r="R360">
        <v>3.3054269990999998</v>
      </c>
      <c r="S360">
        <v>3.2496515170000002</v>
      </c>
      <c r="T360">
        <v>3.0889013210999998</v>
      </c>
      <c r="U360">
        <v>3.0449423128999999</v>
      </c>
      <c r="V360">
        <v>3.1456403955000001</v>
      </c>
      <c r="W360">
        <v>3.4515590769000002</v>
      </c>
      <c r="X360">
        <v>3.4899469159000001</v>
      </c>
      <c r="Y360">
        <v>3.2546981401999999</v>
      </c>
      <c r="Z360">
        <v>3.3328728827999998</v>
      </c>
      <c r="AA360">
        <v>3.5115974938000001</v>
      </c>
      <c r="AB360">
        <v>4.0260626436000004</v>
      </c>
    </row>
    <row r="361" spans="1:28" hidden="1" x14ac:dyDescent="0.25">
      <c r="A361" t="s">
        <v>7</v>
      </c>
      <c r="B361" t="s">
        <v>19</v>
      </c>
      <c r="C361">
        <v>110</v>
      </c>
      <c r="D361" t="s">
        <v>4</v>
      </c>
      <c r="E361">
        <v>0.164385</v>
      </c>
      <c r="F361">
        <v>0.15161279999999999</v>
      </c>
      <c r="G361">
        <v>0.14479875</v>
      </c>
      <c r="H361">
        <v>0.13992959999999999</v>
      </c>
      <c r="I361">
        <v>0.14071500000000001</v>
      </c>
      <c r="J361">
        <v>0.1405971</v>
      </c>
      <c r="K361">
        <v>0.13001355000000001</v>
      </c>
      <c r="L361">
        <v>0.12762599999999999</v>
      </c>
      <c r="M361">
        <v>0.12625919999999999</v>
      </c>
      <c r="N361">
        <v>0.13679895</v>
      </c>
      <c r="O361">
        <v>0.1462425</v>
      </c>
      <c r="P361">
        <v>0.15162239999999999</v>
      </c>
      <c r="Q361">
        <v>0.1481652</v>
      </c>
      <c r="R361">
        <v>0.15351029999999999</v>
      </c>
      <c r="S361">
        <v>0.15048</v>
      </c>
      <c r="T361">
        <v>0.14100840000000001</v>
      </c>
      <c r="U361">
        <v>0.13700699999999999</v>
      </c>
      <c r="V361">
        <v>0.1410747</v>
      </c>
      <c r="W361">
        <v>0.16034909999999999</v>
      </c>
      <c r="X361">
        <v>0.18488399999999999</v>
      </c>
      <c r="Y361">
        <v>0.1859664</v>
      </c>
      <c r="Z361">
        <v>0.18498375</v>
      </c>
      <c r="AA361">
        <v>0.18327360000000001</v>
      </c>
      <c r="AB361">
        <v>0.18523680000000001</v>
      </c>
    </row>
    <row r="362" spans="1:28" hidden="1" x14ac:dyDescent="0.25">
      <c r="A362" t="s">
        <v>7</v>
      </c>
      <c r="B362" t="s">
        <v>20</v>
      </c>
      <c r="C362">
        <v>110</v>
      </c>
      <c r="D362" t="s">
        <v>2</v>
      </c>
      <c r="E362">
        <v>23.07781125</v>
      </c>
      <c r="F362">
        <v>23.141993849999999</v>
      </c>
      <c r="G362">
        <v>23.541302999999999</v>
      </c>
      <c r="H362">
        <v>23.860137649999999</v>
      </c>
      <c r="I362">
        <v>22.5428085</v>
      </c>
      <c r="J362">
        <v>22.263058650000001</v>
      </c>
      <c r="K362">
        <v>22.2950613</v>
      </c>
      <c r="L362">
        <v>21.309765800000001</v>
      </c>
      <c r="M362">
        <v>21.282304</v>
      </c>
      <c r="N362">
        <v>21.499555600000001</v>
      </c>
      <c r="O362">
        <v>21.499998850000001</v>
      </c>
      <c r="P362">
        <v>21.4629136</v>
      </c>
      <c r="Q362">
        <v>21.195151200000002</v>
      </c>
      <c r="R362">
        <v>21.4165989</v>
      </c>
      <c r="S362">
        <v>21.914280000000002</v>
      </c>
      <c r="T362">
        <v>22.029722</v>
      </c>
      <c r="U362">
        <v>22.180555049999999</v>
      </c>
      <c r="V362">
        <v>22.639909800000002</v>
      </c>
      <c r="W362">
        <v>24.331164650000002</v>
      </c>
      <c r="X362">
        <v>25.064703999999999</v>
      </c>
      <c r="Y362">
        <v>25.399446399999999</v>
      </c>
      <c r="Z362">
        <v>23.456790000000002</v>
      </c>
      <c r="AA362">
        <v>22.919531599999999</v>
      </c>
      <c r="AB362">
        <v>23.043572650000002</v>
      </c>
    </row>
    <row r="363" spans="1:28" hidden="1" x14ac:dyDescent="0.25">
      <c r="A363" t="s">
        <v>7</v>
      </c>
      <c r="B363" t="s">
        <v>20</v>
      </c>
      <c r="C363">
        <v>110</v>
      </c>
      <c r="D363" t="s">
        <v>3</v>
      </c>
      <c r="E363">
        <v>9.5633480574000007</v>
      </c>
      <c r="F363">
        <v>10.031351261599999</v>
      </c>
      <c r="G363">
        <v>10.179110097000001</v>
      </c>
      <c r="H363">
        <v>9.4376335228000006</v>
      </c>
      <c r="I363">
        <v>9.8482232438999997</v>
      </c>
      <c r="J363">
        <v>9.5897478904</v>
      </c>
      <c r="K363">
        <v>9.4060101110000005</v>
      </c>
      <c r="L363">
        <v>8.6278145663999997</v>
      </c>
      <c r="M363">
        <v>9.3809229884000001</v>
      </c>
      <c r="N363">
        <v>10.252020615399999</v>
      </c>
      <c r="O363">
        <v>10.243647187800001</v>
      </c>
      <c r="P363">
        <v>9.8841659026999995</v>
      </c>
      <c r="Q363">
        <v>9.9832281441999999</v>
      </c>
      <c r="R363">
        <v>9.7838723105999996</v>
      </c>
      <c r="S363">
        <v>10.0379864919</v>
      </c>
      <c r="T363">
        <v>9.8624093428999995</v>
      </c>
      <c r="U363">
        <v>9.6972228097999995</v>
      </c>
      <c r="V363">
        <v>9.6110872385999997</v>
      </c>
      <c r="W363">
        <v>9.4020841699000002</v>
      </c>
      <c r="X363">
        <v>9.0906195332999999</v>
      </c>
      <c r="Y363">
        <v>10.0001092326</v>
      </c>
      <c r="Z363">
        <v>9.5356061044999993</v>
      </c>
      <c r="AA363">
        <v>8.3876789985000002</v>
      </c>
      <c r="AB363">
        <v>8.3713417217000003</v>
      </c>
    </row>
    <row r="364" spans="1:28" hidden="1" x14ac:dyDescent="0.25">
      <c r="A364" t="s">
        <v>7</v>
      </c>
      <c r="B364" t="s">
        <v>20</v>
      </c>
      <c r="C364">
        <v>110</v>
      </c>
      <c r="D364" t="s">
        <v>4</v>
      </c>
      <c r="E364">
        <v>0.35143875000000002</v>
      </c>
      <c r="F364">
        <v>0.35241614999999998</v>
      </c>
      <c r="G364">
        <v>0.35849700000000001</v>
      </c>
      <c r="H364">
        <v>0.36335234999999999</v>
      </c>
      <c r="I364">
        <v>0.34329150000000003</v>
      </c>
      <c r="J364">
        <v>0.33903135000000001</v>
      </c>
      <c r="K364">
        <v>0.33951870000000001</v>
      </c>
      <c r="L364">
        <v>0.32451419999999997</v>
      </c>
      <c r="M364">
        <v>0.324096</v>
      </c>
      <c r="N364">
        <v>0.32740439999999998</v>
      </c>
      <c r="O364">
        <v>0.32741114999999998</v>
      </c>
      <c r="P364">
        <v>0.32684639999999998</v>
      </c>
      <c r="Q364">
        <v>0.32276880000000002</v>
      </c>
      <c r="R364">
        <v>0.32614110000000002</v>
      </c>
      <c r="S364">
        <v>0.33372000000000002</v>
      </c>
      <c r="T364">
        <v>0.335478</v>
      </c>
      <c r="U364">
        <v>0.33777495000000002</v>
      </c>
      <c r="V364">
        <v>0.34477020000000003</v>
      </c>
      <c r="W364">
        <v>0.37052534999999998</v>
      </c>
      <c r="X364">
        <v>0.38169599999999998</v>
      </c>
      <c r="Y364">
        <v>0.38679360000000002</v>
      </c>
      <c r="Z364">
        <v>0.35721000000000003</v>
      </c>
      <c r="AA364">
        <v>0.34902840000000002</v>
      </c>
      <c r="AB364">
        <v>0.35091735000000002</v>
      </c>
    </row>
    <row r="365" spans="1:28" hidden="1" x14ac:dyDescent="0.25">
      <c r="A365" t="s">
        <v>7</v>
      </c>
      <c r="B365" t="s">
        <v>21</v>
      </c>
      <c r="C365">
        <v>110</v>
      </c>
      <c r="D365" t="s">
        <v>2</v>
      </c>
      <c r="E365">
        <v>26.42952</v>
      </c>
      <c r="F365">
        <v>23.83744325</v>
      </c>
      <c r="G365">
        <v>22.378658250000001</v>
      </c>
      <c r="H365">
        <v>22.2180146</v>
      </c>
      <c r="I365">
        <v>21.348545250000001</v>
      </c>
      <c r="J365">
        <v>21.1512399</v>
      </c>
      <c r="K365">
        <v>21.137115000000001</v>
      </c>
      <c r="L365">
        <v>21.686429799999999</v>
      </c>
      <c r="M365">
        <v>25.538764799999999</v>
      </c>
      <c r="N365">
        <v>29.4226986</v>
      </c>
      <c r="O365">
        <v>32.425116500000001</v>
      </c>
      <c r="P365">
        <v>34.777434399999997</v>
      </c>
      <c r="Q365">
        <v>36.832301999999999</v>
      </c>
      <c r="R365">
        <v>37.679342900000002</v>
      </c>
      <c r="S365">
        <v>37.244819999999997</v>
      </c>
      <c r="T365">
        <v>35.8248046</v>
      </c>
      <c r="U365">
        <v>35.641141500000003</v>
      </c>
      <c r="V365">
        <v>36.179463699999999</v>
      </c>
      <c r="W365">
        <v>42.131828550000002</v>
      </c>
      <c r="X365">
        <v>46.268996000000001</v>
      </c>
      <c r="Y365">
        <v>45.540095999999998</v>
      </c>
      <c r="Z365">
        <v>38.859284250000002</v>
      </c>
      <c r="AA365">
        <v>34.257620350000003</v>
      </c>
      <c r="AB365">
        <v>28.570742549999999</v>
      </c>
    </row>
    <row r="366" spans="1:28" hidden="1" x14ac:dyDescent="0.25">
      <c r="A366" t="s">
        <v>7</v>
      </c>
      <c r="B366" t="s">
        <v>21</v>
      </c>
      <c r="C366">
        <v>110</v>
      </c>
      <c r="D366" t="s">
        <v>3</v>
      </c>
      <c r="E366">
        <v>12.478990337000001</v>
      </c>
      <c r="F366">
        <v>13.231285334600001</v>
      </c>
      <c r="G366">
        <v>12.0208758565</v>
      </c>
      <c r="H366">
        <v>12.4752880374</v>
      </c>
      <c r="I366">
        <v>11.941753590999999</v>
      </c>
      <c r="J366">
        <v>12.339286597799999</v>
      </c>
      <c r="K366">
        <v>12.3310463627</v>
      </c>
      <c r="L366">
        <v>10.423852824200001</v>
      </c>
      <c r="M366">
        <v>13.166532682</v>
      </c>
      <c r="N366">
        <v>13.509731326200001</v>
      </c>
      <c r="O366">
        <v>16.3371843571</v>
      </c>
      <c r="P366">
        <v>17.672347164000001</v>
      </c>
      <c r="Q366">
        <v>15.8698223755</v>
      </c>
      <c r="R366">
        <v>16.705414269599999</v>
      </c>
      <c r="S366">
        <v>16.619248884499999</v>
      </c>
      <c r="T366">
        <v>15.986668742499999</v>
      </c>
      <c r="U366">
        <v>15.943490563799999</v>
      </c>
      <c r="V366">
        <v>16.294697751200001</v>
      </c>
      <c r="W366">
        <v>19.548917295100001</v>
      </c>
      <c r="X366">
        <v>19.773223225700001</v>
      </c>
      <c r="Y366">
        <v>19.4699471086</v>
      </c>
      <c r="Z366">
        <v>17.352225317399999</v>
      </c>
      <c r="AA366">
        <v>17.291970813799999</v>
      </c>
      <c r="AB366">
        <v>13.459697891899999</v>
      </c>
    </row>
    <row r="367" spans="1:28" hidden="1" x14ac:dyDescent="0.25">
      <c r="A367" t="s">
        <v>7</v>
      </c>
      <c r="B367" t="s">
        <v>21</v>
      </c>
      <c r="C367">
        <v>110</v>
      </c>
      <c r="D367" t="s">
        <v>4</v>
      </c>
      <c r="E367">
        <v>0.40248</v>
      </c>
      <c r="F367">
        <v>0.36300674999999999</v>
      </c>
      <c r="G367">
        <v>0.34079175</v>
      </c>
      <c r="H367">
        <v>0.33834540000000002</v>
      </c>
      <c r="I367">
        <v>0.32510475</v>
      </c>
      <c r="J367">
        <v>0.3221001</v>
      </c>
      <c r="K367">
        <v>0.32188499999999998</v>
      </c>
      <c r="L367">
        <v>0.33025019999999999</v>
      </c>
      <c r="M367">
        <v>0.38891520000000002</v>
      </c>
      <c r="N367">
        <v>0.4480614</v>
      </c>
      <c r="O367">
        <v>0.49378349999999999</v>
      </c>
      <c r="P367">
        <v>0.52960560000000001</v>
      </c>
      <c r="Q367">
        <v>0.56089800000000001</v>
      </c>
      <c r="R367">
        <v>0.57379709999999995</v>
      </c>
      <c r="S367">
        <v>0.56718000000000002</v>
      </c>
      <c r="T367">
        <v>0.54555540000000002</v>
      </c>
      <c r="U367">
        <v>0.54275850000000003</v>
      </c>
      <c r="V367">
        <v>0.55095629999999995</v>
      </c>
      <c r="W367">
        <v>0.64160145000000002</v>
      </c>
      <c r="X367">
        <v>0.70460400000000001</v>
      </c>
      <c r="Y367">
        <v>0.69350400000000001</v>
      </c>
      <c r="Z367">
        <v>0.59176574999999998</v>
      </c>
      <c r="AA367">
        <v>0.52168965</v>
      </c>
      <c r="AB367">
        <v>0.43508744999999999</v>
      </c>
    </row>
    <row r="368" spans="1:28" hidden="1" x14ac:dyDescent="0.25">
      <c r="A368" t="s">
        <v>7</v>
      </c>
      <c r="B368" t="s">
        <v>22</v>
      </c>
      <c r="C368">
        <v>44</v>
      </c>
      <c r="D368" t="s">
        <v>2</v>
      </c>
      <c r="E368">
        <v>5.7501600000000002</v>
      </c>
      <c r="F368">
        <v>4.6588421000000002</v>
      </c>
      <c r="G368">
        <v>4.7217659999999997</v>
      </c>
      <c r="H368">
        <v>4.5774106000000003</v>
      </c>
      <c r="I368">
        <v>4.2407430000000002</v>
      </c>
      <c r="J368">
        <v>4.0729815</v>
      </c>
      <c r="K368">
        <v>3.9367934999999998</v>
      </c>
      <c r="L368">
        <v>3.8947440000000002</v>
      </c>
      <c r="M368">
        <v>4.2313727999999999</v>
      </c>
      <c r="N368">
        <v>4.2597356</v>
      </c>
      <c r="O368">
        <v>4.4392341000000002</v>
      </c>
      <c r="P368">
        <v>4.5671480000000004</v>
      </c>
      <c r="Q368">
        <v>4.7847384000000002</v>
      </c>
      <c r="R368">
        <v>5.2049035999999997</v>
      </c>
      <c r="S368">
        <v>5.4009600000000004</v>
      </c>
      <c r="T368">
        <v>5.4409628000000003</v>
      </c>
      <c r="U368">
        <v>5.1568497999999998</v>
      </c>
      <c r="V368">
        <v>5.4414866000000002</v>
      </c>
      <c r="W368">
        <v>7.2266455000000001</v>
      </c>
      <c r="X368">
        <v>7.2864459999999998</v>
      </c>
      <c r="Y368">
        <v>7.5812096000000002</v>
      </c>
      <c r="Z368">
        <v>7.0830855000000001</v>
      </c>
      <c r="AA368">
        <v>7.1676598</v>
      </c>
      <c r="AB368">
        <v>6.5659979000000002</v>
      </c>
    </row>
    <row r="369" spans="1:28" hidden="1" x14ac:dyDescent="0.25">
      <c r="A369" t="s">
        <v>7</v>
      </c>
      <c r="B369" t="s">
        <v>22</v>
      </c>
      <c r="C369">
        <v>44</v>
      </c>
      <c r="D369" t="s">
        <v>3</v>
      </c>
      <c r="E369">
        <v>2.8308589256999999</v>
      </c>
      <c r="F369">
        <v>1.9894304414999999</v>
      </c>
      <c r="G369">
        <v>2.0127447388999999</v>
      </c>
      <c r="H369">
        <v>2.2258789465</v>
      </c>
      <c r="I369">
        <v>1.9811272654000001</v>
      </c>
      <c r="J369">
        <v>1.922519936</v>
      </c>
      <c r="K369">
        <v>1.8941702245000001</v>
      </c>
      <c r="L369">
        <v>1.8045505850000001</v>
      </c>
      <c r="M369">
        <v>1.9851451444999999</v>
      </c>
      <c r="N369">
        <v>2.3558063260000002</v>
      </c>
      <c r="O369">
        <v>2.387349892</v>
      </c>
      <c r="P369">
        <v>2.5364094077999999</v>
      </c>
      <c r="Q369">
        <v>2.5926683349999999</v>
      </c>
      <c r="R369">
        <v>2.3130072976</v>
      </c>
      <c r="S369">
        <v>2.7251506297999999</v>
      </c>
      <c r="T369">
        <v>2.6827690256999999</v>
      </c>
      <c r="U369">
        <v>2.8619600888000001</v>
      </c>
      <c r="V369">
        <v>2.6863915616999998</v>
      </c>
      <c r="W369">
        <v>2.8718128393</v>
      </c>
      <c r="X369">
        <v>3.0879556183000001</v>
      </c>
      <c r="Y369">
        <v>3.2206619711000002</v>
      </c>
      <c r="Z369">
        <v>2.9871926209000002</v>
      </c>
      <c r="AA369">
        <v>3.1837569327000002</v>
      </c>
      <c r="AB369">
        <v>3.1380945962000002</v>
      </c>
    </row>
    <row r="370" spans="1:28" hidden="1" x14ac:dyDescent="0.25">
      <c r="A370" t="s">
        <v>7</v>
      </c>
      <c r="B370" t="s">
        <v>22</v>
      </c>
      <c r="C370">
        <v>44</v>
      </c>
      <c r="D370" t="s">
        <v>4</v>
      </c>
      <c r="E370">
        <v>0.17784</v>
      </c>
      <c r="F370">
        <v>0.14408789999999999</v>
      </c>
      <c r="G370">
        <v>0.146034</v>
      </c>
      <c r="H370">
        <v>0.14156940000000001</v>
      </c>
      <c r="I370">
        <v>0.131157</v>
      </c>
      <c r="J370">
        <v>0.12596850000000001</v>
      </c>
      <c r="K370">
        <v>0.1217565</v>
      </c>
      <c r="L370">
        <v>0.12045599999999999</v>
      </c>
      <c r="M370">
        <v>0.13086719999999999</v>
      </c>
      <c r="N370">
        <v>0.13174440000000001</v>
      </c>
      <c r="O370">
        <v>0.1372959</v>
      </c>
      <c r="P370">
        <v>0.14125199999999999</v>
      </c>
      <c r="Q370">
        <v>0.14798159999999999</v>
      </c>
      <c r="R370">
        <v>0.16097639999999999</v>
      </c>
      <c r="S370">
        <v>0.16703999999999999</v>
      </c>
      <c r="T370">
        <v>0.16827719999999999</v>
      </c>
      <c r="U370">
        <v>0.1594902</v>
      </c>
      <c r="V370">
        <v>0.16829340000000001</v>
      </c>
      <c r="W370">
        <v>0.22350449999999999</v>
      </c>
      <c r="X370">
        <v>0.225354</v>
      </c>
      <c r="Y370">
        <v>0.2344704</v>
      </c>
      <c r="Z370">
        <v>0.2190645</v>
      </c>
      <c r="AA370">
        <v>0.22168019999999999</v>
      </c>
      <c r="AB370">
        <v>0.20307210000000001</v>
      </c>
    </row>
    <row r="371" spans="1:28" hidden="1" x14ac:dyDescent="0.25">
      <c r="A371" t="s">
        <v>7</v>
      </c>
      <c r="B371" t="s">
        <v>23</v>
      </c>
      <c r="C371">
        <v>44</v>
      </c>
      <c r="D371" t="s">
        <v>2</v>
      </c>
      <c r="E371">
        <v>11.8502475</v>
      </c>
      <c r="F371">
        <v>10.020565599999999</v>
      </c>
      <c r="G371">
        <v>9.4879095000000007</v>
      </c>
      <c r="H371">
        <v>9.5259625999999997</v>
      </c>
      <c r="I371">
        <v>10.009527</v>
      </c>
      <c r="J371">
        <v>10.598511</v>
      </c>
      <c r="K371">
        <v>10.009410600000001</v>
      </c>
      <c r="L371">
        <v>9.9130508000000006</v>
      </c>
      <c r="M371">
        <v>10.3201792</v>
      </c>
      <c r="N371">
        <v>10.3435659</v>
      </c>
      <c r="O371">
        <v>10.8032489</v>
      </c>
      <c r="P371">
        <v>11.018967200000001</v>
      </c>
      <c r="Q371">
        <v>11.041703999999999</v>
      </c>
      <c r="R371">
        <v>11.599163000000001</v>
      </c>
      <c r="S371">
        <v>11.919359999999999</v>
      </c>
      <c r="T371">
        <v>11.589598799999999</v>
      </c>
      <c r="U371">
        <v>10.7794063</v>
      </c>
      <c r="V371">
        <v>11.331637000000001</v>
      </c>
      <c r="W371">
        <v>17.887605099999998</v>
      </c>
      <c r="X371">
        <v>17.01089</v>
      </c>
      <c r="Y371">
        <v>16.083376000000001</v>
      </c>
      <c r="Z371">
        <v>13.9658175</v>
      </c>
      <c r="AA371">
        <v>13.147971699999999</v>
      </c>
      <c r="AB371">
        <v>12.191105500000001</v>
      </c>
    </row>
    <row r="372" spans="1:28" hidden="1" x14ac:dyDescent="0.25">
      <c r="A372" t="s">
        <v>7</v>
      </c>
      <c r="B372" t="s">
        <v>23</v>
      </c>
      <c r="C372">
        <v>44</v>
      </c>
      <c r="D372" t="s">
        <v>3</v>
      </c>
      <c r="E372">
        <v>5.8339905165000001</v>
      </c>
      <c r="F372">
        <v>4.2790070619999998</v>
      </c>
      <c r="G372">
        <v>4.0444062515999999</v>
      </c>
      <c r="H372">
        <v>4.6322345644</v>
      </c>
      <c r="I372">
        <v>4.6761020070999999</v>
      </c>
      <c r="J372">
        <v>5.0026862852000002</v>
      </c>
      <c r="K372">
        <v>4.8159822261</v>
      </c>
      <c r="L372">
        <v>4.5930108937999998</v>
      </c>
      <c r="M372">
        <v>4.8417037679000003</v>
      </c>
      <c r="N372">
        <v>5.7204109055999997</v>
      </c>
      <c r="O372">
        <v>5.8098164038000002</v>
      </c>
      <c r="P372">
        <v>6.1194890270000002</v>
      </c>
      <c r="Q372">
        <v>5.9830807734000002</v>
      </c>
      <c r="R372">
        <v>5.1545524617999998</v>
      </c>
      <c r="S372">
        <v>6.0141255278000001</v>
      </c>
      <c r="T372">
        <v>5.7144696306</v>
      </c>
      <c r="U372">
        <v>5.9823791284999999</v>
      </c>
      <c r="V372">
        <v>5.5942826393000002</v>
      </c>
      <c r="W372">
        <v>7.1083954498999997</v>
      </c>
      <c r="X372">
        <v>7.2091213396000002</v>
      </c>
      <c r="Y372">
        <v>6.8325663297999997</v>
      </c>
      <c r="Z372">
        <v>5.8898889448</v>
      </c>
      <c r="AA372">
        <v>5.840113401</v>
      </c>
      <c r="AB372">
        <v>5.8265084569000001</v>
      </c>
    </row>
    <row r="373" spans="1:28" hidden="1" x14ac:dyDescent="0.25">
      <c r="A373" t="s">
        <v>7</v>
      </c>
      <c r="B373" t="s">
        <v>23</v>
      </c>
      <c r="C373">
        <v>44</v>
      </c>
      <c r="D373" t="s">
        <v>4</v>
      </c>
      <c r="E373">
        <v>0.36650250000000001</v>
      </c>
      <c r="F373">
        <v>0.30991439999999998</v>
      </c>
      <c r="G373">
        <v>0.29344049999999999</v>
      </c>
      <c r="H373">
        <v>0.29461739999999997</v>
      </c>
      <c r="I373">
        <v>0.30957299999999999</v>
      </c>
      <c r="J373">
        <v>0.327789</v>
      </c>
      <c r="K373">
        <v>0.30956939999999999</v>
      </c>
      <c r="L373">
        <v>0.30658920000000001</v>
      </c>
      <c r="M373">
        <v>0.31918079999999999</v>
      </c>
      <c r="N373">
        <v>0.31990410000000002</v>
      </c>
      <c r="O373">
        <v>0.3341211</v>
      </c>
      <c r="P373">
        <v>0.34079280000000001</v>
      </c>
      <c r="Q373">
        <v>0.34149600000000002</v>
      </c>
      <c r="R373">
        <v>0.35873699999999997</v>
      </c>
      <c r="S373">
        <v>0.36864000000000002</v>
      </c>
      <c r="T373">
        <v>0.35844120000000002</v>
      </c>
      <c r="U373">
        <v>0.33338370000000001</v>
      </c>
      <c r="V373">
        <v>0.35046300000000002</v>
      </c>
      <c r="W373">
        <v>0.55322490000000002</v>
      </c>
      <c r="X373">
        <v>0.52610999999999997</v>
      </c>
      <c r="Y373">
        <v>0.49742399999999998</v>
      </c>
      <c r="Z373">
        <v>0.4319325</v>
      </c>
      <c r="AA373">
        <v>0.40663830000000001</v>
      </c>
      <c r="AB373">
        <v>0.3770445</v>
      </c>
    </row>
    <row r="374" spans="1:28" hidden="1" x14ac:dyDescent="0.25">
      <c r="A374" t="s">
        <v>7</v>
      </c>
      <c r="B374" t="s">
        <v>24</v>
      </c>
      <c r="C374">
        <v>13</v>
      </c>
      <c r="D374" t="s">
        <v>2</v>
      </c>
      <c r="E374">
        <v>5.1684749999999999</v>
      </c>
      <c r="F374">
        <v>4.1479850000000003</v>
      </c>
      <c r="G374">
        <v>4.1550149999999997</v>
      </c>
      <c r="H374">
        <v>3.9724154999999999</v>
      </c>
      <c r="I374">
        <v>3.66567</v>
      </c>
      <c r="J374">
        <v>3.5429205000000001</v>
      </c>
      <c r="K374">
        <v>3.4301745000000001</v>
      </c>
      <c r="L374">
        <v>3.3512580000000001</v>
      </c>
      <c r="M374">
        <v>3.5896319999999999</v>
      </c>
      <c r="N374">
        <v>3.9137434999999998</v>
      </c>
      <c r="O374">
        <v>4.1188770000000003</v>
      </c>
      <c r="P374">
        <v>4.2465000000000002</v>
      </c>
      <c r="Q374">
        <v>4.395384</v>
      </c>
      <c r="R374">
        <v>4.7977280000000002</v>
      </c>
      <c r="S374">
        <v>5.0274000000000001</v>
      </c>
      <c r="T374">
        <v>5.1924340000000004</v>
      </c>
      <c r="U374">
        <v>4.9726514999999996</v>
      </c>
      <c r="V374">
        <v>5.2391550000000002</v>
      </c>
      <c r="W374">
        <v>6.8828449999999997</v>
      </c>
      <c r="X374">
        <v>6.6101000000000001</v>
      </c>
      <c r="Y374">
        <v>6.8497279999999998</v>
      </c>
      <c r="Z374">
        <v>6.440715</v>
      </c>
      <c r="AA374">
        <v>6.5611274999999996</v>
      </c>
      <c r="AB374">
        <v>6.0144595000000001</v>
      </c>
    </row>
    <row r="375" spans="1:28" hidden="1" x14ac:dyDescent="0.25">
      <c r="A375" t="s">
        <v>7</v>
      </c>
      <c r="B375" t="s">
        <v>24</v>
      </c>
      <c r="C375">
        <v>13</v>
      </c>
      <c r="D375" t="s">
        <v>3</v>
      </c>
      <c r="E375">
        <v>2.5444898204999999</v>
      </c>
      <c r="F375">
        <v>1.771282961</v>
      </c>
      <c r="G375">
        <v>1.7711560846000001</v>
      </c>
      <c r="H375">
        <v>1.9316851384</v>
      </c>
      <c r="I375">
        <v>1.7124732111000001</v>
      </c>
      <c r="J375">
        <v>1.6723216869999999</v>
      </c>
      <c r="K375">
        <v>1.6504128049</v>
      </c>
      <c r="L375">
        <v>1.5527373774</v>
      </c>
      <c r="M375">
        <v>1.6840729645000001</v>
      </c>
      <c r="N375">
        <v>2.1644586804000001</v>
      </c>
      <c r="O375">
        <v>2.2150669101</v>
      </c>
      <c r="P375">
        <v>2.3583344682999998</v>
      </c>
      <c r="Q375">
        <v>2.3816919472999998</v>
      </c>
      <c r="R375">
        <v>2.1320625181000001</v>
      </c>
      <c r="S375">
        <v>2.5366642738</v>
      </c>
      <c r="T375">
        <v>2.5602272273</v>
      </c>
      <c r="U375">
        <v>2.7597333024999999</v>
      </c>
      <c r="V375">
        <v>2.5865030675999998</v>
      </c>
      <c r="W375">
        <v>2.7351891886000002</v>
      </c>
      <c r="X375">
        <v>2.8013239146000002</v>
      </c>
      <c r="Y375">
        <v>2.9099127508999998</v>
      </c>
      <c r="Z375">
        <v>2.7162818127000001</v>
      </c>
      <c r="AA375">
        <v>2.9143452323000001</v>
      </c>
      <c r="AB375">
        <v>2.8744972421999999</v>
      </c>
    </row>
    <row r="376" spans="1:28" hidden="1" x14ac:dyDescent="0.25">
      <c r="A376" t="s">
        <v>7</v>
      </c>
      <c r="B376" t="s">
        <v>24</v>
      </c>
      <c r="C376">
        <v>13</v>
      </c>
      <c r="D376" t="s">
        <v>4</v>
      </c>
      <c r="E376">
        <v>0.27202500000000002</v>
      </c>
      <c r="F376">
        <v>0.21831500000000001</v>
      </c>
      <c r="G376">
        <v>0.21868499999999999</v>
      </c>
      <c r="H376">
        <v>0.2090745</v>
      </c>
      <c r="I376">
        <v>0.19292999999999999</v>
      </c>
      <c r="J376">
        <v>0.18646950000000001</v>
      </c>
      <c r="K376">
        <v>0.18053549999999999</v>
      </c>
      <c r="L376">
        <v>0.17638200000000001</v>
      </c>
      <c r="M376">
        <v>0.18892800000000001</v>
      </c>
      <c r="N376">
        <v>0.20598649999999999</v>
      </c>
      <c r="O376">
        <v>0.216783</v>
      </c>
      <c r="P376">
        <v>0.2235</v>
      </c>
      <c r="Q376">
        <v>0.23133600000000001</v>
      </c>
      <c r="R376">
        <v>0.25251200000000001</v>
      </c>
      <c r="S376">
        <v>0.2646</v>
      </c>
      <c r="T376">
        <v>0.27328599999999997</v>
      </c>
      <c r="U376">
        <v>0.26171850000000002</v>
      </c>
      <c r="V376">
        <v>0.27574500000000002</v>
      </c>
      <c r="W376">
        <v>0.36225499999999999</v>
      </c>
      <c r="X376">
        <v>0.34789999999999999</v>
      </c>
      <c r="Y376">
        <v>0.360512</v>
      </c>
      <c r="Z376">
        <v>0.33898499999999998</v>
      </c>
      <c r="AA376">
        <v>0.34532249999999998</v>
      </c>
      <c r="AB376">
        <v>0.31655050000000001</v>
      </c>
    </row>
    <row r="377" spans="1:28" hidden="1" x14ac:dyDescent="0.25">
      <c r="A377" t="s">
        <v>7</v>
      </c>
      <c r="B377" t="s">
        <v>25</v>
      </c>
      <c r="C377">
        <v>115</v>
      </c>
      <c r="D377" t="s">
        <v>2</v>
      </c>
      <c r="E377">
        <v>5.8294762499999999</v>
      </c>
      <c r="F377">
        <v>5.7191562500000002</v>
      </c>
      <c r="G377">
        <v>5.7230962500000002</v>
      </c>
      <c r="H377">
        <v>5.7160239500000003</v>
      </c>
      <c r="I377">
        <v>5.4744330000000003</v>
      </c>
      <c r="J377">
        <v>5.50572645</v>
      </c>
      <c r="K377">
        <v>5.6243106000000003</v>
      </c>
      <c r="L377">
        <v>5.5181275999999997</v>
      </c>
      <c r="M377">
        <v>5.5273472000000003</v>
      </c>
      <c r="N377">
        <v>5.5462001000000001</v>
      </c>
      <c r="O377">
        <v>5.6037831999999996</v>
      </c>
      <c r="P377">
        <v>5.6122936000000001</v>
      </c>
      <c r="Q377">
        <v>5.6665080000000003</v>
      </c>
      <c r="R377">
        <v>5.7995815000000004</v>
      </c>
      <c r="S377">
        <v>5.89818</v>
      </c>
      <c r="T377">
        <v>5.9492029999999998</v>
      </c>
      <c r="U377">
        <v>5.9286558999999999</v>
      </c>
      <c r="V377">
        <v>6.0045994</v>
      </c>
      <c r="W377">
        <v>6.8940543999999999</v>
      </c>
      <c r="X377">
        <v>7.3571619999999998</v>
      </c>
      <c r="Y377">
        <v>7.1969615999999998</v>
      </c>
      <c r="Z377">
        <v>6.2351977500000002</v>
      </c>
      <c r="AA377">
        <v>5.9068677000000003</v>
      </c>
      <c r="AB377">
        <v>5.8353764000000004</v>
      </c>
    </row>
    <row r="378" spans="1:28" hidden="1" x14ac:dyDescent="0.25">
      <c r="A378" t="s">
        <v>7</v>
      </c>
      <c r="B378" t="s">
        <v>25</v>
      </c>
      <c r="C378">
        <v>115</v>
      </c>
      <c r="D378" t="s">
        <v>3</v>
      </c>
      <c r="E378">
        <v>0.28584216750000002</v>
      </c>
      <c r="F378">
        <v>0.42811403349999999</v>
      </c>
      <c r="G378">
        <v>0.51213797709999997</v>
      </c>
      <c r="H378">
        <v>0.62474786319999998</v>
      </c>
      <c r="I378">
        <v>0.65257596510000004</v>
      </c>
      <c r="J378">
        <v>0.67123980270000005</v>
      </c>
      <c r="K378">
        <v>0.88556814149999996</v>
      </c>
      <c r="L378">
        <v>0.69282648719999995</v>
      </c>
      <c r="M378">
        <v>0.47355417399999999</v>
      </c>
      <c r="N378">
        <v>0.29378588859999999</v>
      </c>
      <c r="O378">
        <v>6.1390052399999999E-2</v>
      </c>
      <c r="P378">
        <v>0</v>
      </c>
      <c r="Q378">
        <v>4.38938985E-2</v>
      </c>
      <c r="R378">
        <v>0.10046341860000001</v>
      </c>
      <c r="S378">
        <v>0.1237414605</v>
      </c>
      <c r="T378">
        <v>8.41407458E-2</v>
      </c>
      <c r="U378">
        <v>0</v>
      </c>
      <c r="V378">
        <v>0.16558305579999999</v>
      </c>
      <c r="W378">
        <v>6.1664762900000003E-2</v>
      </c>
      <c r="X378">
        <v>0.11864153249999999</v>
      </c>
      <c r="Y378">
        <v>0</v>
      </c>
      <c r="Z378">
        <v>7.8873551099999994E-2</v>
      </c>
      <c r="AA378">
        <v>0.25077647800000002</v>
      </c>
      <c r="AB378">
        <v>0.35832414940000001</v>
      </c>
    </row>
    <row r="379" spans="1:28" hidden="1" x14ac:dyDescent="0.25">
      <c r="A379" t="s">
        <v>7</v>
      </c>
      <c r="B379" t="s">
        <v>25</v>
      </c>
      <c r="C379">
        <v>115</v>
      </c>
      <c r="D379" t="s">
        <v>4</v>
      </c>
      <c r="E379">
        <v>8.8773749999999998E-2</v>
      </c>
      <c r="F379">
        <v>8.7093749999999998E-2</v>
      </c>
      <c r="G379">
        <v>8.7153750000000002E-2</v>
      </c>
      <c r="H379">
        <v>8.704605E-2</v>
      </c>
      <c r="I379">
        <v>8.3366999999999997E-2</v>
      </c>
      <c r="J379">
        <v>8.3843550000000003E-2</v>
      </c>
      <c r="K379">
        <v>8.5649400000000001E-2</v>
      </c>
      <c r="L379">
        <v>8.4032399999999993E-2</v>
      </c>
      <c r="M379">
        <v>8.4172800000000006E-2</v>
      </c>
      <c r="N379">
        <v>8.4459900000000004E-2</v>
      </c>
      <c r="O379">
        <v>8.5336800000000004E-2</v>
      </c>
      <c r="P379">
        <v>8.5466399999999998E-2</v>
      </c>
      <c r="Q379">
        <v>8.6291999999999994E-2</v>
      </c>
      <c r="R379">
        <v>8.8318499999999994E-2</v>
      </c>
      <c r="S379">
        <v>8.9819999999999997E-2</v>
      </c>
      <c r="T379">
        <v>9.0596999999999997E-2</v>
      </c>
      <c r="U379">
        <v>9.0284100000000006E-2</v>
      </c>
      <c r="V379">
        <v>9.1440599999999997E-2</v>
      </c>
      <c r="W379">
        <v>0.1049856</v>
      </c>
      <c r="X379">
        <v>0.112038</v>
      </c>
      <c r="Y379">
        <v>0.1095984</v>
      </c>
      <c r="Z379">
        <v>9.4952250000000002E-2</v>
      </c>
      <c r="AA379">
        <v>8.9952299999999999E-2</v>
      </c>
      <c r="AB379">
        <v>8.8863600000000001E-2</v>
      </c>
    </row>
    <row r="380" spans="1:28" hidden="1" x14ac:dyDescent="0.25">
      <c r="A380" t="s">
        <v>7</v>
      </c>
      <c r="B380" t="s">
        <v>26</v>
      </c>
      <c r="C380">
        <v>110</v>
      </c>
      <c r="D380" t="s">
        <v>2</v>
      </c>
      <c r="E380">
        <v>39.164092500000002</v>
      </c>
      <c r="F380">
        <v>37.892841650000001</v>
      </c>
      <c r="G380">
        <v>37.997754</v>
      </c>
      <c r="H380">
        <v>36.925335250000003</v>
      </c>
      <c r="I380">
        <v>35.496642000000001</v>
      </c>
      <c r="J380">
        <v>36.263080350000003</v>
      </c>
      <c r="K380">
        <v>36.888860700000002</v>
      </c>
      <c r="L380">
        <v>37.948898</v>
      </c>
      <c r="M380">
        <v>42.594867200000003</v>
      </c>
      <c r="N380">
        <v>45.258277649999997</v>
      </c>
      <c r="O380">
        <v>48.423013699999998</v>
      </c>
      <c r="P380">
        <v>51.109443599999999</v>
      </c>
      <c r="Q380">
        <v>52.517678400000001</v>
      </c>
      <c r="R380">
        <v>51.694001700000001</v>
      </c>
      <c r="S380">
        <v>50.81418</v>
      </c>
      <c r="T380">
        <v>50.621238200000001</v>
      </c>
      <c r="U380">
        <v>49.447758450000002</v>
      </c>
      <c r="V380">
        <v>48.784449600000002</v>
      </c>
      <c r="W380">
        <v>53.967519600000003</v>
      </c>
      <c r="X380">
        <v>54.647208999999997</v>
      </c>
      <c r="Y380">
        <v>52.818379200000003</v>
      </c>
      <c r="Z380">
        <v>46.470773250000001</v>
      </c>
      <c r="AA380">
        <v>44.578046499999999</v>
      </c>
      <c r="AB380">
        <v>42.347573099999998</v>
      </c>
    </row>
    <row r="381" spans="1:28" hidden="1" x14ac:dyDescent="0.25">
      <c r="A381" t="s">
        <v>7</v>
      </c>
      <c r="B381" t="s">
        <v>26</v>
      </c>
      <c r="C381">
        <v>110</v>
      </c>
      <c r="D381" t="s">
        <v>3</v>
      </c>
      <c r="E381">
        <v>13.6992272116</v>
      </c>
      <c r="F381">
        <v>13.3047274264</v>
      </c>
      <c r="G381">
        <v>13.5070785156</v>
      </c>
      <c r="H381">
        <v>12.5434444846</v>
      </c>
      <c r="I381">
        <v>12.125692255100001</v>
      </c>
      <c r="J381">
        <v>12.386256081499999</v>
      </c>
      <c r="K381">
        <v>12.9334444552</v>
      </c>
      <c r="L381">
        <v>13.177175658099999</v>
      </c>
      <c r="M381">
        <v>13.804297826899999</v>
      </c>
      <c r="N381">
        <v>15.240318239800001</v>
      </c>
      <c r="O381">
        <v>17.557532470799998</v>
      </c>
      <c r="P381">
        <v>18.293080379799999</v>
      </c>
      <c r="Q381">
        <v>18.902407662800002</v>
      </c>
      <c r="R381">
        <v>19.086418055700001</v>
      </c>
      <c r="S381">
        <v>19.173800811700001</v>
      </c>
      <c r="T381">
        <v>19.316462585099998</v>
      </c>
      <c r="U381">
        <v>18.742889826100001</v>
      </c>
      <c r="V381">
        <v>18.123967494999999</v>
      </c>
      <c r="W381">
        <v>18.463314253499998</v>
      </c>
      <c r="X381">
        <v>18.021712333899998</v>
      </c>
      <c r="Y381">
        <v>17.431681991000001</v>
      </c>
      <c r="Z381">
        <v>15.386050236499999</v>
      </c>
      <c r="AA381">
        <v>14.7404922007</v>
      </c>
      <c r="AB381">
        <v>14.9419569742</v>
      </c>
    </row>
    <row r="382" spans="1:28" hidden="1" x14ac:dyDescent="0.25">
      <c r="A382" t="s">
        <v>7</v>
      </c>
      <c r="B382" t="s">
        <v>26</v>
      </c>
      <c r="C382">
        <v>110</v>
      </c>
      <c r="D382" t="s">
        <v>4</v>
      </c>
      <c r="E382">
        <v>0.59640749999999998</v>
      </c>
      <c r="F382">
        <v>0.57704834999999999</v>
      </c>
      <c r="G382">
        <v>0.57864599999999999</v>
      </c>
      <c r="H382">
        <v>0.56231474999999997</v>
      </c>
      <c r="I382">
        <v>0.54055799999999998</v>
      </c>
      <c r="J382">
        <v>0.55222965000000002</v>
      </c>
      <c r="K382">
        <v>0.56175929999999996</v>
      </c>
      <c r="L382">
        <v>0.57790200000000003</v>
      </c>
      <c r="M382">
        <v>0.64865280000000003</v>
      </c>
      <c r="N382">
        <v>0.68921235000000003</v>
      </c>
      <c r="O382">
        <v>0.73740629999999996</v>
      </c>
      <c r="P382">
        <v>0.77831640000000002</v>
      </c>
      <c r="Q382">
        <v>0.79976159999999996</v>
      </c>
      <c r="R382">
        <v>0.78721830000000004</v>
      </c>
      <c r="S382">
        <v>0.77381999999999995</v>
      </c>
      <c r="T382">
        <v>0.77088179999999995</v>
      </c>
      <c r="U382">
        <v>0.75301154999999997</v>
      </c>
      <c r="V382">
        <v>0.74291039999999997</v>
      </c>
      <c r="W382">
        <v>0.82184040000000003</v>
      </c>
      <c r="X382">
        <v>0.83219100000000001</v>
      </c>
      <c r="Y382">
        <v>0.80434079999999997</v>
      </c>
      <c r="Z382">
        <v>0.70767674999999997</v>
      </c>
      <c r="AA382">
        <v>0.6788535</v>
      </c>
      <c r="AB382">
        <v>0.64488690000000004</v>
      </c>
    </row>
    <row r="383" spans="1:28" hidden="1" x14ac:dyDescent="0.25">
      <c r="A383" t="s">
        <v>7</v>
      </c>
      <c r="B383" t="s">
        <v>27</v>
      </c>
      <c r="C383">
        <v>44</v>
      </c>
      <c r="D383" t="s">
        <v>2</v>
      </c>
      <c r="E383">
        <v>8.5212074999999992</v>
      </c>
      <c r="F383">
        <v>8.5246898000000009</v>
      </c>
      <c r="G383">
        <v>8.7157409999999995</v>
      </c>
      <c r="H383">
        <v>8.7483330000000006</v>
      </c>
      <c r="I383">
        <v>8.3613029999999995</v>
      </c>
      <c r="J383">
        <v>8.2247948999999991</v>
      </c>
      <c r="K383">
        <v>8.3351421000000006</v>
      </c>
      <c r="L383">
        <v>7.9100396000000002</v>
      </c>
      <c r="M383">
        <v>7.7873152000000001</v>
      </c>
      <c r="N383">
        <v>7.7497664999999998</v>
      </c>
      <c r="O383">
        <v>7.6434933000000003</v>
      </c>
      <c r="P383">
        <v>7.5618096000000001</v>
      </c>
      <c r="Q383">
        <v>7.6460831999999996</v>
      </c>
      <c r="R383">
        <v>7.7602522</v>
      </c>
      <c r="S383">
        <v>7.7871600000000001</v>
      </c>
      <c r="T383">
        <v>7.8308099999999996</v>
      </c>
      <c r="U383">
        <v>7.8261443000000002</v>
      </c>
      <c r="V383">
        <v>7.7193182</v>
      </c>
      <c r="W383">
        <v>8.2343978999999994</v>
      </c>
      <c r="X383">
        <v>8.6776199999999992</v>
      </c>
      <c r="Y383">
        <v>8.8224991999999993</v>
      </c>
      <c r="Z383">
        <v>8.1319949999999999</v>
      </c>
      <c r="AA383">
        <v>8.0826802000000004</v>
      </c>
      <c r="AB383">
        <v>8.1037970999999995</v>
      </c>
    </row>
    <row r="384" spans="1:28" hidden="1" x14ac:dyDescent="0.25">
      <c r="A384" t="s">
        <v>7</v>
      </c>
      <c r="B384" t="s">
        <v>27</v>
      </c>
      <c r="C384">
        <v>44</v>
      </c>
      <c r="D384" t="s">
        <v>3</v>
      </c>
      <c r="E384">
        <v>3.2633524190999998</v>
      </c>
      <c r="F384">
        <v>3.2957537468</v>
      </c>
      <c r="G384">
        <v>3.4826662823999999</v>
      </c>
      <c r="H384">
        <v>3.3089437502000001</v>
      </c>
      <c r="I384">
        <v>2.8458191981000001</v>
      </c>
      <c r="J384">
        <v>2.5147184427</v>
      </c>
      <c r="K384">
        <v>2.3549018551000001</v>
      </c>
      <c r="L384">
        <v>2.5473167705000002</v>
      </c>
      <c r="M384">
        <v>2.7241935447999999</v>
      </c>
      <c r="N384">
        <v>2.9154472164</v>
      </c>
      <c r="O384">
        <v>2.9178939906000001</v>
      </c>
      <c r="P384">
        <v>2.9002954910000001</v>
      </c>
      <c r="Q384">
        <v>3.041130618</v>
      </c>
      <c r="R384">
        <v>3.0984428745999999</v>
      </c>
      <c r="S384">
        <v>3.0368579039000001</v>
      </c>
      <c r="T384">
        <v>2.9735270423000002</v>
      </c>
      <c r="U384">
        <v>2.9243478889999999</v>
      </c>
      <c r="V384">
        <v>2.6748738522000002</v>
      </c>
      <c r="W384">
        <v>2.4966483977</v>
      </c>
      <c r="X384">
        <v>2.7916922188000002</v>
      </c>
      <c r="Y384">
        <v>2.7822700369</v>
      </c>
      <c r="Z384">
        <v>2.6552136088</v>
      </c>
      <c r="AA384">
        <v>2.8173419333999998</v>
      </c>
      <c r="AB384">
        <v>2.9137822607000001</v>
      </c>
    </row>
    <row r="385" spans="1:28" hidden="1" x14ac:dyDescent="0.25">
      <c r="A385" t="s">
        <v>7</v>
      </c>
      <c r="B385" t="s">
        <v>27</v>
      </c>
      <c r="C385">
        <v>44</v>
      </c>
      <c r="D385" t="s">
        <v>4</v>
      </c>
      <c r="E385">
        <v>0.26354250000000001</v>
      </c>
      <c r="F385">
        <v>0.2636502</v>
      </c>
      <c r="G385">
        <v>0.26955899999999999</v>
      </c>
      <c r="H385">
        <v>0.270567</v>
      </c>
      <c r="I385">
        <v>0.25859700000000002</v>
      </c>
      <c r="J385">
        <v>0.25437510000000002</v>
      </c>
      <c r="K385">
        <v>0.25778790000000001</v>
      </c>
      <c r="L385">
        <v>0.24464040000000001</v>
      </c>
      <c r="M385">
        <v>0.2408448</v>
      </c>
      <c r="N385">
        <v>0.23968349999999999</v>
      </c>
      <c r="O385">
        <v>0.23639669999999999</v>
      </c>
      <c r="P385">
        <v>0.23387040000000001</v>
      </c>
      <c r="Q385">
        <v>0.23647679999999999</v>
      </c>
      <c r="R385">
        <v>0.24000779999999999</v>
      </c>
      <c r="S385">
        <v>0.24084</v>
      </c>
      <c r="T385">
        <v>0.24218999999999999</v>
      </c>
      <c r="U385">
        <v>0.2420457</v>
      </c>
      <c r="V385">
        <v>0.2387418</v>
      </c>
      <c r="W385">
        <v>0.25467210000000001</v>
      </c>
      <c r="X385">
        <v>0.26838000000000001</v>
      </c>
      <c r="Y385">
        <v>0.27286080000000001</v>
      </c>
      <c r="Z385">
        <v>0.25150499999999998</v>
      </c>
      <c r="AA385">
        <v>0.2499798</v>
      </c>
      <c r="AB385">
        <v>0.25063289999999999</v>
      </c>
    </row>
    <row r="386" spans="1:28" hidden="1" x14ac:dyDescent="0.25">
      <c r="A386" t="s">
        <v>7</v>
      </c>
      <c r="B386" t="s">
        <v>28</v>
      </c>
      <c r="C386">
        <v>110</v>
      </c>
      <c r="D386" t="s">
        <v>2</v>
      </c>
      <c r="E386">
        <v>20.446383749999999</v>
      </c>
      <c r="F386">
        <v>20.451702749999999</v>
      </c>
      <c r="G386">
        <v>20.891554500000002</v>
      </c>
      <c r="H386">
        <v>21.033532399999999</v>
      </c>
      <c r="I386">
        <v>20.101978500000001</v>
      </c>
      <c r="J386">
        <v>19.7103228</v>
      </c>
      <c r="K386">
        <v>19.98835875</v>
      </c>
      <c r="L386">
        <v>18.917949400000001</v>
      </c>
      <c r="M386">
        <v>18.669926400000001</v>
      </c>
      <c r="N386">
        <v>18.512316550000001</v>
      </c>
      <c r="O386">
        <v>18.381764650000001</v>
      </c>
      <c r="P386">
        <v>18.140153999999999</v>
      </c>
      <c r="Q386">
        <v>18.386009999999999</v>
      </c>
      <c r="R386">
        <v>18.6064924</v>
      </c>
      <c r="S386">
        <v>18.628319999999999</v>
      </c>
      <c r="T386">
        <v>18.801837599999999</v>
      </c>
      <c r="U386">
        <v>18.789456149999999</v>
      </c>
      <c r="V386">
        <v>18.481082199999999</v>
      </c>
      <c r="W386">
        <v>19.753081649999999</v>
      </c>
      <c r="X386">
        <v>20.826643000000001</v>
      </c>
      <c r="Y386">
        <v>21.1571696</v>
      </c>
      <c r="Z386">
        <v>19.47152925</v>
      </c>
      <c r="AA386">
        <v>19.324527849999999</v>
      </c>
      <c r="AB386">
        <v>19.375915299999999</v>
      </c>
    </row>
    <row r="387" spans="1:28" hidden="1" x14ac:dyDescent="0.25">
      <c r="A387" t="s">
        <v>7</v>
      </c>
      <c r="B387" t="s">
        <v>28</v>
      </c>
      <c r="C387">
        <v>110</v>
      </c>
      <c r="D387" t="s">
        <v>3</v>
      </c>
      <c r="E387">
        <v>5.1830665314999997</v>
      </c>
      <c r="F387">
        <v>5.2880925949000002</v>
      </c>
      <c r="G387">
        <v>5.7710131223000003</v>
      </c>
      <c r="H387">
        <v>5.1909919229000003</v>
      </c>
      <c r="I387">
        <v>3.7941345499999999</v>
      </c>
      <c r="J387">
        <v>2.4046689075000001</v>
      </c>
      <c r="K387">
        <v>0.9425743392</v>
      </c>
      <c r="L387">
        <v>2.9536734428</v>
      </c>
      <c r="M387">
        <v>3.8135003882</v>
      </c>
      <c r="N387">
        <v>4.5143994462999997</v>
      </c>
      <c r="O387">
        <v>4.6277596667000003</v>
      </c>
      <c r="P387">
        <v>4.6125720159999997</v>
      </c>
      <c r="Q387">
        <v>5.0333934435999996</v>
      </c>
      <c r="R387">
        <v>5.1322696714999996</v>
      </c>
      <c r="S387">
        <v>4.9025447652</v>
      </c>
      <c r="T387">
        <v>4.6800370751000004</v>
      </c>
      <c r="U387">
        <v>4.5134955583999998</v>
      </c>
      <c r="V387">
        <v>3.6766357110999999</v>
      </c>
      <c r="W387">
        <v>2.2912087977</v>
      </c>
      <c r="X387">
        <v>3.2392102700000001</v>
      </c>
      <c r="Y387">
        <v>3.0239020181999998</v>
      </c>
      <c r="Z387">
        <v>3.2041042577000001</v>
      </c>
      <c r="AA387">
        <v>3.9078048526</v>
      </c>
      <c r="AB387">
        <v>4.2498709040999998</v>
      </c>
    </row>
    <row r="388" spans="1:28" hidden="1" x14ac:dyDescent="0.25">
      <c r="A388" t="s">
        <v>7</v>
      </c>
      <c r="B388" t="s">
        <v>28</v>
      </c>
      <c r="C388">
        <v>110</v>
      </c>
      <c r="D388" t="s">
        <v>4</v>
      </c>
      <c r="E388">
        <v>0.31136625000000001</v>
      </c>
      <c r="F388">
        <v>0.31144725000000001</v>
      </c>
      <c r="G388">
        <v>0.31814550000000003</v>
      </c>
      <c r="H388">
        <v>0.32030760000000003</v>
      </c>
      <c r="I388">
        <v>0.30612149999999999</v>
      </c>
      <c r="J388">
        <v>0.30015720000000001</v>
      </c>
      <c r="K388">
        <v>0.30439125</v>
      </c>
      <c r="L388">
        <v>0.28809059999999997</v>
      </c>
      <c r="M388">
        <v>0.2843136</v>
      </c>
      <c r="N388">
        <v>0.28191345000000001</v>
      </c>
      <c r="O388">
        <v>0.27992535000000002</v>
      </c>
      <c r="P388">
        <v>0.27624599999999999</v>
      </c>
      <c r="Q388">
        <v>0.27999000000000002</v>
      </c>
      <c r="R388">
        <v>0.28334759999999998</v>
      </c>
      <c r="S388">
        <v>0.28367999999999999</v>
      </c>
      <c r="T388">
        <v>0.28632239999999998</v>
      </c>
      <c r="U388">
        <v>0.28613385000000002</v>
      </c>
      <c r="V388">
        <v>0.28143780000000002</v>
      </c>
      <c r="W388">
        <v>0.30080835</v>
      </c>
      <c r="X388">
        <v>0.31715700000000002</v>
      </c>
      <c r="Y388">
        <v>0.32219039999999999</v>
      </c>
      <c r="Z388">
        <v>0.29652075</v>
      </c>
      <c r="AA388">
        <v>0.29428215000000002</v>
      </c>
      <c r="AB388">
        <v>0.29506470000000001</v>
      </c>
    </row>
    <row r="389" spans="1:28" hidden="1" x14ac:dyDescent="0.25">
      <c r="A389" t="s">
        <v>7</v>
      </c>
      <c r="B389" t="s">
        <v>29</v>
      </c>
      <c r="C389">
        <v>110</v>
      </c>
      <c r="D389" t="s">
        <v>2</v>
      </c>
      <c r="E389">
        <v>4.0911974999999998</v>
      </c>
      <c r="F389">
        <v>3.9896834000000001</v>
      </c>
      <c r="G389">
        <v>3.9295589999999998</v>
      </c>
      <c r="H389">
        <v>4.0110874499999998</v>
      </c>
      <c r="I389">
        <v>3.65252775</v>
      </c>
      <c r="J389">
        <v>3.5667145499999999</v>
      </c>
      <c r="K389">
        <v>3.7127802000000001</v>
      </c>
      <c r="L389">
        <v>3.7666400000000002</v>
      </c>
      <c r="M389">
        <v>3.7521407999999998</v>
      </c>
      <c r="N389">
        <v>3.6724838499999999</v>
      </c>
      <c r="O389">
        <v>3.9429845499999998</v>
      </c>
      <c r="P389">
        <v>3.8863371999999998</v>
      </c>
      <c r="Q389">
        <v>3.8942171999999999</v>
      </c>
      <c r="R389">
        <v>3.9580649000000001</v>
      </c>
      <c r="S389">
        <v>3.8887800000000001</v>
      </c>
      <c r="T389">
        <v>4.0407457999999998</v>
      </c>
      <c r="U389">
        <v>3.9332133499999999</v>
      </c>
      <c r="V389">
        <v>3.9135035</v>
      </c>
      <c r="W389">
        <v>4.4165036000000004</v>
      </c>
      <c r="X389">
        <v>4.5737490000000003</v>
      </c>
      <c r="Y389">
        <v>4.5811168000000002</v>
      </c>
      <c r="Z389">
        <v>3.8895187500000001</v>
      </c>
      <c r="AA389">
        <v>3.61712685</v>
      </c>
      <c r="AB389">
        <v>3.5238276499999999</v>
      </c>
    </row>
    <row r="390" spans="1:28" hidden="1" x14ac:dyDescent="0.25">
      <c r="A390" t="s">
        <v>7</v>
      </c>
      <c r="B390" t="s">
        <v>29</v>
      </c>
      <c r="C390">
        <v>110</v>
      </c>
      <c r="D390" t="s">
        <v>3</v>
      </c>
      <c r="E390">
        <v>1.6953750613</v>
      </c>
      <c r="F390">
        <v>1.7294065439999999</v>
      </c>
      <c r="G390">
        <v>1.6991163867000001</v>
      </c>
      <c r="H390">
        <v>1.5865446350000001</v>
      </c>
      <c r="I390">
        <v>1.5956711288000001</v>
      </c>
      <c r="J390">
        <v>1.5363519392</v>
      </c>
      <c r="K390">
        <v>1.5663759623</v>
      </c>
      <c r="L390">
        <v>1.5250224596999999</v>
      </c>
      <c r="M390">
        <v>1.6538878443</v>
      </c>
      <c r="N390">
        <v>1.7512166687999999</v>
      </c>
      <c r="O390">
        <v>1.8786299886</v>
      </c>
      <c r="P390">
        <v>1.7897477644999999</v>
      </c>
      <c r="Q390">
        <v>1.8342336123</v>
      </c>
      <c r="R390">
        <v>1.8081863399</v>
      </c>
      <c r="S390">
        <v>1.7812823924000001</v>
      </c>
      <c r="T390">
        <v>1.8089873821</v>
      </c>
      <c r="U390">
        <v>1.7195803317</v>
      </c>
      <c r="V390">
        <v>1.6613592491</v>
      </c>
      <c r="W390">
        <v>1.7066317696</v>
      </c>
      <c r="X390">
        <v>1.6588351491</v>
      </c>
      <c r="Y390">
        <v>1.8036483032999999</v>
      </c>
      <c r="Z390">
        <v>1.5811591754000001</v>
      </c>
      <c r="AA390">
        <v>1.3237311932</v>
      </c>
      <c r="AB390">
        <v>1.2801472182</v>
      </c>
    </row>
    <row r="391" spans="1:28" hidden="1" x14ac:dyDescent="0.25">
      <c r="A391" t="s">
        <v>7</v>
      </c>
      <c r="B391" t="s">
        <v>29</v>
      </c>
      <c r="C391">
        <v>110</v>
      </c>
      <c r="D391" t="s">
        <v>4</v>
      </c>
      <c r="E391">
        <v>6.2302499999999997E-2</v>
      </c>
      <c r="F391">
        <v>6.0756600000000001E-2</v>
      </c>
      <c r="G391">
        <v>5.9840999999999998E-2</v>
      </c>
      <c r="H391">
        <v>6.1082549999999999E-2</v>
      </c>
      <c r="I391">
        <v>5.5622249999999998E-2</v>
      </c>
      <c r="J391">
        <v>5.4315450000000001E-2</v>
      </c>
      <c r="K391">
        <v>5.6539800000000001E-2</v>
      </c>
      <c r="L391">
        <v>5.7360000000000001E-2</v>
      </c>
      <c r="M391">
        <v>5.7139200000000001E-2</v>
      </c>
      <c r="N391">
        <v>5.5926150000000001E-2</v>
      </c>
      <c r="O391">
        <v>6.004545E-2</v>
      </c>
      <c r="P391">
        <v>5.9182800000000001E-2</v>
      </c>
      <c r="Q391">
        <v>5.9302800000000003E-2</v>
      </c>
      <c r="R391">
        <v>6.0275099999999998E-2</v>
      </c>
      <c r="S391">
        <v>5.9220000000000002E-2</v>
      </c>
      <c r="T391">
        <v>6.1534199999999997E-2</v>
      </c>
      <c r="U391">
        <v>5.9896650000000003E-2</v>
      </c>
      <c r="V391">
        <v>5.9596499999999997E-2</v>
      </c>
      <c r="W391">
        <v>6.7256399999999994E-2</v>
      </c>
      <c r="X391">
        <v>6.9651000000000005E-2</v>
      </c>
      <c r="Y391">
        <v>6.9763199999999997E-2</v>
      </c>
      <c r="Z391">
        <v>5.9231249999999999E-2</v>
      </c>
      <c r="AA391">
        <v>5.5083149999999997E-2</v>
      </c>
      <c r="AB391">
        <v>5.3662349999999998E-2</v>
      </c>
    </row>
    <row r="392" spans="1:28" hidden="1" x14ac:dyDescent="0.25">
      <c r="A392" t="s">
        <v>7</v>
      </c>
      <c r="B392" t="s">
        <v>30</v>
      </c>
      <c r="C392">
        <v>110</v>
      </c>
      <c r="D392" t="s">
        <v>2</v>
      </c>
      <c r="E392">
        <v>24.720052500000001</v>
      </c>
      <c r="F392">
        <v>21.128850849999999</v>
      </c>
      <c r="G392">
        <v>19.755948</v>
      </c>
      <c r="H392">
        <v>18.637647950000002</v>
      </c>
      <c r="I392">
        <v>18.358528499999998</v>
      </c>
      <c r="J392">
        <v>20.19952305</v>
      </c>
      <c r="K392">
        <v>19.933218449999998</v>
      </c>
      <c r="L392">
        <v>24.718575000000001</v>
      </c>
      <c r="M392">
        <v>30.743347199999999</v>
      </c>
      <c r="N392">
        <v>36.018179799999999</v>
      </c>
      <c r="O392">
        <v>39.870465549999999</v>
      </c>
      <c r="P392">
        <v>43.266322000000002</v>
      </c>
      <c r="Q392">
        <v>45.2838384</v>
      </c>
      <c r="R392">
        <v>44.5312196</v>
      </c>
      <c r="S392">
        <v>42.764760000000003</v>
      </c>
      <c r="T392">
        <v>41.4205896</v>
      </c>
      <c r="U392">
        <v>40.670118100000003</v>
      </c>
      <c r="V392">
        <v>42.406022999999998</v>
      </c>
      <c r="W392">
        <v>52.594094699999999</v>
      </c>
      <c r="X392">
        <v>54.717143999999998</v>
      </c>
      <c r="Y392">
        <v>51.883180799999998</v>
      </c>
      <c r="Z392">
        <v>44.244771749999998</v>
      </c>
      <c r="AA392">
        <v>36.779653750000001</v>
      </c>
      <c r="AB392">
        <v>28.9303168</v>
      </c>
    </row>
    <row r="393" spans="1:28" hidden="1" x14ac:dyDescent="0.25">
      <c r="A393" t="s">
        <v>7</v>
      </c>
      <c r="B393" t="s">
        <v>30</v>
      </c>
      <c r="C393">
        <v>110</v>
      </c>
      <c r="D393" t="s">
        <v>3</v>
      </c>
      <c r="E393">
        <v>10.551552945999999</v>
      </c>
      <c r="F393">
        <v>9.1788977258000006</v>
      </c>
      <c r="G393">
        <v>9.5844633614999992</v>
      </c>
      <c r="H393">
        <v>9.2445852616999993</v>
      </c>
      <c r="I393">
        <v>7.8864110005999999</v>
      </c>
      <c r="J393">
        <v>8.3767786163999993</v>
      </c>
      <c r="K393">
        <v>8.9869672684000008</v>
      </c>
      <c r="L393">
        <v>12.492843498199999</v>
      </c>
      <c r="M393">
        <v>14.710713134000001</v>
      </c>
      <c r="N393">
        <v>17.029071854400001</v>
      </c>
      <c r="O393">
        <v>19.3011127163</v>
      </c>
      <c r="P393">
        <v>20.975663922300001</v>
      </c>
      <c r="Q393">
        <v>21.8035443005</v>
      </c>
      <c r="R393">
        <v>21.600235792399999</v>
      </c>
      <c r="S393">
        <v>21.589630334599999</v>
      </c>
      <c r="T393">
        <v>19.079936214100002</v>
      </c>
      <c r="U393">
        <v>17.382970158599999</v>
      </c>
      <c r="V393">
        <v>21.043609120999999</v>
      </c>
      <c r="W393">
        <v>22.615332470199998</v>
      </c>
      <c r="X393">
        <v>21.781892974800002</v>
      </c>
      <c r="Y393">
        <v>20.875684287799999</v>
      </c>
      <c r="Z393">
        <v>18.7934650013</v>
      </c>
      <c r="AA393">
        <v>16.7894276297</v>
      </c>
      <c r="AB393">
        <v>14.449564137499999</v>
      </c>
    </row>
    <row r="394" spans="1:28" hidden="1" x14ac:dyDescent="0.25">
      <c r="A394" t="s">
        <v>7</v>
      </c>
      <c r="B394" t="s">
        <v>30</v>
      </c>
      <c r="C394">
        <v>110</v>
      </c>
      <c r="D394" t="s">
        <v>4</v>
      </c>
      <c r="E394">
        <v>0.37644749999999999</v>
      </c>
      <c r="F394">
        <v>0.32175914999999999</v>
      </c>
      <c r="G394">
        <v>0.30085200000000001</v>
      </c>
      <c r="H394">
        <v>0.28382204999999999</v>
      </c>
      <c r="I394">
        <v>0.27957149999999997</v>
      </c>
      <c r="J394">
        <v>0.30760694999999999</v>
      </c>
      <c r="K394">
        <v>0.30355155</v>
      </c>
      <c r="L394">
        <v>0.37642500000000001</v>
      </c>
      <c r="M394">
        <v>0.4681728</v>
      </c>
      <c r="N394">
        <v>0.54850019999999999</v>
      </c>
      <c r="O394">
        <v>0.60716444999999997</v>
      </c>
      <c r="P394">
        <v>0.65887799999999996</v>
      </c>
      <c r="Q394">
        <v>0.68960160000000004</v>
      </c>
      <c r="R394">
        <v>0.67814039999999998</v>
      </c>
      <c r="S394">
        <v>0.65124000000000004</v>
      </c>
      <c r="T394">
        <v>0.63077039999999995</v>
      </c>
      <c r="U394">
        <v>0.6193419</v>
      </c>
      <c r="V394">
        <v>0.64577700000000005</v>
      </c>
      <c r="W394">
        <v>0.80092529999999995</v>
      </c>
      <c r="X394">
        <v>0.833256</v>
      </c>
      <c r="Y394">
        <v>0.7900992</v>
      </c>
      <c r="Z394">
        <v>0.67377825000000002</v>
      </c>
      <c r="AA394">
        <v>0.56009624999999996</v>
      </c>
      <c r="AB394">
        <v>0.44056319999999999</v>
      </c>
    </row>
    <row r="395" spans="1:28" hidden="1" x14ac:dyDescent="0.25">
      <c r="A395" t="s">
        <v>7</v>
      </c>
      <c r="B395" t="s">
        <v>31</v>
      </c>
      <c r="C395">
        <v>115</v>
      </c>
      <c r="D395" t="s">
        <v>2</v>
      </c>
      <c r="E395">
        <v>18.17989875</v>
      </c>
      <c r="F395">
        <v>17.944424649999998</v>
      </c>
      <c r="G395">
        <v>18.124640249999999</v>
      </c>
      <c r="H395">
        <v>18.3594741</v>
      </c>
      <c r="I395">
        <v>17.547824250000001</v>
      </c>
      <c r="J395">
        <v>17.789100000000001</v>
      </c>
      <c r="K395">
        <v>17.69084625</v>
      </c>
      <c r="L395">
        <v>17.288877599999999</v>
      </c>
      <c r="M395">
        <v>17.721804800000001</v>
      </c>
      <c r="N395">
        <v>17.891313449999998</v>
      </c>
      <c r="O395">
        <v>17.726483550000001</v>
      </c>
      <c r="P395">
        <v>17.764435599999999</v>
      </c>
      <c r="Q395">
        <v>18.2413332</v>
      </c>
      <c r="R395">
        <v>18.128176400000001</v>
      </c>
      <c r="S395">
        <v>17.94276</v>
      </c>
      <c r="T395">
        <v>17.9889762</v>
      </c>
      <c r="U395">
        <v>17.532212000000001</v>
      </c>
      <c r="V395">
        <v>17.4881037</v>
      </c>
      <c r="W395">
        <v>19.928125999999999</v>
      </c>
      <c r="X395">
        <v>20.826643000000001</v>
      </c>
      <c r="Y395">
        <v>20.5608112</v>
      </c>
      <c r="Z395">
        <v>18.514109250000001</v>
      </c>
      <c r="AA395">
        <v>18.229434399999999</v>
      </c>
      <c r="AB395">
        <v>18.204730600000001</v>
      </c>
    </row>
    <row r="396" spans="1:28" hidden="1" x14ac:dyDescent="0.25">
      <c r="A396" t="s">
        <v>7</v>
      </c>
      <c r="B396" t="s">
        <v>31</v>
      </c>
      <c r="C396">
        <v>115</v>
      </c>
      <c r="D396" t="s">
        <v>3</v>
      </c>
      <c r="E396">
        <v>4.3191012187000002</v>
      </c>
      <c r="F396">
        <v>4.3129441710999998</v>
      </c>
      <c r="G396">
        <v>4.5795802491000002</v>
      </c>
      <c r="H396">
        <v>4.4795898559999996</v>
      </c>
      <c r="I396">
        <v>4.4513340951</v>
      </c>
      <c r="J396">
        <v>4.2408708120999998</v>
      </c>
      <c r="K396">
        <v>4.1197475091999998</v>
      </c>
      <c r="L396">
        <v>3.9163802490999999</v>
      </c>
      <c r="M396">
        <v>3.8338623446</v>
      </c>
      <c r="N396">
        <v>3.9417132328000002</v>
      </c>
      <c r="O396">
        <v>3.8984824439999999</v>
      </c>
      <c r="P396">
        <v>4.1607721646</v>
      </c>
      <c r="Q396">
        <v>4.4816591284999996</v>
      </c>
      <c r="R396">
        <v>4.1494444374999997</v>
      </c>
      <c r="S396">
        <v>4.3915310067000002</v>
      </c>
      <c r="T396">
        <v>4.5100350953000001</v>
      </c>
      <c r="U396">
        <v>4.5272341665000004</v>
      </c>
      <c r="V396">
        <v>4.3553365850999999</v>
      </c>
      <c r="W396">
        <v>4.1903195009000003</v>
      </c>
      <c r="X396">
        <v>4.2377399905999997</v>
      </c>
      <c r="Y396">
        <v>4.2444718371999999</v>
      </c>
      <c r="Z396">
        <v>3.7584813904000001</v>
      </c>
      <c r="AA396">
        <v>4.0867459063</v>
      </c>
      <c r="AB396">
        <v>4.3266646450000001</v>
      </c>
    </row>
    <row r="397" spans="1:28" hidden="1" x14ac:dyDescent="0.25">
      <c r="A397" t="s">
        <v>7</v>
      </c>
      <c r="B397" t="s">
        <v>31</v>
      </c>
      <c r="C397">
        <v>115</v>
      </c>
      <c r="D397" t="s">
        <v>4</v>
      </c>
      <c r="E397">
        <v>0.27685124999999999</v>
      </c>
      <c r="F397">
        <v>0.27326535000000002</v>
      </c>
      <c r="G397">
        <v>0.27600975</v>
      </c>
      <c r="H397">
        <v>0.2795859</v>
      </c>
      <c r="I397">
        <v>0.26722574999999998</v>
      </c>
      <c r="J397">
        <v>0.27089999999999997</v>
      </c>
      <c r="K397">
        <v>0.26940375</v>
      </c>
      <c r="L397">
        <v>0.26328240000000003</v>
      </c>
      <c r="M397">
        <v>0.26987519999999998</v>
      </c>
      <c r="N397">
        <v>0.27245655000000002</v>
      </c>
      <c r="O397">
        <v>0.26994645</v>
      </c>
      <c r="P397">
        <v>0.2705244</v>
      </c>
      <c r="Q397">
        <v>0.2777868</v>
      </c>
      <c r="R397">
        <v>0.27606360000000002</v>
      </c>
      <c r="S397">
        <v>0.27323999999999998</v>
      </c>
      <c r="T397">
        <v>0.27394380000000002</v>
      </c>
      <c r="U397">
        <v>0.266988</v>
      </c>
      <c r="V397">
        <v>0.26631630000000001</v>
      </c>
      <c r="W397">
        <v>0.30347400000000002</v>
      </c>
      <c r="X397">
        <v>0.31715700000000002</v>
      </c>
      <c r="Y397">
        <v>0.31310880000000002</v>
      </c>
      <c r="Z397">
        <v>0.28194075000000002</v>
      </c>
      <c r="AA397">
        <v>0.27760560000000001</v>
      </c>
      <c r="AB397">
        <v>0.27722940000000001</v>
      </c>
    </row>
    <row r="398" spans="1:28" hidden="1" x14ac:dyDescent="0.25">
      <c r="A398" t="s">
        <v>7</v>
      </c>
      <c r="B398" t="s">
        <v>32</v>
      </c>
      <c r="C398">
        <v>110</v>
      </c>
      <c r="D398" t="s">
        <v>2</v>
      </c>
      <c r="E398">
        <v>22.011794999999999</v>
      </c>
      <c r="F398">
        <v>22.83087175</v>
      </c>
      <c r="G398">
        <v>23.252894999999999</v>
      </c>
      <c r="H398">
        <v>23.734510749999998</v>
      </c>
      <c r="I398">
        <v>24.08576175</v>
      </c>
      <c r="J398">
        <v>23.970812250000002</v>
      </c>
      <c r="K398">
        <v>24.528243450000002</v>
      </c>
      <c r="L398">
        <v>25.735567799999998</v>
      </c>
      <c r="M398">
        <v>25.740492799999998</v>
      </c>
      <c r="N398">
        <v>25.7823356</v>
      </c>
      <c r="O398">
        <v>26.324223499999999</v>
      </c>
      <c r="P398">
        <v>26.676006399999999</v>
      </c>
      <c r="Q398">
        <v>27.042505200000001</v>
      </c>
      <c r="R398">
        <v>25.542074400000001</v>
      </c>
      <c r="S398">
        <v>25.67304</v>
      </c>
      <c r="T398">
        <v>25.8112946</v>
      </c>
      <c r="U398">
        <v>26.817363749999998</v>
      </c>
      <c r="V398">
        <v>26.308089200000001</v>
      </c>
      <c r="W398">
        <v>29.367055950000001</v>
      </c>
      <c r="X398">
        <v>29.51257</v>
      </c>
      <c r="Y398">
        <v>28.123719999999999</v>
      </c>
      <c r="Z398">
        <v>24.462081000000001</v>
      </c>
      <c r="AA398">
        <v>23.1628857</v>
      </c>
      <c r="AB398">
        <v>23.721626950000001</v>
      </c>
    </row>
    <row r="399" spans="1:28" hidden="1" x14ac:dyDescent="0.25">
      <c r="A399" t="s">
        <v>7</v>
      </c>
      <c r="B399" t="s">
        <v>32</v>
      </c>
      <c r="C399">
        <v>110</v>
      </c>
      <c r="D399" t="s">
        <v>3</v>
      </c>
      <c r="E399">
        <v>9.7935023085000008</v>
      </c>
      <c r="F399">
        <v>11.6358571769</v>
      </c>
      <c r="G399">
        <v>10.5787494718</v>
      </c>
      <c r="H399">
        <v>10.860031105899999</v>
      </c>
      <c r="I399">
        <v>11.811545560900001</v>
      </c>
      <c r="J399">
        <v>11.342789204700001</v>
      </c>
      <c r="K399">
        <v>10.8689834474</v>
      </c>
      <c r="L399">
        <v>13.1405153804</v>
      </c>
      <c r="M399">
        <v>12.8426925434</v>
      </c>
      <c r="N399">
        <v>10.730593321400001</v>
      </c>
      <c r="O399">
        <v>12.349231939999999</v>
      </c>
      <c r="P399">
        <v>11.351865178400001</v>
      </c>
      <c r="Q399">
        <v>12.1407025462</v>
      </c>
      <c r="R399">
        <v>10.2069896246</v>
      </c>
      <c r="S399">
        <v>11.926958764</v>
      </c>
      <c r="T399">
        <v>11.4481992884</v>
      </c>
      <c r="U399">
        <v>13.520721028600001</v>
      </c>
      <c r="V399">
        <v>12.0849701322</v>
      </c>
      <c r="W399">
        <v>14.0412849539</v>
      </c>
      <c r="X399">
        <v>13.59378351</v>
      </c>
      <c r="Y399">
        <v>12.6351869076</v>
      </c>
      <c r="Z399">
        <v>11.103892137800001</v>
      </c>
      <c r="AA399">
        <v>10.4823692973</v>
      </c>
      <c r="AB399">
        <v>11.585483890400001</v>
      </c>
    </row>
    <row r="400" spans="1:28" hidden="1" x14ac:dyDescent="0.25">
      <c r="A400" t="s">
        <v>7</v>
      </c>
      <c r="B400" t="s">
        <v>32</v>
      </c>
      <c r="C400">
        <v>110</v>
      </c>
      <c r="D400" t="s">
        <v>4</v>
      </c>
      <c r="E400">
        <v>0.33520499999999998</v>
      </c>
      <c r="F400">
        <v>0.34767825000000002</v>
      </c>
      <c r="G400">
        <v>0.354105</v>
      </c>
      <c r="H400">
        <v>0.36143924999999999</v>
      </c>
      <c r="I400">
        <v>0.36678824999999998</v>
      </c>
      <c r="J400">
        <v>0.36503774999999999</v>
      </c>
      <c r="K400">
        <v>0.37352655000000001</v>
      </c>
      <c r="L400">
        <v>0.39191219999999999</v>
      </c>
      <c r="M400">
        <v>0.39198719999999998</v>
      </c>
      <c r="N400">
        <v>0.39262439999999998</v>
      </c>
      <c r="O400">
        <v>0.40087650000000002</v>
      </c>
      <c r="P400">
        <v>0.40623359999999997</v>
      </c>
      <c r="Q400">
        <v>0.41181479999999998</v>
      </c>
      <c r="R400">
        <v>0.38896560000000002</v>
      </c>
      <c r="S400">
        <v>0.39095999999999997</v>
      </c>
      <c r="T400">
        <v>0.39306540000000001</v>
      </c>
      <c r="U400">
        <v>0.40838625000000001</v>
      </c>
      <c r="V400">
        <v>0.40063080000000001</v>
      </c>
      <c r="W400">
        <v>0.44721404999999997</v>
      </c>
      <c r="X400">
        <v>0.44943</v>
      </c>
      <c r="Y400">
        <v>0.42827999999999999</v>
      </c>
      <c r="Z400">
        <v>0.37251899999999999</v>
      </c>
      <c r="AA400">
        <v>0.3527343</v>
      </c>
      <c r="AB400">
        <v>0.36124305000000001</v>
      </c>
    </row>
    <row r="401" spans="1:28" hidden="1" x14ac:dyDescent="0.25">
      <c r="A401" t="s">
        <v>7</v>
      </c>
      <c r="B401" t="s">
        <v>33</v>
      </c>
      <c r="C401">
        <v>110</v>
      </c>
      <c r="D401" t="s">
        <v>2</v>
      </c>
      <c r="E401">
        <v>17.69971125</v>
      </c>
      <c r="F401">
        <v>16.49862195</v>
      </c>
      <c r="G401">
        <v>16.457281500000001</v>
      </c>
      <c r="H401">
        <v>16.349443699999998</v>
      </c>
      <c r="I401">
        <v>15.316208250000001</v>
      </c>
      <c r="J401">
        <v>14.764953</v>
      </c>
      <c r="K401">
        <v>15.2003427</v>
      </c>
      <c r="L401">
        <v>16.488466599999999</v>
      </c>
      <c r="M401">
        <v>18.3471616</v>
      </c>
      <c r="N401">
        <v>20.321791099999999</v>
      </c>
      <c r="O401">
        <v>22.1665779</v>
      </c>
      <c r="P401">
        <v>23.259317200000002</v>
      </c>
      <c r="Q401">
        <v>23.726995200000001</v>
      </c>
      <c r="R401">
        <v>23.222241799999999</v>
      </c>
      <c r="S401">
        <v>22.29252</v>
      </c>
      <c r="T401">
        <v>22.2417728</v>
      </c>
      <c r="U401">
        <v>21.811455850000002</v>
      </c>
      <c r="V401">
        <v>22.219354200000001</v>
      </c>
      <c r="W401">
        <v>25.987353500000001</v>
      </c>
      <c r="X401">
        <v>27.358571999999999</v>
      </c>
      <c r="Y401">
        <v>26.781913599999999</v>
      </c>
      <c r="Z401">
        <v>23.672209500000001</v>
      </c>
      <c r="AA401">
        <v>22.499192699999998</v>
      </c>
      <c r="AB401">
        <v>21.194333650000001</v>
      </c>
    </row>
    <row r="402" spans="1:28" hidden="1" x14ac:dyDescent="0.25">
      <c r="A402" t="s">
        <v>7</v>
      </c>
      <c r="B402" t="s">
        <v>33</v>
      </c>
      <c r="C402">
        <v>110</v>
      </c>
      <c r="D402" t="s">
        <v>3</v>
      </c>
      <c r="E402">
        <v>7.8106763533999999</v>
      </c>
      <c r="F402">
        <v>7.3891183625999997</v>
      </c>
      <c r="G402">
        <v>7.5946862874000001</v>
      </c>
      <c r="H402">
        <v>6.9010956389000002</v>
      </c>
      <c r="I402">
        <v>6.6555691347000003</v>
      </c>
      <c r="J402">
        <v>6.8231126324</v>
      </c>
      <c r="K402">
        <v>7.5246999626999997</v>
      </c>
      <c r="L402">
        <v>7.6229134735999997</v>
      </c>
      <c r="M402">
        <v>8.0125518559</v>
      </c>
      <c r="N402">
        <v>8.5012899090000005</v>
      </c>
      <c r="O402">
        <v>9.7200912758999998</v>
      </c>
      <c r="P402">
        <v>10.156399109100001</v>
      </c>
      <c r="Q402">
        <v>10.223178538399999</v>
      </c>
      <c r="R402">
        <v>10.2518275139</v>
      </c>
      <c r="S402">
        <v>10.1483296174</v>
      </c>
      <c r="T402">
        <v>10.2047900488</v>
      </c>
      <c r="U402">
        <v>10.0995926027</v>
      </c>
      <c r="V402">
        <v>10.1350825339</v>
      </c>
      <c r="W402">
        <v>10.284750561599999</v>
      </c>
      <c r="X402">
        <v>10.504636830000001</v>
      </c>
      <c r="Y402">
        <v>10.222241116599999</v>
      </c>
      <c r="Z402">
        <v>9.1398999288000002</v>
      </c>
      <c r="AA402">
        <v>9.0961213183999998</v>
      </c>
      <c r="AB402">
        <v>9.0357750658999993</v>
      </c>
    </row>
    <row r="403" spans="1:28" hidden="1" x14ac:dyDescent="0.25">
      <c r="A403" t="s">
        <v>7</v>
      </c>
      <c r="B403" t="s">
        <v>33</v>
      </c>
      <c r="C403">
        <v>110</v>
      </c>
      <c r="D403" t="s">
        <v>4</v>
      </c>
      <c r="E403">
        <v>0.26953874999999999</v>
      </c>
      <c r="F403">
        <v>0.25124805</v>
      </c>
      <c r="G403">
        <v>0.25061850000000002</v>
      </c>
      <c r="H403">
        <v>0.24897630000000001</v>
      </c>
      <c r="I403">
        <v>0.23324175</v>
      </c>
      <c r="J403">
        <v>0.22484699999999999</v>
      </c>
      <c r="K403">
        <v>0.2314773</v>
      </c>
      <c r="L403">
        <v>0.25109340000000002</v>
      </c>
      <c r="M403">
        <v>0.27939839999999999</v>
      </c>
      <c r="N403">
        <v>0.30946889999999999</v>
      </c>
      <c r="O403">
        <v>0.33756209999999998</v>
      </c>
      <c r="P403">
        <v>0.35420279999999998</v>
      </c>
      <c r="Q403">
        <v>0.3613248</v>
      </c>
      <c r="R403">
        <v>0.35363820000000001</v>
      </c>
      <c r="S403">
        <v>0.33948</v>
      </c>
      <c r="T403">
        <v>0.33870719999999999</v>
      </c>
      <c r="U403">
        <v>0.33215414999999998</v>
      </c>
      <c r="V403">
        <v>0.33836579999999999</v>
      </c>
      <c r="W403">
        <v>0.3957465</v>
      </c>
      <c r="X403">
        <v>0.416628</v>
      </c>
      <c r="Y403">
        <v>0.4078464</v>
      </c>
      <c r="Z403">
        <v>0.36049049999999999</v>
      </c>
      <c r="AA403">
        <v>0.34262730000000002</v>
      </c>
      <c r="AB403">
        <v>0.32275635000000003</v>
      </c>
    </row>
    <row r="404" spans="1:28" hidden="1" x14ac:dyDescent="0.25">
      <c r="A404" t="s">
        <v>7</v>
      </c>
      <c r="B404" t="s">
        <v>34</v>
      </c>
      <c r="C404">
        <v>110</v>
      </c>
      <c r="D404" t="s">
        <v>2</v>
      </c>
      <c r="E404">
        <v>18.4392</v>
      </c>
      <c r="F404">
        <v>17.203222</v>
      </c>
      <c r="G404">
        <v>17.241390750000001</v>
      </c>
      <c r="H404">
        <v>17.1032051</v>
      </c>
      <c r="I404">
        <v>16.109477999999999</v>
      </c>
      <c r="J404">
        <v>15.529884300000001</v>
      </c>
      <c r="K404">
        <v>15.5311845</v>
      </c>
      <c r="L404">
        <v>16.695631800000001</v>
      </c>
      <c r="M404">
        <v>18.437939199999999</v>
      </c>
      <c r="N404">
        <v>19.989875649999998</v>
      </c>
      <c r="O404">
        <v>21.624276299999998</v>
      </c>
      <c r="P404">
        <v>22.707480799999999</v>
      </c>
      <c r="Q404">
        <v>23.148288000000001</v>
      </c>
      <c r="R404">
        <v>22.660220500000001</v>
      </c>
      <c r="S404">
        <v>21.867000000000001</v>
      </c>
      <c r="T404">
        <v>21.6880846</v>
      </c>
      <c r="U404">
        <v>21.327013149999999</v>
      </c>
      <c r="V404">
        <v>21.670295500000002</v>
      </c>
      <c r="W404">
        <v>25.2063864</v>
      </c>
      <c r="X404">
        <v>26.127715999999999</v>
      </c>
      <c r="Y404">
        <v>25.9822512</v>
      </c>
      <c r="Z404">
        <v>23.58843525</v>
      </c>
      <c r="AA404">
        <v>22.97483935</v>
      </c>
      <c r="AB404">
        <v>21.975123450000002</v>
      </c>
    </row>
    <row r="405" spans="1:28" hidden="1" x14ac:dyDescent="0.25">
      <c r="A405" t="s">
        <v>7</v>
      </c>
      <c r="B405" t="s">
        <v>34</v>
      </c>
      <c r="C405">
        <v>110</v>
      </c>
      <c r="D405" t="s">
        <v>3</v>
      </c>
      <c r="E405">
        <v>8.1370041230000005</v>
      </c>
      <c r="F405">
        <v>7.7046824857000002</v>
      </c>
      <c r="G405">
        <v>7.9565360721999996</v>
      </c>
      <c r="H405">
        <v>7.2192581161999998</v>
      </c>
      <c r="I405">
        <v>7.0002798866999996</v>
      </c>
      <c r="J405">
        <v>7.1765991905000002</v>
      </c>
      <c r="K405">
        <v>7.6884781964000002</v>
      </c>
      <c r="L405">
        <v>7.7186896564999996</v>
      </c>
      <c r="M405">
        <v>8.0521961476000001</v>
      </c>
      <c r="N405">
        <v>8.3624384932000009</v>
      </c>
      <c r="O405">
        <v>9.4822908777000006</v>
      </c>
      <c r="P405">
        <v>9.9154345669000001</v>
      </c>
      <c r="Q405">
        <v>9.9738327204000008</v>
      </c>
      <c r="R405">
        <v>10.003714283600001</v>
      </c>
      <c r="S405">
        <v>9.9546181295</v>
      </c>
      <c r="T405">
        <v>9.9507513133999996</v>
      </c>
      <c r="U405">
        <v>9.8752758974999999</v>
      </c>
      <c r="V405">
        <v>9.8846362250999995</v>
      </c>
      <c r="W405">
        <v>9.9756751561999994</v>
      </c>
      <c r="X405">
        <v>10.032035582000001</v>
      </c>
      <c r="Y405">
        <v>9.9170223788000005</v>
      </c>
      <c r="Z405">
        <v>9.1075544790999992</v>
      </c>
      <c r="AA405">
        <v>9.2884188684000009</v>
      </c>
      <c r="AB405">
        <v>9.3686489899000005</v>
      </c>
    </row>
    <row r="406" spans="1:28" hidden="1" x14ac:dyDescent="0.25">
      <c r="A406" t="s">
        <v>7</v>
      </c>
      <c r="B406" t="s">
        <v>34</v>
      </c>
      <c r="C406">
        <v>110</v>
      </c>
      <c r="D406" t="s">
        <v>4</v>
      </c>
      <c r="E406">
        <v>0.28079999999999999</v>
      </c>
      <c r="F406">
        <v>0.26197799999999999</v>
      </c>
      <c r="G406">
        <v>0.26255925000000002</v>
      </c>
      <c r="H406">
        <v>0.26045489999999999</v>
      </c>
      <c r="I406">
        <v>0.24532200000000001</v>
      </c>
      <c r="J406">
        <v>0.2364957</v>
      </c>
      <c r="K406">
        <v>0.23651549999999999</v>
      </c>
      <c r="L406">
        <v>0.25424819999999998</v>
      </c>
      <c r="M406">
        <v>0.2807808</v>
      </c>
      <c r="N406">
        <v>0.30441435</v>
      </c>
      <c r="O406">
        <v>0.32930369999999998</v>
      </c>
      <c r="P406">
        <v>0.34579919999999997</v>
      </c>
      <c r="Q406">
        <v>0.35251199999999999</v>
      </c>
      <c r="R406">
        <v>0.34507949999999998</v>
      </c>
      <c r="S406">
        <v>0.33300000000000002</v>
      </c>
      <c r="T406">
        <v>0.3302754</v>
      </c>
      <c r="U406">
        <v>0.32477685000000001</v>
      </c>
      <c r="V406">
        <v>0.33000449999999998</v>
      </c>
      <c r="W406">
        <v>0.38385360000000002</v>
      </c>
      <c r="X406">
        <v>0.39788400000000002</v>
      </c>
      <c r="Y406">
        <v>0.39566879999999999</v>
      </c>
      <c r="Z406">
        <v>0.35921475000000003</v>
      </c>
      <c r="AA406">
        <v>0.34987065000000001</v>
      </c>
      <c r="AB406">
        <v>0.33464654999999999</v>
      </c>
    </row>
    <row r="407" spans="1:28" hidden="1" x14ac:dyDescent="0.25">
      <c r="A407" t="s">
        <v>7</v>
      </c>
      <c r="B407" t="s">
        <v>35</v>
      </c>
      <c r="C407">
        <v>46</v>
      </c>
      <c r="D407" t="s">
        <v>2</v>
      </c>
      <c r="E407">
        <v>2.9034525000000002</v>
      </c>
      <c r="F407">
        <v>2.9827403000000001</v>
      </c>
      <c r="G407">
        <v>3.0797984999999999</v>
      </c>
      <c r="H407">
        <v>3.0574981999999999</v>
      </c>
      <c r="I407">
        <v>3.0818354999999999</v>
      </c>
      <c r="J407">
        <v>1.9970748</v>
      </c>
      <c r="K407">
        <v>3.167535</v>
      </c>
      <c r="L407">
        <v>3.2456200000000002</v>
      </c>
      <c r="M407">
        <v>3.3970175999999999</v>
      </c>
      <c r="N407">
        <v>2.8679408</v>
      </c>
      <c r="O407">
        <v>3.8495613999999998</v>
      </c>
      <c r="P407">
        <v>3.9196536000000002</v>
      </c>
      <c r="Q407">
        <v>3.8111687999999999</v>
      </c>
      <c r="R407">
        <v>3.2854481999999998</v>
      </c>
      <c r="S407">
        <v>3.492</v>
      </c>
      <c r="T407">
        <v>3.3527467999999998</v>
      </c>
      <c r="U407">
        <v>3.0554903000000002</v>
      </c>
      <c r="V407">
        <v>2.7610079999999999</v>
      </c>
      <c r="W407">
        <v>3.5669130999999998</v>
      </c>
      <c r="X407">
        <v>2.8925399999999999</v>
      </c>
      <c r="Y407">
        <v>3.00312</v>
      </c>
      <c r="Z407">
        <v>2.5574534999999998</v>
      </c>
      <c r="AA407">
        <v>3.8125849999999999</v>
      </c>
      <c r="AB407">
        <v>3.0857155000000001</v>
      </c>
    </row>
    <row r="408" spans="1:28" hidden="1" x14ac:dyDescent="0.25">
      <c r="A408" t="s">
        <v>7</v>
      </c>
      <c r="B408" t="s">
        <v>35</v>
      </c>
      <c r="C408">
        <v>46</v>
      </c>
      <c r="D408" t="s">
        <v>3</v>
      </c>
      <c r="E408">
        <v>0.39483321129999999</v>
      </c>
      <c r="F408">
        <v>0.4542772403</v>
      </c>
      <c r="G408">
        <v>0.58146643990000002</v>
      </c>
      <c r="H408">
        <v>0.60466696279999999</v>
      </c>
      <c r="I408">
        <v>0.56033209989999999</v>
      </c>
      <c r="J408">
        <v>0.3418961297</v>
      </c>
      <c r="K408">
        <v>0.80528539690000001</v>
      </c>
      <c r="L408">
        <v>0.71663694</v>
      </c>
      <c r="M408">
        <v>0.82199327560000002</v>
      </c>
      <c r="N408">
        <v>0.57920139319999997</v>
      </c>
      <c r="O408">
        <v>0.7954780414</v>
      </c>
      <c r="P408">
        <v>0.81137464849999996</v>
      </c>
      <c r="Q408">
        <v>0.79536544860000002</v>
      </c>
      <c r="R408">
        <v>0.50615415959999999</v>
      </c>
      <c r="S408">
        <v>0.53515117639999998</v>
      </c>
      <c r="T408">
        <v>0.5847323874</v>
      </c>
      <c r="U408">
        <v>0.52829038500000003</v>
      </c>
      <c r="V408">
        <v>0.33638119480000001</v>
      </c>
      <c r="W408">
        <v>0.54421673319999997</v>
      </c>
      <c r="X408">
        <v>0.46169039979999998</v>
      </c>
      <c r="Y408">
        <v>0.6255027983</v>
      </c>
      <c r="Z408">
        <v>0.59413783860000002</v>
      </c>
      <c r="AA408">
        <v>1.0710876575999999</v>
      </c>
      <c r="AB408">
        <v>0.9944887255</v>
      </c>
    </row>
    <row r="409" spans="1:28" hidden="1" x14ac:dyDescent="0.25">
      <c r="A409" t="s">
        <v>7</v>
      </c>
      <c r="B409" t="s">
        <v>35</v>
      </c>
      <c r="C409">
        <v>46</v>
      </c>
      <c r="D409" t="s">
        <v>4</v>
      </c>
      <c r="E409">
        <v>8.9797500000000002E-2</v>
      </c>
      <c r="F409">
        <v>9.2249700000000004E-2</v>
      </c>
      <c r="G409">
        <v>9.5251500000000003E-2</v>
      </c>
      <c r="H409">
        <v>9.4561800000000001E-2</v>
      </c>
      <c r="I409">
        <v>9.5314499999999996E-2</v>
      </c>
      <c r="J409">
        <v>6.1765199999999999E-2</v>
      </c>
      <c r="K409">
        <v>9.7964999999999997E-2</v>
      </c>
      <c r="L409">
        <v>0.10038</v>
      </c>
      <c r="M409">
        <v>0.1050624</v>
      </c>
      <c r="N409">
        <v>8.8699200000000006E-2</v>
      </c>
      <c r="O409">
        <v>0.1190586</v>
      </c>
      <c r="P409">
        <v>0.1212264</v>
      </c>
      <c r="Q409">
        <v>0.1178712</v>
      </c>
      <c r="R409">
        <v>0.1016118</v>
      </c>
      <c r="S409">
        <v>0.108</v>
      </c>
      <c r="T409">
        <v>0.1036932</v>
      </c>
      <c r="U409">
        <v>9.4499700000000006E-2</v>
      </c>
      <c r="V409">
        <v>8.5391999999999996E-2</v>
      </c>
      <c r="W409">
        <v>0.1103169</v>
      </c>
      <c r="X409">
        <v>8.9459999999999998E-2</v>
      </c>
      <c r="Y409">
        <v>9.2880000000000004E-2</v>
      </c>
      <c r="Z409">
        <v>7.90965E-2</v>
      </c>
      <c r="AA409">
        <v>0.11791500000000001</v>
      </c>
      <c r="AB409">
        <v>9.5434500000000005E-2</v>
      </c>
    </row>
    <row r="410" spans="1:28" hidden="1" x14ac:dyDescent="0.25">
      <c r="A410" t="s">
        <v>7</v>
      </c>
      <c r="B410" t="s">
        <v>36</v>
      </c>
      <c r="C410">
        <v>110</v>
      </c>
      <c r="D410" t="s">
        <v>2</v>
      </c>
      <c r="E410">
        <v>16.16311125</v>
      </c>
      <c r="F410">
        <v>15.8855284</v>
      </c>
      <c r="G410">
        <v>15.556006500000001</v>
      </c>
      <c r="H410">
        <v>16.196896750000001</v>
      </c>
      <c r="I410">
        <v>15.28133925</v>
      </c>
      <c r="J410">
        <v>15.0495786</v>
      </c>
      <c r="K410">
        <v>15.77931585</v>
      </c>
      <c r="L410">
        <v>16.422550399999999</v>
      </c>
      <c r="M410">
        <v>17.913446400000002</v>
      </c>
      <c r="N410">
        <v>18.523023500000001</v>
      </c>
      <c r="O410">
        <v>19.375984249999998</v>
      </c>
      <c r="P410">
        <v>19.9482988</v>
      </c>
      <c r="Q410">
        <v>20.544105600000002</v>
      </c>
      <c r="R410">
        <v>18.4390818</v>
      </c>
      <c r="S410">
        <v>18.98292</v>
      </c>
      <c r="T410">
        <v>19.426209400000001</v>
      </c>
      <c r="U410">
        <v>18.985540100000001</v>
      </c>
      <c r="V410">
        <v>17.161004899999998</v>
      </c>
      <c r="W410">
        <v>19.470317699999999</v>
      </c>
      <c r="X410">
        <v>20.239189</v>
      </c>
      <c r="Y410">
        <v>19.801809599999999</v>
      </c>
      <c r="Z410">
        <v>17.472915</v>
      </c>
      <c r="AA410">
        <v>16.658694300000001</v>
      </c>
      <c r="AB410">
        <v>18.389654499999999</v>
      </c>
    </row>
    <row r="411" spans="1:28" hidden="1" x14ac:dyDescent="0.25">
      <c r="A411" t="s">
        <v>7</v>
      </c>
      <c r="B411" t="s">
        <v>36</v>
      </c>
      <c r="C411">
        <v>110</v>
      </c>
      <c r="D411" t="s">
        <v>3</v>
      </c>
      <c r="E411">
        <v>5.1560501209999998</v>
      </c>
      <c r="F411">
        <v>5.0079300130000002</v>
      </c>
      <c r="G411">
        <v>4.7782943047000002</v>
      </c>
      <c r="H411">
        <v>4.6584673326999999</v>
      </c>
      <c r="I411">
        <v>4.3885512227000003</v>
      </c>
      <c r="J411">
        <v>4.0948240827999998</v>
      </c>
      <c r="K411">
        <v>4.8662661573000001</v>
      </c>
      <c r="L411">
        <v>5.2933798489999999</v>
      </c>
      <c r="M411">
        <v>5.7848817329999997</v>
      </c>
      <c r="N411">
        <v>5.9115501526000003</v>
      </c>
      <c r="O411">
        <v>5.9183784988000001</v>
      </c>
      <c r="P411">
        <v>6.3142146438999998</v>
      </c>
      <c r="Q411">
        <v>6.6077992593000001</v>
      </c>
      <c r="R411">
        <v>6.0140495553999997</v>
      </c>
      <c r="S411">
        <v>6.6238997478000003</v>
      </c>
      <c r="T411">
        <v>6.8405656700000002</v>
      </c>
      <c r="U411">
        <v>6.5417178618999996</v>
      </c>
      <c r="V411">
        <v>5.9377668698999999</v>
      </c>
      <c r="W411">
        <v>5.6909050798000003</v>
      </c>
      <c r="X411">
        <v>5.9632556422</v>
      </c>
      <c r="Y411">
        <v>5.7463113373999999</v>
      </c>
      <c r="Z411">
        <v>4.9760017677999997</v>
      </c>
      <c r="AA411">
        <v>5.0370673359999998</v>
      </c>
      <c r="AB411">
        <v>6.0704500541000002</v>
      </c>
    </row>
    <row r="412" spans="1:28" hidden="1" x14ac:dyDescent="0.25">
      <c r="A412" t="s">
        <v>7</v>
      </c>
      <c r="B412" t="s">
        <v>36</v>
      </c>
      <c r="C412">
        <v>110</v>
      </c>
      <c r="D412" t="s">
        <v>4</v>
      </c>
      <c r="E412">
        <v>0.24613874999999999</v>
      </c>
      <c r="F412">
        <v>0.2419116</v>
      </c>
      <c r="G412">
        <v>0.23689350000000001</v>
      </c>
      <c r="H412">
        <v>0.24665324999999999</v>
      </c>
      <c r="I412">
        <v>0.23271074999999999</v>
      </c>
      <c r="J412">
        <v>0.22918140000000001</v>
      </c>
      <c r="K412">
        <v>0.24029415000000001</v>
      </c>
      <c r="L412">
        <v>0.25008960000000002</v>
      </c>
      <c r="M412">
        <v>0.27279360000000002</v>
      </c>
      <c r="N412">
        <v>0.28207650000000001</v>
      </c>
      <c r="O412">
        <v>0.29506575000000002</v>
      </c>
      <c r="P412">
        <v>0.30378119999999997</v>
      </c>
      <c r="Q412">
        <v>0.31285439999999998</v>
      </c>
      <c r="R412">
        <v>0.2807982</v>
      </c>
      <c r="S412">
        <v>0.28908</v>
      </c>
      <c r="T412">
        <v>0.2958306</v>
      </c>
      <c r="U412">
        <v>0.28911989999999999</v>
      </c>
      <c r="V412">
        <v>0.26133509999999999</v>
      </c>
      <c r="W412">
        <v>0.2965023</v>
      </c>
      <c r="X412">
        <v>0.30821100000000001</v>
      </c>
      <c r="Y412">
        <v>0.3015504</v>
      </c>
      <c r="Z412">
        <v>0.26608500000000002</v>
      </c>
      <c r="AA412">
        <v>0.25368570000000001</v>
      </c>
      <c r="AB412">
        <v>0.2800455</v>
      </c>
    </row>
    <row r="413" spans="1:28" hidden="1" x14ac:dyDescent="0.25">
      <c r="A413" t="s">
        <v>7</v>
      </c>
      <c r="B413" t="s">
        <v>37</v>
      </c>
      <c r="C413">
        <v>220</v>
      </c>
      <c r="D413" t="s">
        <v>2</v>
      </c>
      <c r="E413">
        <v>1.4039999999999999</v>
      </c>
      <c r="F413">
        <v>1.3470500000000001</v>
      </c>
      <c r="G413">
        <v>1.3542000000000001</v>
      </c>
      <c r="H413">
        <v>1.33917</v>
      </c>
      <c r="I413">
        <v>1.4779500000000001</v>
      </c>
      <c r="J413">
        <v>1.8330900000000001</v>
      </c>
      <c r="K413">
        <v>3.22818</v>
      </c>
      <c r="L413">
        <v>3.3364400000000001</v>
      </c>
      <c r="M413">
        <v>3.4815999999999998</v>
      </c>
      <c r="N413">
        <v>3.3805700000000001</v>
      </c>
      <c r="O413">
        <v>3.3721800000000002</v>
      </c>
      <c r="P413">
        <v>3.4806400000000002</v>
      </c>
      <c r="Q413">
        <v>3.51288</v>
      </c>
      <c r="R413">
        <v>3.3142200000000002</v>
      </c>
      <c r="S413">
        <v>3.1080000000000001</v>
      </c>
      <c r="T413">
        <v>3.1215600000000001</v>
      </c>
      <c r="U413">
        <v>3.3022200000000002</v>
      </c>
      <c r="V413">
        <v>2.3482799999999999</v>
      </c>
      <c r="W413">
        <v>3.3081399999999999</v>
      </c>
      <c r="X413">
        <v>3.3512</v>
      </c>
      <c r="Y413">
        <v>2.7244799999999998</v>
      </c>
      <c r="Z413">
        <v>2.05335</v>
      </c>
      <c r="AA413">
        <v>1.72942</v>
      </c>
      <c r="AB413">
        <v>1.4706300000000001</v>
      </c>
    </row>
    <row r="414" spans="1:28" hidden="1" x14ac:dyDescent="0.25">
      <c r="A414" t="s">
        <v>7</v>
      </c>
      <c r="B414" t="s">
        <v>37</v>
      </c>
      <c r="C414">
        <v>220</v>
      </c>
      <c r="D414" t="s">
        <v>3</v>
      </c>
      <c r="E414">
        <v>0.66013668879999998</v>
      </c>
      <c r="F414">
        <v>0.68873366189999996</v>
      </c>
      <c r="G414">
        <v>0.69238938790000004</v>
      </c>
      <c r="H414">
        <v>0.68470469389999999</v>
      </c>
      <c r="I414">
        <v>0.75566156829999998</v>
      </c>
      <c r="J414">
        <v>0.93724122210000005</v>
      </c>
      <c r="K414">
        <v>1.4733398515</v>
      </c>
      <c r="L414">
        <v>1.3346457289</v>
      </c>
      <c r="M414">
        <v>1.2526491748999999</v>
      </c>
      <c r="N414">
        <v>1.2587896107000001</v>
      </c>
      <c r="O414">
        <v>1.3094173445999999</v>
      </c>
      <c r="P414">
        <v>1.4027422437999999</v>
      </c>
      <c r="Q414">
        <v>1.4883143448</v>
      </c>
      <c r="R414">
        <v>1.5585746606999999</v>
      </c>
      <c r="S414">
        <v>1.5634331629</v>
      </c>
      <c r="T414">
        <v>1.3407646213</v>
      </c>
      <c r="U414">
        <v>1.6614088725</v>
      </c>
      <c r="V414">
        <v>1.0028391375000001</v>
      </c>
      <c r="W414">
        <v>1.053260036</v>
      </c>
      <c r="X414">
        <v>1.0379701739</v>
      </c>
      <c r="Y414">
        <v>1.0518416868</v>
      </c>
      <c r="Z414">
        <v>0.87657938140000002</v>
      </c>
      <c r="AA414">
        <v>0.88337303550000001</v>
      </c>
      <c r="AB414">
        <v>0.79663903690000004</v>
      </c>
    </row>
    <row r="415" spans="1:28" hidden="1" x14ac:dyDescent="0.25">
      <c r="A415" t="s">
        <v>7</v>
      </c>
      <c r="B415" t="s">
        <v>37</v>
      </c>
      <c r="C415">
        <v>220</v>
      </c>
      <c r="D415" t="s">
        <v>4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</row>
    <row r="416" spans="1:28" hidden="1" x14ac:dyDescent="0.25">
      <c r="A416" t="s">
        <v>7</v>
      </c>
      <c r="B416" t="s">
        <v>38</v>
      </c>
      <c r="C416">
        <v>110</v>
      </c>
      <c r="D416" t="s">
        <v>2</v>
      </c>
      <c r="E416">
        <v>1.9975799999999999</v>
      </c>
      <c r="F416">
        <v>2.0222936499999999</v>
      </c>
      <c r="G416">
        <v>2.08194525</v>
      </c>
      <c r="H416">
        <v>2.0907905499999999</v>
      </c>
      <c r="I416">
        <v>2.0136847499999999</v>
      </c>
      <c r="J416">
        <v>2.03685195</v>
      </c>
      <c r="K416">
        <v>2.0585711999999998</v>
      </c>
      <c r="L416">
        <v>1.9492362000000001</v>
      </c>
      <c r="M416">
        <v>1.9668479999999999</v>
      </c>
      <c r="N416">
        <v>1.9379579499999999</v>
      </c>
      <c r="O416">
        <v>1.8980556</v>
      </c>
      <c r="P416">
        <v>2.1721219999999999</v>
      </c>
      <c r="Q416">
        <v>2.3268852</v>
      </c>
      <c r="R416">
        <v>2.3557063</v>
      </c>
      <c r="S416">
        <v>2.21034</v>
      </c>
      <c r="T416">
        <v>2.2500946000000002</v>
      </c>
      <c r="U416">
        <v>2.2722669500000001</v>
      </c>
      <c r="V416">
        <v>2.2546453</v>
      </c>
      <c r="W416">
        <v>2.5044806999999998</v>
      </c>
      <c r="X416">
        <v>2.6015820000000001</v>
      </c>
      <c r="Y416">
        <v>2.6293983999999999</v>
      </c>
      <c r="Z416">
        <v>2.3337112499999999</v>
      </c>
      <c r="AA416">
        <v>2.0463867499999999</v>
      </c>
      <c r="AB416">
        <v>2.0033422500000002</v>
      </c>
    </row>
    <row r="417" spans="1:28" hidden="1" x14ac:dyDescent="0.25">
      <c r="A417" t="s">
        <v>7</v>
      </c>
      <c r="B417" t="s">
        <v>38</v>
      </c>
      <c r="C417">
        <v>110</v>
      </c>
      <c r="D417" t="s">
        <v>3</v>
      </c>
      <c r="E417">
        <v>0.99883014069999998</v>
      </c>
      <c r="F417">
        <v>0.9800714854</v>
      </c>
      <c r="G417">
        <v>1.0089806560000001</v>
      </c>
      <c r="H417">
        <v>1.0132673857000001</v>
      </c>
      <c r="I417">
        <v>0.97589932290000003</v>
      </c>
      <c r="J417">
        <v>0.98712692690000003</v>
      </c>
      <c r="K417">
        <v>0.99765280560000003</v>
      </c>
      <c r="L417">
        <v>0.94466538909999997</v>
      </c>
      <c r="M417">
        <v>0.93805584509999995</v>
      </c>
      <c r="N417">
        <v>0.96180293809999995</v>
      </c>
      <c r="O417">
        <v>0.95605850869999998</v>
      </c>
      <c r="P417">
        <v>0.90064999059999995</v>
      </c>
      <c r="Q417">
        <v>0.89908419900000003</v>
      </c>
      <c r="R417">
        <v>0.91022037180000004</v>
      </c>
      <c r="S417">
        <v>0.93358647500000003</v>
      </c>
      <c r="T417">
        <v>0.95629643919999996</v>
      </c>
      <c r="U417">
        <v>0.96571974940000005</v>
      </c>
      <c r="V417">
        <v>0.95823049930000004</v>
      </c>
      <c r="W417">
        <v>0.94615411140000005</v>
      </c>
      <c r="X417">
        <v>0.88564410019999995</v>
      </c>
      <c r="Y417">
        <v>0.88119943869999995</v>
      </c>
      <c r="Z417">
        <v>0.85981223520000005</v>
      </c>
      <c r="AA417">
        <v>0.90794508110000005</v>
      </c>
      <c r="AB417">
        <v>0.97088699980000004</v>
      </c>
    </row>
    <row r="418" spans="1:28" hidden="1" x14ac:dyDescent="0.25">
      <c r="A418" t="s">
        <v>7</v>
      </c>
      <c r="B418" t="s">
        <v>38</v>
      </c>
      <c r="C418">
        <v>110</v>
      </c>
      <c r="D418" t="s">
        <v>4</v>
      </c>
      <c r="E418">
        <v>3.0419999999999999E-2</v>
      </c>
      <c r="F418">
        <v>3.079635E-2</v>
      </c>
      <c r="G418">
        <v>3.1704749999999997E-2</v>
      </c>
      <c r="H418">
        <v>3.1839449999999998E-2</v>
      </c>
      <c r="I418">
        <v>3.0665250000000002E-2</v>
      </c>
      <c r="J418">
        <v>3.1018049999999998E-2</v>
      </c>
      <c r="K418">
        <v>3.1348800000000003E-2</v>
      </c>
      <c r="L418">
        <v>2.96838E-2</v>
      </c>
      <c r="M418">
        <v>2.9951999999999999E-2</v>
      </c>
      <c r="N418">
        <v>2.9512050000000001E-2</v>
      </c>
      <c r="O418">
        <v>2.89044E-2</v>
      </c>
      <c r="P418">
        <v>3.3078000000000003E-2</v>
      </c>
      <c r="Q418">
        <v>3.5434800000000002E-2</v>
      </c>
      <c r="R418">
        <v>3.5873700000000001E-2</v>
      </c>
      <c r="S418">
        <v>3.3660000000000002E-2</v>
      </c>
      <c r="T418">
        <v>3.4265400000000001E-2</v>
      </c>
      <c r="U418">
        <v>3.4603050000000003E-2</v>
      </c>
      <c r="V418">
        <v>3.4334700000000003E-2</v>
      </c>
      <c r="W418">
        <v>3.8139300000000001E-2</v>
      </c>
      <c r="X418">
        <v>3.9618E-2</v>
      </c>
      <c r="Y418">
        <v>4.0041599999999997E-2</v>
      </c>
      <c r="Z418">
        <v>3.5538750000000001E-2</v>
      </c>
      <c r="AA418">
        <v>3.116325E-2</v>
      </c>
      <c r="AB418">
        <v>3.050775E-2</v>
      </c>
    </row>
    <row r="419" spans="1:28" hidden="1" x14ac:dyDescent="0.25">
      <c r="A419" t="s">
        <v>7</v>
      </c>
      <c r="B419" t="s">
        <v>39</v>
      </c>
      <c r="C419">
        <v>110</v>
      </c>
      <c r="D419" t="s">
        <v>2</v>
      </c>
      <c r="E419">
        <v>60.30194625</v>
      </c>
      <c r="F419">
        <v>59.149801600000004</v>
      </c>
      <c r="G419">
        <v>57.600485249999998</v>
      </c>
      <c r="H419">
        <v>57.294839750000001</v>
      </c>
      <c r="I419">
        <v>55.4242755</v>
      </c>
      <c r="J419">
        <v>55.884457650000002</v>
      </c>
      <c r="K419">
        <v>54.965689050000002</v>
      </c>
      <c r="L419">
        <v>53.9477014</v>
      </c>
      <c r="M419">
        <v>56.110643199999998</v>
      </c>
      <c r="N419">
        <v>58.545602600000002</v>
      </c>
      <c r="O419">
        <v>62.635834799999998</v>
      </c>
      <c r="P419">
        <v>65.504154800099997</v>
      </c>
      <c r="Q419">
        <v>66.961245599999998</v>
      </c>
      <c r="R419">
        <v>66.509839799999995</v>
      </c>
      <c r="S419">
        <v>65.943780000000004</v>
      </c>
      <c r="T419">
        <v>66.230533199999996</v>
      </c>
      <c r="U419">
        <v>57.93704005</v>
      </c>
      <c r="V419">
        <v>58.270314800100003</v>
      </c>
      <c r="W419">
        <v>68.523130550000005</v>
      </c>
      <c r="X419">
        <v>71.767296999999999</v>
      </c>
      <c r="Y419">
        <v>72.091598399999995</v>
      </c>
      <c r="Z419">
        <v>64.709624250000005</v>
      </c>
      <c r="AA419">
        <v>64.212297750000005</v>
      </c>
      <c r="AB419">
        <v>64.096678449999999</v>
      </c>
    </row>
    <row r="420" spans="1:28" hidden="1" x14ac:dyDescent="0.25">
      <c r="A420" t="s">
        <v>7</v>
      </c>
      <c r="B420" t="s">
        <v>39</v>
      </c>
      <c r="C420">
        <v>110</v>
      </c>
      <c r="D420" t="s">
        <v>3</v>
      </c>
      <c r="E420">
        <v>19.6787024982</v>
      </c>
      <c r="F420">
        <v>19.0845407873</v>
      </c>
      <c r="G420">
        <v>19.303851129000002</v>
      </c>
      <c r="H420">
        <v>20.408981924300001</v>
      </c>
      <c r="I420">
        <v>18.416915025000002</v>
      </c>
      <c r="J420">
        <v>18.500862188500001</v>
      </c>
      <c r="K420">
        <v>19.301115875400001</v>
      </c>
      <c r="L420">
        <v>18.5067528529</v>
      </c>
      <c r="M420">
        <v>18.627199617599999</v>
      </c>
      <c r="N420">
        <v>18.3299443555</v>
      </c>
      <c r="O420">
        <v>19.862568606499998</v>
      </c>
      <c r="P420">
        <v>22.037360450400001</v>
      </c>
      <c r="Q420">
        <v>22.1205768799</v>
      </c>
      <c r="R420">
        <v>22.065382787299999</v>
      </c>
      <c r="S420">
        <v>22.448925194200001</v>
      </c>
      <c r="T420">
        <v>23.031463055900002</v>
      </c>
      <c r="U420">
        <v>20.1987902248</v>
      </c>
      <c r="V420">
        <v>20.467456301199999</v>
      </c>
      <c r="W420">
        <v>23.575231225300001</v>
      </c>
      <c r="X420">
        <v>23.918220430200002</v>
      </c>
      <c r="Y420">
        <v>23.749042298700001</v>
      </c>
      <c r="Z420">
        <v>20.4730321541</v>
      </c>
      <c r="AA420">
        <v>20.329734148099998</v>
      </c>
      <c r="AB420">
        <v>21.065284822900001</v>
      </c>
    </row>
    <row r="421" spans="1:28" hidden="1" x14ac:dyDescent="0.25">
      <c r="A421" t="s">
        <v>7</v>
      </c>
      <c r="B421" t="s">
        <v>39</v>
      </c>
      <c r="C421">
        <v>110</v>
      </c>
      <c r="D421" t="s">
        <v>4</v>
      </c>
      <c r="E421">
        <v>0.91830374999999997</v>
      </c>
      <c r="F421">
        <v>0.90075839999999996</v>
      </c>
      <c r="G421">
        <v>0.87716475000000005</v>
      </c>
      <c r="H421">
        <v>0.87251025000000004</v>
      </c>
      <c r="I421">
        <v>0.84402449999999996</v>
      </c>
      <c r="J421">
        <v>0.85103234999999999</v>
      </c>
      <c r="K421">
        <v>0.83704095000000001</v>
      </c>
      <c r="L421">
        <v>0.82153860000000001</v>
      </c>
      <c r="M421">
        <v>0.85447680000000004</v>
      </c>
      <c r="N421">
        <v>0.89155740000000006</v>
      </c>
      <c r="O421">
        <v>0.95384519999999995</v>
      </c>
      <c r="P421">
        <v>0.99752519989999999</v>
      </c>
      <c r="Q421">
        <v>1.0197144</v>
      </c>
      <c r="R421">
        <v>1.0128402000000001</v>
      </c>
      <c r="S421">
        <v>1.0042199999999999</v>
      </c>
      <c r="T421">
        <v>1.0085868</v>
      </c>
      <c r="U421">
        <v>0.88228994999999999</v>
      </c>
      <c r="V421">
        <v>0.88736519989999996</v>
      </c>
      <c r="W421">
        <v>1.0434994500000001</v>
      </c>
      <c r="X421">
        <v>1.092903</v>
      </c>
      <c r="Y421">
        <v>1.0978416</v>
      </c>
      <c r="Z421">
        <v>0.98542574999999999</v>
      </c>
      <c r="AA421">
        <v>0.97785224999999998</v>
      </c>
      <c r="AB421">
        <v>0.97609155000000003</v>
      </c>
    </row>
    <row r="422" spans="1:28" hidden="1" x14ac:dyDescent="0.25">
      <c r="A422" t="s">
        <v>7</v>
      </c>
      <c r="B422" t="s">
        <v>40</v>
      </c>
      <c r="C422">
        <v>115</v>
      </c>
      <c r="D422" t="s">
        <v>2</v>
      </c>
      <c r="E422">
        <v>5.5221562500000001</v>
      </c>
      <c r="F422">
        <v>6.2132913500000004</v>
      </c>
      <c r="G422">
        <v>6.4080652499999999</v>
      </c>
      <c r="H422">
        <v>5.9583044000000003</v>
      </c>
      <c r="I422">
        <v>4.1145420000000001</v>
      </c>
      <c r="J422">
        <v>5.0698935000000001</v>
      </c>
      <c r="K422">
        <v>5.1280479000000003</v>
      </c>
      <c r="L422">
        <v>4.5858841999999997</v>
      </c>
      <c r="M422">
        <v>4.2665471999999998</v>
      </c>
      <c r="N422">
        <v>3.9615714999999998</v>
      </c>
      <c r="O422">
        <v>3.87519685</v>
      </c>
      <c r="P422">
        <v>3.9333019999999999</v>
      </c>
      <c r="Q422">
        <v>3.9062736</v>
      </c>
      <c r="R422">
        <v>3.5514963000000002</v>
      </c>
      <c r="S422">
        <v>3.7233000000000001</v>
      </c>
      <c r="T422">
        <v>4.0054040000000004</v>
      </c>
      <c r="U422">
        <v>4.0254881500000002</v>
      </c>
      <c r="V422">
        <v>4.0887349999999998</v>
      </c>
      <c r="W422">
        <v>7.6346266500000004</v>
      </c>
      <c r="X422">
        <v>8.8957320000000006</v>
      </c>
      <c r="Y422">
        <v>8.8233935999999993</v>
      </c>
      <c r="Z422">
        <v>8.5808767499999998</v>
      </c>
      <c r="AA422">
        <v>8.7386245000000002</v>
      </c>
      <c r="AB422">
        <v>8.4345845500000003</v>
      </c>
    </row>
    <row r="423" spans="1:28" hidden="1" x14ac:dyDescent="0.25">
      <c r="A423" t="s">
        <v>7</v>
      </c>
      <c r="B423" t="s">
        <v>40</v>
      </c>
      <c r="C423">
        <v>115</v>
      </c>
      <c r="D423" t="s">
        <v>3</v>
      </c>
      <c r="E423">
        <v>3.1291062493999999</v>
      </c>
      <c r="F423">
        <v>3.1542118381000002</v>
      </c>
      <c r="G423">
        <v>3.2409740541000001</v>
      </c>
      <c r="H423">
        <v>2.9515748172</v>
      </c>
      <c r="I423">
        <v>2.1614656823999998</v>
      </c>
      <c r="J423">
        <v>2.5972431064000001</v>
      </c>
      <c r="K423">
        <v>2.7390580888999998</v>
      </c>
      <c r="L423">
        <v>2.4760707997</v>
      </c>
      <c r="M423">
        <v>2.1879429737999998</v>
      </c>
      <c r="N423">
        <v>2.0169442540999998</v>
      </c>
      <c r="O423">
        <v>2.0828591903000002</v>
      </c>
      <c r="P423">
        <v>2.1231853912999998</v>
      </c>
      <c r="Q423">
        <v>2.2130545506999999</v>
      </c>
      <c r="R423">
        <v>2.0130112012999999</v>
      </c>
      <c r="S423">
        <v>2.0101305709999999</v>
      </c>
      <c r="T423">
        <v>2.0519184332</v>
      </c>
      <c r="U423">
        <v>2.2773572342000001</v>
      </c>
      <c r="V423">
        <v>2.2167516287</v>
      </c>
      <c r="W423">
        <v>3.3598021471999999</v>
      </c>
      <c r="X423">
        <v>4.0706153578000004</v>
      </c>
      <c r="Y423">
        <v>4.0156869080000002</v>
      </c>
      <c r="Z423">
        <v>3.7464096794000001</v>
      </c>
      <c r="AA423">
        <v>3.8523731405000001</v>
      </c>
      <c r="AB423">
        <v>3.6480698316</v>
      </c>
    </row>
    <row r="424" spans="1:28" hidden="1" x14ac:dyDescent="0.25">
      <c r="A424" t="s">
        <v>7</v>
      </c>
      <c r="B424" t="s">
        <v>40</v>
      </c>
      <c r="C424">
        <v>115</v>
      </c>
      <c r="D424" t="s">
        <v>4</v>
      </c>
      <c r="E424">
        <v>8.4093749999999995E-2</v>
      </c>
      <c r="F424">
        <v>9.4618649999999999E-2</v>
      </c>
      <c r="G424">
        <v>9.7584749999999998E-2</v>
      </c>
      <c r="H424">
        <v>9.07356E-2</v>
      </c>
      <c r="I424">
        <v>6.2658000000000005E-2</v>
      </c>
      <c r="J424">
        <v>7.7206499999999997E-2</v>
      </c>
      <c r="K424">
        <v>7.8092099999999998E-2</v>
      </c>
      <c r="L424">
        <v>6.9835800000000003E-2</v>
      </c>
      <c r="M424">
        <v>6.4972799999999997E-2</v>
      </c>
      <c r="N424">
        <v>6.03285E-2</v>
      </c>
      <c r="O424">
        <v>5.901315E-2</v>
      </c>
      <c r="P424">
        <v>5.9898E-2</v>
      </c>
      <c r="Q424">
        <v>5.9486400000000002E-2</v>
      </c>
      <c r="R424">
        <v>5.4083699999999998E-2</v>
      </c>
      <c r="S424">
        <v>5.67E-2</v>
      </c>
      <c r="T424">
        <v>6.0996000000000002E-2</v>
      </c>
      <c r="U424">
        <v>6.1301849999999998E-2</v>
      </c>
      <c r="V424">
        <v>6.2265000000000001E-2</v>
      </c>
      <c r="W424">
        <v>0.11626335</v>
      </c>
      <c r="X424">
        <v>0.13546800000000001</v>
      </c>
      <c r="Y424">
        <v>0.1343664</v>
      </c>
      <c r="Z424">
        <v>0.13067324999999999</v>
      </c>
      <c r="AA424">
        <v>0.13307550000000001</v>
      </c>
      <c r="AB424">
        <v>0.12844544999999999</v>
      </c>
    </row>
    <row r="425" spans="1:28" hidden="1" x14ac:dyDescent="0.25">
      <c r="A425" t="s">
        <v>7</v>
      </c>
      <c r="B425" t="s">
        <v>41</v>
      </c>
      <c r="C425">
        <v>110</v>
      </c>
      <c r="D425" t="s">
        <v>2</v>
      </c>
      <c r="E425">
        <v>20.244705</v>
      </c>
      <c r="F425">
        <v>18.667325999999999</v>
      </c>
      <c r="G425">
        <v>18.025500000000001</v>
      </c>
      <c r="H425">
        <v>17.695446199999999</v>
      </c>
      <c r="I425">
        <v>17.120678999999999</v>
      </c>
      <c r="J425">
        <v>17.557841700000001</v>
      </c>
      <c r="K425">
        <v>18.370909950000001</v>
      </c>
      <c r="L425">
        <v>19.492362</v>
      </c>
      <c r="M425">
        <v>21.786624</v>
      </c>
      <c r="N425">
        <v>24.390432100000002</v>
      </c>
      <c r="O425">
        <v>26.471096849999999</v>
      </c>
      <c r="P425">
        <v>28.131915200000002</v>
      </c>
      <c r="Q425">
        <v>29.9842668</v>
      </c>
      <c r="R425">
        <v>30.301318599999998</v>
      </c>
      <c r="S425">
        <v>29.51454</v>
      </c>
      <c r="T425">
        <v>28.9567148</v>
      </c>
      <c r="U425">
        <v>28.374500999999999</v>
      </c>
      <c r="V425">
        <v>29.228614199999999</v>
      </c>
      <c r="W425">
        <v>34.079788450000002</v>
      </c>
      <c r="X425">
        <v>35.932603</v>
      </c>
      <c r="Y425">
        <v>35.334235200000002</v>
      </c>
      <c r="Z425">
        <v>29.847568500000001</v>
      </c>
      <c r="AA425">
        <v>25.884027</v>
      </c>
      <c r="AB425">
        <v>22.108679599999999</v>
      </c>
    </row>
    <row r="426" spans="1:28" hidden="1" x14ac:dyDescent="0.25">
      <c r="A426" t="s">
        <v>7</v>
      </c>
      <c r="B426" t="s">
        <v>41</v>
      </c>
      <c r="C426">
        <v>110</v>
      </c>
      <c r="D426" t="s">
        <v>3</v>
      </c>
      <c r="E426">
        <v>8.6119976398000002</v>
      </c>
      <c r="F426">
        <v>8.3834133132000002</v>
      </c>
      <c r="G426">
        <v>8.2577514763999993</v>
      </c>
      <c r="H426">
        <v>8.7861671492000006</v>
      </c>
      <c r="I426">
        <v>8.9821493384999993</v>
      </c>
      <c r="J426">
        <v>7.8418283579999999</v>
      </c>
      <c r="K426">
        <v>8.9660069840999999</v>
      </c>
      <c r="L426">
        <v>8.6846135000999993</v>
      </c>
      <c r="M426">
        <v>11.1555856368</v>
      </c>
      <c r="N426">
        <v>11.835612623999999</v>
      </c>
      <c r="O426">
        <v>11.448309234</v>
      </c>
      <c r="P426">
        <v>11.226096571399999</v>
      </c>
      <c r="Q426">
        <v>12.794927842</v>
      </c>
      <c r="R426">
        <v>13.0993792542</v>
      </c>
      <c r="S426">
        <v>13.455816739799999</v>
      </c>
      <c r="T426">
        <v>12.3154228122</v>
      </c>
      <c r="U426">
        <v>13.672403467500001</v>
      </c>
      <c r="V426">
        <v>12.0728162215</v>
      </c>
      <c r="W426">
        <v>16.179867582300002</v>
      </c>
      <c r="X426">
        <v>16.566527679299998</v>
      </c>
      <c r="Y426">
        <v>16.160444557400002</v>
      </c>
      <c r="Z426">
        <v>13.9162397407</v>
      </c>
      <c r="AA426">
        <v>12.583820019499999</v>
      </c>
      <c r="AB426">
        <v>9.1637739488999994</v>
      </c>
    </row>
    <row r="427" spans="1:28" hidden="1" x14ac:dyDescent="0.25">
      <c r="A427" t="s">
        <v>7</v>
      </c>
      <c r="B427" t="s">
        <v>41</v>
      </c>
      <c r="C427">
        <v>110</v>
      </c>
      <c r="D427" t="s">
        <v>4</v>
      </c>
      <c r="E427">
        <v>0.30829499999999999</v>
      </c>
      <c r="F427">
        <v>0.28427400000000003</v>
      </c>
      <c r="G427">
        <v>0.27450000000000002</v>
      </c>
      <c r="H427">
        <v>0.26947379999999999</v>
      </c>
      <c r="I427">
        <v>0.26072099999999998</v>
      </c>
      <c r="J427">
        <v>0.26737830000000001</v>
      </c>
      <c r="K427">
        <v>0.27976004999999998</v>
      </c>
      <c r="L427">
        <v>0.29683799999999999</v>
      </c>
      <c r="M427">
        <v>0.33177600000000002</v>
      </c>
      <c r="N427">
        <v>0.37142789999999998</v>
      </c>
      <c r="O427">
        <v>0.40311314999999998</v>
      </c>
      <c r="P427">
        <v>0.42840479999999997</v>
      </c>
      <c r="Q427">
        <v>0.4566132</v>
      </c>
      <c r="R427">
        <v>0.4614414</v>
      </c>
      <c r="S427">
        <v>0.44946000000000003</v>
      </c>
      <c r="T427">
        <v>0.4409652</v>
      </c>
      <c r="U427">
        <v>0.43209900000000001</v>
      </c>
      <c r="V427">
        <v>0.4451058</v>
      </c>
      <c r="W427">
        <v>0.51898155000000001</v>
      </c>
      <c r="X427">
        <v>0.54719700000000004</v>
      </c>
      <c r="Y427">
        <v>0.53808480000000003</v>
      </c>
      <c r="Z427">
        <v>0.45453149999999998</v>
      </c>
      <c r="AA427">
        <v>0.394173</v>
      </c>
      <c r="AB427">
        <v>0.33668039999999999</v>
      </c>
    </row>
    <row r="428" spans="1:28" hidden="1" x14ac:dyDescent="0.25">
      <c r="A428" t="s">
        <v>7</v>
      </c>
      <c r="B428" t="s">
        <v>42</v>
      </c>
      <c r="C428">
        <v>110</v>
      </c>
      <c r="D428" t="s">
        <v>2</v>
      </c>
      <c r="E428">
        <v>23.05860375</v>
      </c>
      <c r="F428">
        <v>20.79942745</v>
      </c>
      <c r="G428">
        <v>21.225026249999999</v>
      </c>
      <c r="H428">
        <v>21.253742849999998</v>
      </c>
      <c r="I428">
        <v>20.480902</v>
      </c>
      <c r="J428">
        <v>20.577707799999999</v>
      </c>
      <c r="K428">
        <v>21.225325600000001</v>
      </c>
      <c r="L428">
        <v>21.102600599999999</v>
      </c>
      <c r="M428">
        <v>21.766451199999999</v>
      </c>
      <c r="N428">
        <v>24.808003150000001</v>
      </c>
      <c r="O428">
        <v>27.363634900000001</v>
      </c>
      <c r="P428">
        <v>29.552600399999999</v>
      </c>
      <c r="Q428">
        <v>30.177169200000002</v>
      </c>
      <c r="R428">
        <v>30.0502027</v>
      </c>
      <c r="S428">
        <v>30.176459999999999</v>
      </c>
      <c r="T428">
        <v>30.134774799999999</v>
      </c>
      <c r="U428">
        <v>30.023913050000001</v>
      </c>
      <c r="V428">
        <v>30.478598900000001</v>
      </c>
      <c r="W428">
        <v>32.5043893</v>
      </c>
      <c r="X428">
        <v>35.792732999999998</v>
      </c>
      <c r="Y428">
        <v>35.659521599999998</v>
      </c>
      <c r="Z428">
        <v>30.7571175</v>
      </c>
      <c r="AA428">
        <v>28.715783800000001</v>
      </c>
      <c r="AB428">
        <v>25.8071576</v>
      </c>
    </row>
    <row r="429" spans="1:28" hidden="1" x14ac:dyDescent="0.25">
      <c r="A429" t="s">
        <v>7</v>
      </c>
      <c r="B429" t="s">
        <v>42</v>
      </c>
      <c r="C429">
        <v>110</v>
      </c>
      <c r="D429" t="s">
        <v>3</v>
      </c>
      <c r="E429">
        <v>10.3094727104</v>
      </c>
      <c r="F429">
        <v>10.1489071839</v>
      </c>
      <c r="G429">
        <v>10.356574569499999</v>
      </c>
      <c r="H429">
        <v>10.370586595000001</v>
      </c>
      <c r="I429">
        <v>9.9934853467</v>
      </c>
      <c r="J429">
        <v>10.040720929600001</v>
      </c>
      <c r="K429">
        <v>10.3567206348</v>
      </c>
      <c r="L429">
        <v>10.296837994400001</v>
      </c>
      <c r="M429">
        <v>10.567236494799999</v>
      </c>
      <c r="N429">
        <v>10.4571653433</v>
      </c>
      <c r="O429">
        <v>10.445154452000001</v>
      </c>
      <c r="P429">
        <v>13.7744557365</v>
      </c>
      <c r="Q429">
        <v>14.5727078388</v>
      </c>
      <c r="R429">
        <v>14.605855568300001</v>
      </c>
      <c r="S429">
        <v>14.667222738</v>
      </c>
      <c r="T429">
        <v>14.901693094500001</v>
      </c>
      <c r="U429">
        <v>14.846871786299999</v>
      </c>
      <c r="V429">
        <v>15.0717146477</v>
      </c>
      <c r="W429">
        <v>15.5607760149</v>
      </c>
      <c r="X429">
        <v>15.4915336862</v>
      </c>
      <c r="Y429">
        <v>15.433878159100001</v>
      </c>
      <c r="Z429">
        <v>14.3916615027</v>
      </c>
      <c r="AA429">
        <v>14.5210365967</v>
      </c>
      <c r="AB429">
        <v>12.677514646600001</v>
      </c>
    </row>
    <row r="430" spans="1:28" hidden="1" x14ac:dyDescent="0.25">
      <c r="A430" t="s">
        <v>7</v>
      </c>
      <c r="B430" t="s">
        <v>42</v>
      </c>
      <c r="C430">
        <v>110</v>
      </c>
      <c r="D430" t="s">
        <v>4</v>
      </c>
      <c r="E430">
        <v>0.35114624999999999</v>
      </c>
      <c r="F430">
        <v>0.31674255000000001</v>
      </c>
      <c r="G430">
        <v>0.32322374999999998</v>
      </c>
      <c r="H430">
        <v>0.3236610586</v>
      </c>
      <c r="I430">
        <v>0.31189190859999999</v>
      </c>
      <c r="J430">
        <v>0.31336610860000003</v>
      </c>
      <c r="K430">
        <v>0.32322830860000001</v>
      </c>
      <c r="L430">
        <v>0.32135940000000002</v>
      </c>
      <c r="M430">
        <v>0.33146880000000001</v>
      </c>
      <c r="N430">
        <v>0.37778685000000001</v>
      </c>
      <c r="O430">
        <v>0.41670509999999999</v>
      </c>
      <c r="P430">
        <v>0.45003959999999998</v>
      </c>
      <c r="Q430">
        <v>0.45955079999999998</v>
      </c>
      <c r="R430">
        <v>0.4576173</v>
      </c>
      <c r="S430">
        <v>0.45954</v>
      </c>
      <c r="T430">
        <v>0.45890520000000001</v>
      </c>
      <c r="U430">
        <v>0.45721695000000001</v>
      </c>
      <c r="V430">
        <v>0.46414109999999997</v>
      </c>
      <c r="W430">
        <v>0.49499070000000001</v>
      </c>
      <c r="X430">
        <v>0.54506699999999997</v>
      </c>
      <c r="Y430">
        <v>0.54303840000000003</v>
      </c>
      <c r="Z430">
        <v>0.46838249999999998</v>
      </c>
      <c r="AA430">
        <v>0.43729620000000002</v>
      </c>
      <c r="AB430">
        <v>0.39300239999999997</v>
      </c>
    </row>
    <row r="431" spans="1:28" hidden="1" x14ac:dyDescent="0.25">
      <c r="A431" t="s">
        <v>7</v>
      </c>
      <c r="B431" t="s">
        <v>43</v>
      </c>
      <c r="C431">
        <v>110</v>
      </c>
      <c r="D431" t="s">
        <v>2</v>
      </c>
      <c r="E431">
        <v>8.3744700000000005</v>
      </c>
      <c r="F431">
        <v>7.8695589999999997</v>
      </c>
      <c r="G431">
        <v>7.246251</v>
      </c>
      <c r="H431">
        <v>7.3671203500000004</v>
      </c>
      <c r="I431">
        <v>7.0696897500000002</v>
      </c>
      <c r="J431">
        <v>4.3672240499999999</v>
      </c>
      <c r="K431">
        <v>5.4405096000000004</v>
      </c>
      <c r="L431">
        <v>7.2978649999999998</v>
      </c>
      <c r="M431">
        <v>9.5114751999999996</v>
      </c>
      <c r="N431">
        <v>10.48210405</v>
      </c>
      <c r="O431">
        <v>11.1849705</v>
      </c>
      <c r="P431">
        <v>12.1404008</v>
      </c>
      <c r="Q431">
        <v>12.297528</v>
      </c>
      <c r="R431">
        <v>11.4915419</v>
      </c>
      <c r="S431">
        <v>10.53162</v>
      </c>
      <c r="T431">
        <v>9.7543368000000008</v>
      </c>
      <c r="U431">
        <v>9.5850448499999992</v>
      </c>
      <c r="V431">
        <v>9.4858651999999992</v>
      </c>
      <c r="W431">
        <v>14.3805666</v>
      </c>
      <c r="X431">
        <v>14.812233000000001</v>
      </c>
      <c r="Y431">
        <v>13.282527999999999</v>
      </c>
      <c r="Z431">
        <v>11.824137</v>
      </c>
      <c r="AA431">
        <v>6.9466533999999998</v>
      </c>
      <c r="AB431">
        <v>5.2395104999999997</v>
      </c>
    </row>
    <row r="432" spans="1:28" hidden="1" x14ac:dyDescent="0.25">
      <c r="A432" t="s">
        <v>7</v>
      </c>
      <c r="B432" t="s">
        <v>43</v>
      </c>
      <c r="C432">
        <v>110</v>
      </c>
      <c r="D432" t="s">
        <v>3</v>
      </c>
      <c r="E432">
        <v>3.7442149951000001</v>
      </c>
      <c r="F432">
        <v>3.990432582</v>
      </c>
      <c r="G432">
        <v>3.6422896367000002</v>
      </c>
      <c r="H432">
        <v>3.9064456542000001</v>
      </c>
      <c r="I432">
        <v>3.3598695346</v>
      </c>
      <c r="J432">
        <v>2.2986374196999999</v>
      </c>
      <c r="K432">
        <v>2.4968022167999999</v>
      </c>
      <c r="L432">
        <v>3.2720850010999998</v>
      </c>
      <c r="M432">
        <v>3.5506878542</v>
      </c>
      <c r="N432">
        <v>4.2559721061999998</v>
      </c>
      <c r="O432">
        <v>4.7411430782000004</v>
      </c>
      <c r="P432">
        <v>4.7071665530000004</v>
      </c>
      <c r="Q432">
        <v>5.0143730535</v>
      </c>
      <c r="R432">
        <v>5.0117331055000003</v>
      </c>
      <c r="S432">
        <v>4.9753354793</v>
      </c>
      <c r="T432">
        <v>4.5675489539000003</v>
      </c>
      <c r="U432">
        <v>4.4849690796999999</v>
      </c>
      <c r="V432">
        <v>4.4508309730000004</v>
      </c>
      <c r="W432">
        <v>4.8002542574999998</v>
      </c>
      <c r="X432">
        <v>4.4215064016000003</v>
      </c>
      <c r="Y432">
        <v>3.5162536587000002</v>
      </c>
      <c r="Z432">
        <v>2.9582350470000001</v>
      </c>
      <c r="AA432">
        <v>2.2235357654999999</v>
      </c>
      <c r="AB432">
        <v>2.6588474672000002</v>
      </c>
    </row>
    <row r="433" spans="1:28" hidden="1" x14ac:dyDescent="0.25">
      <c r="A433" t="s">
        <v>7</v>
      </c>
      <c r="B433" t="s">
        <v>43</v>
      </c>
      <c r="C433">
        <v>110</v>
      </c>
      <c r="D433" t="s">
        <v>4</v>
      </c>
      <c r="E433">
        <v>0.12753</v>
      </c>
      <c r="F433">
        <v>0.119841</v>
      </c>
      <c r="G433">
        <v>0.110349</v>
      </c>
      <c r="H433">
        <v>0.11218965</v>
      </c>
      <c r="I433">
        <v>0.10766025</v>
      </c>
      <c r="J433">
        <v>6.6505949999999994E-2</v>
      </c>
      <c r="K433">
        <v>8.2850400000000005E-2</v>
      </c>
      <c r="L433">
        <v>0.111135</v>
      </c>
      <c r="M433">
        <v>0.1448448</v>
      </c>
      <c r="N433">
        <v>0.15962594999999999</v>
      </c>
      <c r="O433">
        <v>0.17032949999999999</v>
      </c>
      <c r="P433">
        <v>0.18487919999999999</v>
      </c>
      <c r="Q433">
        <v>0.18727199999999999</v>
      </c>
      <c r="R433">
        <v>0.17499809999999999</v>
      </c>
      <c r="S433">
        <v>0.16037999999999999</v>
      </c>
      <c r="T433">
        <v>0.14854319999999999</v>
      </c>
      <c r="U433">
        <v>0.14596514999999999</v>
      </c>
      <c r="V433">
        <v>0.14445479999999999</v>
      </c>
      <c r="W433">
        <v>0.2189934</v>
      </c>
      <c r="X433">
        <v>0.22556699999999999</v>
      </c>
      <c r="Y433">
        <v>0.20227200000000001</v>
      </c>
      <c r="Z433">
        <v>0.180063</v>
      </c>
      <c r="AA433">
        <v>0.10578659999999999</v>
      </c>
      <c r="AB433">
        <v>7.9789499999999999E-2</v>
      </c>
    </row>
    <row r="434" spans="1:28" hidden="1" x14ac:dyDescent="0.25">
      <c r="A434" t="s">
        <v>7</v>
      </c>
      <c r="B434" t="s">
        <v>44</v>
      </c>
      <c r="C434">
        <v>110</v>
      </c>
      <c r="D434" t="s">
        <v>2</v>
      </c>
      <c r="E434">
        <v>2.3529187500000002</v>
      </c>
      <c r="F434">
        <v>2.35171705</v>
      </c>
      <c r="G434">
        <v>2.3973914999999999</v>
      </c>
      <c r="H434">
        <v>2.41383115</v>
      </c>
      <c r="I434">
        <v>2.31007125</v>
      </c>
      <c r="J434">
        <v>2.2681102499999999</v>
      </c>
      <c r="K434">
        <v>2.2975124999999998</v>
      </c>
      <c r="L434">
        <v>2.1846511999999998</v>
      </c>
      <c r="M434">
        <v>2.1484032000000002</v>
      </c>
      <c r="N434">
        <v>2.1413899999999999</v>
      </c>
      <c r="O434">
        <v>2.1127166499999999</v>
      </c>
      <c r="P434">
        <v>2.0781923999999998</v>
      </c>
      <c r="Q434">
        <v>2.1098699999999999</v>
      </c>
      <c r="R434">
        <v>2.1404641</v>
      </c>
      <c r="S434">
        <v>2.15124</v>
      </c>
      <c r="T434">
        <v>2.1558497999999999</v>
      </c>
      <c r="U434">
        <v>2.1569234499999999</v>
      </c>
      <c r="V434">
        <v>2.1261421999999999</v>
      </c>
      <c r="W434">
        <v>2.2755765499999998</v>
      </c>
      <c r="X434">
        <v>2.3917769999999998</v>
      </c>
      <c r="Y434">
        <v>2.4260944000000002</v>
      </c>
      <c r="Z434">
        <v>2.2379692499999999</v>
      </c>
      <c r="AA434">
        <v>2.22337155</v>
      </c>
      <c r="AB434">
        <v>2.2293603499999999</v>
      </c>
    </row>
    <row r="435" spans="1:28" hidden="1" x14ac:dyDescent="0.25">
      <c r="A435" t="s">
        <v>7</v>
      </c>
      <c r="B435" t="s">
        <v>44</v>
      </c>
      <c r="C435">
        <v>110</v>
      </c>
      <c r="D435" t="s">
        <v>3</v>
      </c>
      <c r="E435">
        <v>0.90109331270000004</v>
      </c>
      <c r="F435">
        <v>0.90920379039999999</v>
      </c>
      <c r="G435">
        <v>0.95795808319999998</v>
      </c>
      <c r="H435">
        <v>0.91300039639999997</v>
      </c>
      <c r="I435">
        <v>0.7862464871</v>
      </c>
      <c r="J435">
        <v>0.69347123479999995</v>
      </c>
      <c r="K435">
        <v>0.64910908339999995</v>
      </c>
      <c r="L435">
        <v>0.70353612880000005</v>
      </c>
      <c r="M435">
        <v>0.75156404720000003</v>
      </c>
      <c r="N435">
        <v>0.80558678949999996</v>
      </c>
      <c r="O435">
        <v>0.80652693399999997</v>
      </c>
      <c r="P435">
        <v>0.79708064150000002</v>
      </c>
      <c r="Q435">
        <v>0.83917348120000002</v>
      </c>
      <c r="R435">
        <v>0.85462502600000001</v>
      </c>
      <c r="S435">
        <v>0.83894644480000002</v>
      </c>
      <c r="T435">
        <v>0.81862255350000002</v>
      </c>
      <c r="U435">
        <v>0.80596450760000005</v>
      </c>
      <c r="V435">
        <v>0.73674410469999996</v>
      </c>
      <c r="W435">
        <v>0.68994899399999998</v>
      </c>
      <c r="X435">
        <v>0.76946273740000004</v>
      </c>
      <c r="Y435">
        <v>0.76509496929999998</v>
      </c>
      <c r="Z435">
        <v>0.73072922549999997</v>
      </c>
      <c r="AA435">
        <v>0.77499019459999996</v>
      </c>
      <c r="AB435">
        <v>0.8015835737</v>
      </c>
    </row>
    <row r="436" spans="1:28" hidden="1" x14ac:dyDescent="0.25">
      <c r="A436" t="s">
        <v>7</v>
      </c>
      <c r="B436" t="s">
        <v>44</v>
      </c>
      <c r="C436">
        <v>110</v>
      </c>
      <c r="D436" t="s">
        <v>4</v>
      </c>
      <c r="E436">
        <v>3.5831250000000002E-2</v>
      </c>
      <c r="F436">
        <v>3.5812950000000003E-2</v>
      </c>
      <c r="G436">
        <v>3.6508499999999999E-2</v>
      </c>
      <c r="H436">
        <v>3.6758850000000003E-2</v>
      </c>
      <c r="I436">
        <v>3.5178750000000002E-2</v>
      </c>
      <c r="J436">
        <v>3.4539750000000001E-2</v>
      </c>
      <c r="K436">
        <v>3.4987499999999998E-2</v>
      </c>
      <c r="L436">
        <v>3.3268800000000001E-2</v>
      </c>
      <c r="M436">
        <v>3.2716799999999997E-2</v>
      </c>
      <c r="N436">
        <v>3.261E-2</v>
      </c>
      <c r="O436">
        <v>3.2173350000000003E-2</v>
      </c>
      <c r="P436">
        <v>3.1647599999999998E-2</v>
      </c>
      <c r="Q436">
        <v>3.2129999999999999E-2</v>
      </c>
      <c r="R436">
        <v>3.2595899999999997E-2</v>
      </c>
      <c r="S436">
        <v>3.2759999999999997E-2</v>
      </c>
      <c r="T436">
        <v>3.2830199999999997E-2</v>
      </c>
      <c r="U436">
        <v>3.2846550000000002E-2</v>
      </c>
      <c r="V436">
        <v>3.2377799999999998E-2</v>
      </c>
      <c r="W436">
        <v>3.4653450000000002E-2</v>
      </c>
      <c r="X436">
        <v>3.6422999999999997E-2</v>
      </c>
      <c r="Y436">
        <v>3.6945600000000002E-2</v>
      </c>
      <c r="Z436">
        <v>3.408075E-2</v>
      </c>
      <c r="AA436">
        <v>3.3858449999999998E-2</v>
      </c>
      <c r="AB436">
        <v>3.3949649999999998E-2</v>
      </c>
    </row>
    <row r="437" spans="1:28" hidden="1" x14ac:dyDescent="0.25">
      <c r="A437" t="s">
        <v>7</v>
      </c>
      <c r="B437" t="s">
        <v>45</v>
      </c>
      <c r="C437">
        <v>220</v>
      </c>
      <c r="D437" t="s">
        <v>2</v>
      </c>
      <c r="E437">
        <v>16.818750000000001</v>
      </c>
      <c r="F437">
        <v>14.64104</v>
      </c>
      <c r="G437">
        <v>14.246549999999999</v>
      </c>
      <c r="H437">
        <v>15.350350000000001</v>
      </c>
      <c r="I437">
        <v>14.806050000000001</v>
      </c>
      <c r="J437">
        <v>14.95368</v>
      </c>
      <c r="K437">
        <v>15.41316</v>
      </c>
      <c r="L437">
        <v>14.818</v>
      </c>
      <c r="M437">
        <v>15.38048</v>
      </c>
      <c r="N437">
        <v>15.261480000000001</v>
      </c>
      <c r="O437">
        <v>15.20922</v>
      </c>
      <c r="P437">
        <v>15.162240000000001</v>
      </c>
      <c r="Q437">
        <v>15.16536</v>
      </c>
      <c r="R437">
        <v>15.223560000000001</v>
      </c>
      <c r="S437">
        <v>15.504</v>
      </c>
      <c r="T437">
        <v>15.73936</v>
      </c>
      <c r="U437">
        <v>15.8085</v>
      </c>
      <c r="V437">
        <v>15.92798</v>
      </c>
      <c r="W437">
        <v>19.261030000000002</v>
      </c>
      <c r="X437">
        <v>20.036200000000001</v>
      </c>
      <c r="Y437">
        <v>20.103359999999999</v>
      </c>
      <c r="Z437">
        <v>18.4437</v>
      </c>
      <c r="AA437">
        <v>18.54073</v>
      </c>
      <c r="AB437">
        <v>18.700990000000001</v>
      </c>
    </row>
    <row r="438" spans="1:28" hidden="1" x14ac:dyDescent="0.25">
      <c r="A438" t="s">
        <v>7</v>
      </c>
      <c r="B438" t="s">
        <v>45</v>
      </c>
      <c r="C438">
        <v>220</v>
      </c>
      <c r="D438" t="s">
        <v>3</v>
      </c>
      <c r="E438">
        <v>7.5926420056000001</v>
      </c>
      <c r="F438">
        <v>6.3021971664000001</v>
      </c>
      <c r="G438">
        <v>5.8284396566999996</v>
      </c>
      <c r="H438">
        <v>6.3055438173000002</v>
      </c>
      <c r="I438">
        <v>6.0673756150000004</v>
      </c>
      <c r="J438">
        <v>6.6302655870000002</v>
      </c>
      <c r="K438">
        <v>6.8785114377000003</v>
      </c>
      <c r="L438">
        <v>6.982470095</v>
      </c>
      <c r="M438">
        <v>6.9532468831000003</v>
      </c>
      <c r="N438">
        <v>6.8994490576</v>
      </c>
      <c r="O438">
        <v>6.8758232227000002</v>
      </c>
      <c r="P438">
        <v>6.8545843836999998</v>
      </c>
      <c r="Q438">
        <v>6.8559948813</v>
      </c>
      <c r="R438">
        <v>6.8823060866999999</v>
      </c>
      <c r="S438">
        <v>7.0090881217999996</v>
      </c>
      <c r="T438">
        <v>7.1154902748</v>
      </c>
      <c r="U438">
        <v>7.1896675243999999</v>
      </c>
      <c r="V438">
        <v>7.3023974874000004</v>
      </c>
      <c r="W438">
        <v>9.2010551096000004</v>
      </c>
      <c r="X438">
        <v>9.8104131218999999</v>
      </c>
      <c r="Y438">
        <v>9.6131744085000008</v>
      </c>
      <c r="Z438">
        <v>8.9410478951000005</v>
      </c>
      <c r="AA438">
        <v>9.0274176735000005</v>
      </c>
      <c r="AB438">
        <v>9.1054477164000005</v>
      </c>
    </row>
    <row r="439" spans="1:28" hidden="1" x14ac:dyDescent="0.25">
      <c r="A439" t="s">
        <v>7</v>
      </c>
      <c r="B439" t="s">
        <v>45</v>
      </c>
      <c r="C439">
        <v>220</v>
      </c>
      <c r="D439" t="s">
        <v>4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</row>
    <row r="440" spans="1:28" hidden="1" x14ac:dyDescent="0.25">
      <c r="A440" t="s">
        <v>7</v>
      </c>
      <c r="B440" t="s">
        <v>46</v>
      </c>
      <c r="C440">
        <v>110</v>
      </c>
      <c r="D440" t="s">
        <v>2</v>
      </c>
      <c r="E440">
        <v>22.261492499999999</v>
      </c>
      <c r="F440">
        <v>20.424250799999999</v>
      </c>
      <c r="G440">
        <v>18.512188500000001</v>
      </c>
      <c r="H440">
        <v>19.005555300000001</v>
      </c>
      <c r="I440">
        <v>18.288790500000001</v>
      </c>
      <c r="J440">
        <v>18.98986425</v>
      </c>
      <c r="K440">
        <v>19.032593550000001</v>
      </c>
      <c r="L440">
        <v>19.812526399999999</v>
      </c>
      <c r="M440">
        <v>23.188633599999999</v>
      </c>
      <c r="N440">
        <v>26.681719399999999</v>
      </c>
      <c r="O440">
        <v>28.798474550000002</v>
      </c>
      <c r="P440">
        <v>30.703237999999999</v>
      </c>
      <c r="Q440">
        <v>31.274301600000001</v>
      </c>
      <c r="R440">
        <v>32.429824799999999</v>
      </c>
      <c r="S440">
        <v>32.079479999999997</v>
      </c>
      <c r="T440">
        <v>31.1479064</v>
      </c>
      <c r="U440">
        <v>29.5510047</v>
      </c>
      <c r="V440">
        <v>30.8641082</v>
      </c>
      <c r="W440">
        <v>36.220715499999997</v>
      </c>
      <c r="X440">
        <v>39.163600000000002</v>
      </c>
      <c r="Y440">
        <v>37.218185599999998</v>
      </c>
      <c r="Z440">
        <v>32.025699000000003</v>
      </c>
      <c r="AA440">
        <v>28.151644749999999</v>
      </c>
      <c r="AB440">
        <v>23.865456649999999</v>
      </c>
    </row>
    <row r="441" spans="1:28" hidden="1" x14ac:dyDescent="0.25">
      <c r="A441" t="s">
        <v>7</v>
      </c>
      <c r="B441" t="s">
        <v>46</v>
      </c>
      <c r="C441">
        <v>110</v>
      </c>
      <c r="D441" t="s">
        <v>3</v>
      </c>
      <c r="E441">
        <v>10.8107197264</v>
      </c>
      <c r="F441">
        <v>8.7921773232000007</v>
      </c>
      <c r="G441">
        <v>8.9658620987000006</v>
      </c>
      <c r="H441">
        <v>8.0676582027000006</v>
      </c>
      <c r="I441">
        <v>7.8124782063999998</v>
      </c>
      <c r="J441">
        <v>9.0704362544000006</v>
      </c>
      <c r="K441">
        <v>7.9381971168999996</v>
      </c>
      <c r="L441">
        <v>9.1201057047000003</v>
      </c>
      <c r="M441">
        <v>11.176856877400001</v>
      </c>
      <c r="N441">
        <v>12.097418708099999</v>
      </c>
      <c r="O441">
        <v>13.1092271371</v>
      </c>
      <c r="P441">
        <v>14.1866636304</v>
      </c>
      <c r="Q441">
        <v>15.0101582098</v>
      </c>
      <c r="R441">
        <v>15.158482909</v>
      </c>
      <c r="S441">
        <v>14.337979583899999</v>
      </c>
      <c r="T441">
        <v>15.8383623825</v>
      </c>
      <c r="U441">
        <v>13.637161773900001</v>
      </c>
      <c r="V441">
        <v>15.022394825799999</v>
      </c>
      <c r="W441">
        <v>14.303946395700001</v>
      </c>
      <c r="X441">
        <v>15.702929148400001</v>
      </c>
      <c r="Y441">
        <v>15.4970047868</v>
      </c>
      <c r="Z441">
        <v>13.0289284497</v>
      </c>
      <c r="AA441">
        <v>11.722714153</v>
      </c>
      <c r="AB441">
        <v>11.553836351999999</v>
      </c>
    </row>
    <row r="442" spans="1:28" hidden="1" x14ac:dyDescent="0.25">
      <c r="A442" t="s">
        <v>7</v>
      </c>
      <c r="B442" t="s">
        <v>46</v>
      </c>
      <c r="C442">
        <v>110</v>
      </c>
      <c r="D442" t="s">
        <v>4</v>
      </c>
      <c r="E442">
        <v>0.33900750000000002</v>
      </c>
      <c r="F442">
        <v>0.31102920000000001</v>
      </c>
      <c r="G442">
        <v>0.28191149999999998</v>
      </c>
      <c r="H442">
        <v>0.28942469999999998</v>
      </c>
      <c r="I442">
        <v>0.27850950000000002</v>
      </c>
      <c r="J442">
        <v>0.28918575000000002</v>
      </c>
      <c r="K442">
        <v>0.28983645000000002</v>
      </c>
      <c r="L442">
        <v>0.30171360000000003</v>
      </c>
      <c r="M442">
        <v>0.35312640000000001</v>
      </c>
      <c r="N442">
        <v>0.40632059999999998</v>
      </c>
      <c r="O442">
        <v>0.43855545000000001</v>
      </c>
      <c r="P442">
        <v>0.46756199999999998</v>
      </c>
      <c r="Q442">
        <v>0.47625840000000003</v>
      </c>
      <c r="R442">
        <v>0.49385519999999999</v>
      </c>
      <c r="S442">
        <v>0.48852000000000001</v>
      </c>
      <c r="T442">
        <v>0.47433360000000002</v>
      </c>
      <c r="U442">
        <v>0.45001530000000001</v>
      </c>
      <c r="V442">
        <v>0.47001179999999998</v>
      </c>
      <c r="W442">
        <v>0.55158450000000003</v>
      </c>
      <c r="X442">
        <v>0.59640000000000004</v>
      </c>
      <c r="Y442">
        <v>0.56677440000000001</v>
      </c>
      <c r="Z442">
        <v>0.487701</v>
      </c>
      <c r="AA442">
        <v>0.42870524999999998</v>
      </c>
      <c r="AB442">
        <v>0.36343334999999999</v>
      </c>
    </row>
    <row r="443" spans="1:28" hidden="1" x14ac:dyDescent="0.25">
      <c r="A443" t="s">
        <v>7</v>
      </c>
      <c r="B443" t="s">
        <v>47</v>
      </c>
      <c r="C443">
        <v>110</v>
      </c>
      <c r="D443" t="s">
        <v>2</v>
      </c>
      <c r="E443">
        <v>5.5125525</v>
      </c>
      <c r="F443">
        <v>5.4995406500000001</v>
      </c>
      <c r="G443">
        <v>5.70507075</v>
      </c>
      <c r="H443">
        <v>5.7070505999999996</v>
      </c>
      <c r="I443">
        <v>5.5964745000000002</v>
      </c>
      <c r="J443">
        <v>5.6836174499999998</v>
      </c>
      <c r="K443">
        <v>5.7621613500000004</v>
      </c>
      <c r="L443">
        <v>5.5463773999999999</v>
      </c>
      <c r="M443">
        <v>5.7089024000000004</v>
      </c>
      <c r="N443">
        <v>5.7924599499999996</v>
      </c>
      <c r="O443">
        <v>5.5585914000000001</v>
      </c>
      <c r="P443">
        <v>5.4596580000000001</v>
      </c>
      <c r="Q443">
        <v>5.4133236</v>
      </c>
      <c r="R443">
        <v>5.5962972000000004</v>
      </c>
      <c r="S443">
        <v>5.6381399999999999</v>
      </c>
      <c r="T443">
        <v>5.8431775999999997</v>
      </c>
      <c r="U443">
        <v>5.7787093499999997</v>
      </c>
      <c r="V443">
        <v>5.8994605</v>
      </c>
      <c r="W443">
        <v>6.0592275000000004</v>
      </c>
      <c r="X443">
        <v>6.0563710000000004</v>
      </c>
      <c r="Y443">
        <v>5.9364768000000003</v>
      </c>
      <c r="Z443">
        <v>5.4094230000000003</v>
      </c>
      <c r="AA443">
        <v>5.5086519000000003</v>
      </c>
      <c r="AB443">
        <v>5.5682641000000004</v>
      </c>
    </row>
    <row r="444" spans="1:28" hidden="1" x14ac:dyDescent="0.25">
      <c r="A444" t="s">
        <v>7</v>
      </c>
      <c r="B444" t="s">
        <v>47</v>
      </c>
      <c r="C444">
        <v>110</v>
      </c>
      <c r="D444" t="s">
        <v>3</v>
      </c>
      <c r="E444">
        <v>1.0060930813</v>
      </c>
      <c r="F444">
        <v>0.97810149339999997</v>
      </c>
      <c r="G444">
        <v>0.9742606627</v>
      </c>
      <c r="H444">
        <v>0.9714538466</v>
      </c>
      <c r="I444">
        <v>0.96219645450000002</v>
      </c>
      <c r="J444">
        <v>1.0343662292</v>
      </c>
      <c r="K444">
        <v>1.1054614250999999</v>
      </c>
      <c r="L444">
        <v>1.089431775</v>
      </c>
      <c r="M444">
        <v>1.1538542518999999</v>
      </c>
      <c r="N444">
        <v>1.2085517216999999</v>
      </c>
      <c r="O444">
        <v>1.2736426299000001</v>
      </c>
      <c r="P444">
        <v>1.2155547801</v>
      </c>
      <c r="Q444">
        <v>1.1791123165999999</v>
      </c>
      <c r="R444">
        <v>1.1627542456</v>
      </c>
      <c r="S444">
        <v>1.1717370771</v>
      </c>
      <c r="T444">
        <v>1.2017090439</v>
      </c>
      <c r="U444">
        <v>1.1703898913999999</v>
      </c>
      <c r="V444">
        <v>1.1676560129</v>
      </c>
      <c r="W444">
        <v>1.119736802</v>
      </c>
      <c r="X444">
        <v>1.1488417597</v>
      </c>
      <c r="Y444">
        <v>1.0834632842</v>
      </c>
      <c r="Z444">
        <v>0.99162083479999996</v>
      </c>
      <c r="AA444">
        <v>0.96534603360000004</v>
      </c>
      <c r="AB444">
        <v>0.96945644860000002</v>
      </c>
    </row>
    <row r="445" spans="1:28" hidden="1" x14ac:dyDescent="0.25">
      <c r="A445" t="s">
        <v>7</v>
      </c>
      <c r="B445" t="s">
        <v>47</v>
      </c>
      <c r="C445">
        <v>110</v>
      </c>
      <c r="D445" t="s">
        <v>4</v>
      </c>
      <c r="E445">
        <v>8.3947499999999994E-2</v>
      </c>
      <c r="F445">
        <v>8.374935E-2</v>
      </c>
      <c r="G445">
        <v>8.6879250000000005E-2</v>
      </c>
      <c r="H445">
        <v>8.6909399999999998E-2</v>
      </c>
      <c r="I445">
        <v>8.5225499999999996E-2</v>
      </c>
      <c r="J445">
        <v>8.6552550000000006E-2</v>
      </c>
      <c r="K445">
        <v>8.7748649999999997E-2</v>
      </c>
      <c r="L445">
        <v>8.4462599999999999E-2</v>
      </c>
      <c r="M445">
        <v>8.6937600000000004E-2</v>
      </c>
      <c r="N445">
        <v>8.8210049999999998E-2</v>
      </c>
      <c r="O445">
        <v>8.4648600000000004E-2</v>
      </c>
      <c r="P445">
        <v>8.3141999999999994E-2</v>
      </c>
      <c r="Q445">
        <v>8.2436400000000007E-2</v>
      </c>
      <c r="R445">
        <v>8.5222800000000001E-2</v>
      </c>
      <c r="S445">
        <v>8.5860000000000006E-2</v>
      </c>
      <c r="T445">
        <v>8.8982400000000003E-2</v>
      </c>
      <c r="U445">
        <v>8.800065E-2</v>
      </c>
      <c r="V445">
        <v>8.9839500000000003E-2</v>
      </c>
      <c r="W445">
        <v>9.2272499899999999E-2</v>
      </c>
      <c r="X445">
        <v>9.2229000000000005E-2</v>
      </c>
      <c r="Y445">
        <v>9.0403200000000003E-2</v>
      </c>
      <c r="Z445">
        <v>8.2377000000000006E-2</v>
      </c>
      <c r="AA445">
        <v>8.3888099999999993E-2</v>
      </c>
      <c r="AB445">
        <v>8.4795899999999994E-2</v>
      </c>
    </row>
    <row r="446" spans="1:28" hidden="1" x14ac:dyDescent="0.25">
      <c r="A446" t="s">
        <v>7</v>
      </c>
      <c r="B446" t="s">
        <v>48</v>
      </c>
      <c r="C446">
        <v>110</v>
      </c>
      <c r="D446" t="s">
        <v>2</v>
      </c>
      <c r="E446">
        <v>3.62061375</v>
      </c>
      <c r="F446">
        <v>3.6145067499999999</v>
      </c>
      <c r="G446">
        <v>3.6681892500000002</v>
      </c>
      <c r="H446">
        <v>3.6880468500000001</v>
      </c>
      <c r="I446">
        <v>3.5130517499999998</v>
      </c>
      <c r="J446">
        <v>3.5044526999999999</v>
      </c>
      <c r="K446">
        <v>3.3727483500000002</v>
      </c>
      <c r="L446">
        <v>3.4935586000000001</v>
      </c>
      <c r="M446">
        <v>3.7924864</v>
      </c>
      <c r="N446">
        <v>3.6617769</v>
      </c>
      <c r="O446">
        <v>3.6605357999999999</v>
      </c>
      <c r="P446">
        <v>3.6162896</v>
      </c>
      <c r="Q446">
        <v>3.6289764</v>
      </c>
      <c r="R446">
        <v>3.5275805</v>
      </c>
      <c r="S446">
        <v>3.6760199999999998</v>
      </c>
      <c r="T446">
        <v>3.651986</v>
      </c>
      <c r="U446">
        <v>3.58718285</v>
      </c>
      <c r="V446">
        <v>3.6681794000000001</v>
      </c>
      <c r="W446">
        <v>4.3491788500000004</v>
      </c>
      <c r="X446">
        <v>4.4338790000000001</v>
      </c>
      <c r="Y446">
        <v>4.1745087999999999</v>
      </c>
      <c r="Z446">
        <v>3.7459057499999999</v>
      </c>
      <c r="AA446">
        <v>3.6503114999999999</v>
      </c>
      <c r="AB446">
        <v>3.6162896</v>
      </c>
    </row>
    <row r="447" spans="1:28" hidden="1" x14ac:dyDescent="0.25">
      <c r="A447" t="s">
        <v>7</v>
      </c>
      <c r="B447" t="s">
        <v>48</v>
      </c>
      <c r="C447">
        <v>110</v>
      </c>
      <c r="D447" t="s">
        <v>3</v>
      </c>
      <c r="E447">
        <v>1.377857039</v>
      </c>
      <c r="F447">
        <v>1.3491981792000001</v>
      </c>
      <c r="G447">
        <v>1.3366005250999999</v>
      </c>
      <c r="H447">
        <v>1.3521175406999999</v>
      </c>
      <c r="I447">
        <v>1.2494948006</v>
      </c>
      <c r="J447">
        <v>1.1908183967999999</v>
      </c>
      <c r="K447">
        <v>1.0018888868</v>
      </c>
      <c r="L447">
        <v>1.1168534933000001</v>
      </c>
      <c r="M447">
        <v>1.2715200949000001</v>
      </c>
      <c r="N447">
        <v>1.2682409707</v>
      </c>
      <c r="O447">
        <v>1.3898662557000001</v>
      </c>
      <c r="P447">
        <v>1.4366318677000001</v>
      </c>
      <c r="Q447">
        <v>1.4828683718</v>
      </c>
      <c r="R447">
        <v>1.4642966321999999</v>
      </c>
      <c r="S447">
        <v>1.5339950564</v>
      </c>
      <c r="T447">
        <v>1.5397314184999999</v>
      </c>
      <c r="U447">
        <v>1.5347223448</v>
      </c>
      <c r="V447">
        <v>1.4721556891000001</v>
      </c>
      <c r="W447">
        <v>1.7984187648000001</v>
      </c>
      <c r="X447">
        <v>1.7981954146000001</v>
      </c>
      <c r="Y447">
        <v>1.6277216220999999</v>
      </c>
      <c r="Z447">
        <v>1.4398416644000001</v>
      </c>
      <c r="AA447">
        <v>1.4042648514</v>
      </c>
      <c r="AB447">
        <v>1.3918703387</v>
      </c>
    </row>
    <row r="448" spans="1:28" hidden="1" x14ac:dyDescent="0.25">
      <c r="A448" t="s">
        <v>7</v>
      </c>
      <c r="B448" t="s">
        <v>48</v>
      </c>
      <c r="C448">
        <v>110</v>
      </c>
      <c r="D448" t="s">
        <v>4</v>
      </c>
      <c r="E448">
        <v>5.5136249999999998E-2</v>
      </c>
      <c r="F448">
        <v>5.5043250000000002E-2</v>
      </c>
      <c r="G448">
        <v>5.5860750000000001E-2</v>
      </c>
      <c r="H448">
        <v>5.6163150000000002E-2</v>
      </c>
      <c r="I448">
        <v>5.3498249999999997E-2</v>
      </c>
      <c r="J448">
        <v>5.3367299999999999E-2</v>
      </c>
      <c r="K448">
        <v>5.1361650000000002E-2</v>
      </c>
      <c r="L448">
        <v>5.3201400000000003E-2</v>
      </c>
      <c r="M448">
        <v>5.7753600000000002E-2</v>
      </c>
      <c r="N448">
        <v>5.5763100000000003E-2</v>
      </c>
      <c r="O448">
        <v>5.5744200000000001E-2</v>
      </c>
      <c r="P448">
        <v>5.5070399999999999E-2</v>
      </c>
      <c r="Q448">
        <v>5.5263600000000003E-2</v>
      </c>
      <c r="R448">
        <v>5.3719500000000003E-2</v>
      </c>
      <c r="S448">
        <v>5.5980000000000002E-2</v>
      </c>
      <c r="T448">
        <v>5.5613999999999997E-2</v>
      </c>
      <c r="U448">
        <v>5.4627149999999999E-2</v>
      </c>
      <c r="V448">
        <v>5.5860600000000003E-2</v>
      </c>
      <c r="W448">
        <v>6.6231150000000003E-2</v>
      </c>
      <c r="X448">
        <v>6.7520999999999998E-2</v>
      </c>
      <c r="Y448">
        <v>6.3571199999999994E-2</v>
      </c>
      <c r="Z448">
        <v>5.7044249999999998E-2</v>
      </c>
      <c r="AA448">
        <v>5.5588499999999999E-2</v>
      </c>
      <c r="AB448">
        <v>5.5070399999999999E-2</v>
      </c>
    </row>
    <row r="449" spans="1:28" hidden="1" x14ac:dyDescent="0.25">
      <c r="A449" t="s">
        <v>7</v>
      </c>
      <c r="B449" t="s">
        <v>49</v>
      </c>
      <c r="C449">
        <v>110</v>
      </c>
      <c r="D449" t="s">
        <v>2</v>
      </c>
      <c r="E449">
        <v>12.504082500000001</v>
      </c>
      <c r="F449">
        <v>12.38082945</v>
      </c>
      <c r="G449">
        <v>12.57278625</v>
      </c>
      <c r="H449">
        <v>13.66641205</v>
      </c>
      <c r="I449">
        <v>15.839243250000001</v>
      </c>
      <c r="J449">
        <v>18.634082249999999</v>
      </c>
      <c r="K449">
        <v>19.56561645</v>
      </c>
      <c r="L449">
        <v>18.748450600000002</v>
      </c>
      <c r="M449">
        <v>19.012864</v>
      </c>
      <c r="N449">
        <v>17.827071750000002</v>
      </c>
      <c r="O449">
        <v>16.935627050000001</v>
      </c>
      <c r="P449">
        <v>17.529611599999999</v>
      </c>
      <c r="Q449">
        <v>17.421498</v>
      </c>
      <c r="R449">
        <v>17.434618199999999</v>
      </c>
      <c r="S449">
        <v>18.74652</v>
      </c>
      <c r="T449">
        <v>21.063712800000001</v>
      </c>
      <c r="U449">
        <v>21.546165800000001</v>
      </c>
      <c r="V449">
        <v>19.9296626</v>
      </c>
      <c r="W449">
        <v>20.45325905</v>
      </c>
      <c r="X449">
        <v>18.644670999999999</v>
      </c>
      <c r="Y449">
        <v>16.752249599999999</v>
      </c>
      <c r="Z449">
        <v>14.265558</v>
      </c>
      <c r="AA449">
        <v>13.118998299999999</v>
      </c>
      <c r="AB449">
        <v>12.739202000000001</v>
      </c>
    </row>
    <row r="450" spans="1:28" hidden="1" x14ac:dyDescent="0.25">
      <c r="A450" t="s">
        <v>7</v>
      </c>
      <c r="B450" t="s">
        <v>49</v>
      </c>
      <c r="C450">
        <v>110</v>
      </c>
      <c r="D450" t="s">
        <v>3</v>
      </c>
      <c r="E450">
        <v>5.2836504916999996</v>
      </c>
      <c r="F450">
        <v>5.1036190753000001</v>
      </c>
      <c r="G450">
        <v>5.4217178692000001</v>
      </c>
      <c r="H450">
        <v>5.8884055561000004</v>
      </c>
      <c r="I450">
        <v>7.5655541464000002</v>
      </c>
      <c r="J450">
        <v>9.3116858405999992</v>
      </c>
      <c r="K450">
        <v>7.7592645177000001</v>
      </c>
      <c r="L450">
        <v>7.8185418976000003</v>
      </c>
      <c r="M450">
        <v>7.0373658872</v>
      </c>
      <c r="N450">
        <v>6.4134294304999999</v>
      </c>
      <c r="O450">
        <v>6.1838171205999997</v>
      </c>
      <c r="P450">
        <v>6.0135312731999999</v>
      </c>
      <c r="Q450">
        <v>5.9938277825000004</v>
      </c>
      <c r="R450">
        <v>6.2489452463999999</v>
      </c>
      <c r="S450">
        <v>8.0328161842999997</v>
      </c>
      <c r="T450">
        <v>10.5546424209</v>
      </c>
      <c r="U450">
        <v>8.6041040702</v>
      </c>
      <c r="V450">
        <v>9.3928784727999997</v>
      </c>
      <c r="W450">
        <v>7.3752681146999999</v>
      </c>
      <c r="X450">
        <v>6.1987141172999998</v>
      </c>
      <c r="Y450">
        <v>5.5447430071000001</v>
      </c>
      <c r="Z450">
        <v>5.2886184504999996</v>
      </c>
      <c r="AA450">
        <v>5.4071011993000004</v>
      </c>
      <c r="AB450">
        <v>5.5907046131999998</v>
      </c>
    </row>
    <row r="451" spans="1:28" hidden="1" x14ac:dyDescent="0.25">
      <c r="A451" t="s">
        <v>7</v>
      </c>
      <c r="B451" t="s">
        <v>49</v>
      </c>
      <c r="C451">
        <v>110</v>
      </c>
      <c r="D451" t="s">
        <v>4</v>
      </c>
      <c r="E451">
        <v>0.19041749999999999</v>
      </c>
      <c r="F451">
        <v>0.18854055</v>
      </c>
      <c r="G451">
        <v>0.19146374999999999</v>
      </c>
      <c r="H451">
        <v>0.20811795</v>
      </c>
      <c r="I451">
        <v>0.24120675</v>
      </c>
      <c r="J451">
        <v>0.28376774999999999</v>
      </c>
      <c r="K451">
        <v>0.29795355000000001</v>
      </c>
      <c r="L451">
        <v>0.28550940000000002</v>
      </c>
      <c r="M451">
        <v>0.28953600000000002</v>
      </c>
      <c r="N451">
        <v>0.27147824999999998</v>
      </c>
      <c r="O451">
        <v>0.25790295000000002</v>
      </c>
      <c r="P451">
        <v>0.26694839999999997</v>
      </c>
      <c r="Q451">
        <v>0.26530199999999998</v>
      </c>
      <c r="R451">
        <v>0.26550180000000001</v>
      </c>
      <c r="S451">
        <v>0.28548000000000001</v>
      </c>
      <c r="T451">
        <v>0.32076719999999997</v>
      </c>
      <c r="U451">
        <v>0.32811420000000002</v>
      </c>
      <c r="V451">
        <v>0.30349739999999997</v>
      </c>
      <c r="W451">
        <v>0.31147095000000002</v>
      </c>
      <c r="X451">
        <v>0.28392899999999999</v>
      </c>
      <c r="Y451">
        <v>0.25511040000000001</v>
      </c>
      <c r="Z451">
        <v>0.21724199999999999</v>
      </c>
      <c r="AA451">
        <v>0.19978170000000001</v>
      </c>
      <c r="AB451">
        <v>0.193998</v>
      </c>
    </row>
    <row r="452" spans="1:28" hidden="1" x14ac:dyDescent="0.25">
      <c r="A452" t="s">
        <v>7</v>
      </c>
      <c r="B452" t="s">
        <v>50</v>
      </c>
      <c r="C452">
        <v>110</v>
      </c>
      <c r="D452" t="s">
        <v>2</v>
      </c>
      <c r="E452">
        <v>18.832953750000001</v>
      </c>
      <c r="F452">
        <v>17.788863599999999</v>
      </c>
      <c r="G452">
        <v>17.6830155</v>
      </c>
      <c r="H452">
        <v>17.462139100000002</v>
      </c>
      <c r="I452">
        <v>17.059658249999998</v>
      </c>
      <c r="J452">
        <v>18.2694057</v>
      </c>
      <c r="K452">
        <v>18.710941800000001</v>
      </c>
      <c r="L452">
        <v>20.104441000000001</v>
      </c>
      <c r="M452">
        <v>22.976819200000001</v>
      </c>
      <c r="N452">
        <v>24.89365875</v>
      </c>
      <c r="O452">
        <v>26.5953743</v>
      </c>
      <c r="P452">
        <v>28.47241</v>
      </c>
      <c r="Q452">
        <v>29.3091084</v>
      </c>
      <c r="R452">
        <v>28.3521809</v>
      </c>
      <c r="S452">
        <v>27.19782</v>
      </c>
      <c r="T452">
        <v>26.565252999999998</v>
      </c>
      <c r="U452">
        <v>26.07916535</v>
      </c>
      <c r="V452">
        <v>27.8968548</v>
      </c>
      <c r="W452">
        <v>31.817676850000002</v>
      </c>
      <c r="X452">
        <v>33.624747999999997</v>
      </c>
      <c r="Y452">
        <v>31.945835200000001</v>
      </c>
      <c r="Z452">
        <v>26.735953500000001</v>
      </c>
      <c r="AA452">
        <v>24.014625049999999</v>
      </c>
      <c r="AB452">
        <v>21.903208599999999</v>
      </c>
    </row>
    <row r="453" spans="1:28" hidden="1" x14ac:dyDescent="0.25">
      <c r="A453" t="s">
        <v>7</v>
      </c>
      <c r="B453" t="s">
        <v>50</v>
      </c>
      <c r="C453">
        <v>110</v>
      </c>
      <c r="D453" t="s">
        <v>3</v>
      </c>
      <c r="E453">
        <v>6.4059938270999996</v>
      </c>
      <c r="F453">
        <v>6.0465331847000003</v>
      </c>
      <c r="G453">
        <v>6.1335099503999997</v>
      </c>
      <c r="H453">
        <v>6.0694248026000004</v>
      </c>
      <c r="I453">
        <v>5.9481488499999999</v>
      </c>
      <c r="J453">
        <v>6.2522021542999999</v>
      </c>
      <c r="K453">
        <v>6.6152562743000001</v>
      </c>
      <c r="L453">
        <v>6.8077924355999997</v>
      </c>
      <c r="M453">
        <v>7.7452505868000001</v>
      </c>
      <c r="N453">
        <v>8.2429424640000004</v>
      </c>
      <c r="O453">
        <v>9.1610461286000007</v>
      </c>
      <c r="P453">
        <v>9.9099353102999999</v>
      </c>
      <c r="Q453">
        <v>10.178141631800001</v>
      </c>
      <c r="R453">
        <v>10.033484039899999</v>
      </c>
      <c r="S453">
        <v>9.7501075036000007</v>
      </c>
      <c r="T453">
        <v>9.7166149222999998</v>
      </c>
      <c r="U453">
        <v>9.6015248330999992</v>
      </c>
      <c r="V453">
        <v>10.397687679000001</v>
      </c>
      <c r="W453">
        <v>11.038417240899999</v>
      </c>
      <c r="X453">
        <v>11.2086391102</v>
      </c>
      <c r="Y453">
        <v>10.531795492500001</v>
      </c>
      <c r="Z453">
        <v>8.6579738753999997</v>
      </c>
      <c r="AA453">
        <v>8.0076844195000003</v>
      </c>
      <c r="AB453">
        <v>7.6533412808000003</v>
      </c>
    </row>
    <row r="454" spans="1:28" hidden="1" x14ac:dyDescent="0.25">
      <c r="A454" t="s">
        <v>7</v>
      </c>
      <c r="B454" t="s">
        <v>50</v>
      </c>
      <c r="C454">
        <v>110</v>
      </c>
      <c r="D454" t="s">
        <v>4</v>
      </c>
      <c r="E454">
        <v>0.28679624999999997</v>
      </c>
      <c r="F454">
        <v>0.27089639999999998</v>
      </c>
      <c r="G454">
        <v>0.26928449999999998</v>
      </c>
      <c r="H454">
        <v>0.26592090000000002</v>
      </c>
      <c r="I454">
        <v>0.25979174999999999</v>
      </c>
      <c r="J454">
        <v>0.27821430000000003</v>
      </c>
      <c r="K454">
        <v>0.28493819999999997</v>
      </c>
      <c r="L454">
        <v>0.30615900000000001</v>
      </c>
      <c r="M454">
        <v>0.34990080000000001</v>
      </c>
      <c r="N454">
        <v>0.37909124999999999</v>
      </c>
      <c r="O454">
        <v>0.40500570000000002</v>
      </c>
      <c r="P454">
        <v>0.43358999999999998</v>
      </c>
      <c r="Q454">
        <v>0.4463316</v>
      </c>
      <c r="R454">
        <v>0.43175910000000001</v>
      </c>
      <c r="S454">
        <v>0.41417999999999999</v>
      </c>
      <c r="T454">
        <v>0.40454699999999999</v>
      </c>
      <c r="U454">
        <v>0.39714464999999999</v>
      </c>
      <c r="V454">
        <v>0.42482520000000001</v>
      </c>
      <c r="W454">
        <v>0.48453315000000002</v>
      </c>
      <c r="X454">
        <v>0.51205199999999995</v>
      </c>
      <c r="Y454">
        <v>0.4864848</v>
      </c>
      <c r="Z454">
        <v>0.40714650000000002</v>
      </c>
      <c r="AA454">
        <v>0.36570494999999997</v>
      </c>
      <c r="AB454">
        <v>0.3335514</v>
      </c>
    </row>
    <row r="455" spans="1:28" hidden="1" x14ac:dyDescent="0.25">
      <c r="A455" t="s">
        <v>7</v>
      </c>
      <c r="B455" t="s">
        <v>51</v>
      </c>
      <c r="C455">
        <v>44</v>
      </c>
      <c r="D455" t="s">
        <v>2</v>
      </c>
      <c r="E455">
        <v>24.9678</v>
      </c>
      <c r="F455">
        <v>23.834888500000002</v>
      </c>
      <c r="G455">
        <v>23.573328</v>
      </c>
      <c r="H455">
        <v>23.593989000000001</v>
      </c>
      <c r="I455">
        <v>22.714587000000002</v>
      </c>
      <c r="J455">
        <v>23.1678195</v>
      </c>
      <c r="K455">
        <v>24.390019500000001</v>
      </c>
      <c r="L455">
        <v>25.742403199999998</v>
      </c>
      <c r="M455">
        <v>28.527001599999998</v>
      </c>
      <c r="N455">
        <v>29.828693099999999</v>
      </c>
      <c r="O455">
        <v>30.596225</v>
      </c>
      <c r="P455">
        <v>32.1319096</v>
      </c>
      <c r="Q455">
        <v>32.317761599999997</v>
      </c>
      <c r="R455">
        <v>31.7593326</v>
      </c>
      <c r="S455">
        <v>30.962399999999999</v>
      </c>
      <c r="T455">
        <v>29.942697200000001</v>
      </c>
      <c r="U455">
        <v>28.794304499999999</v>
      </c>
      <c r="V455">
        <v>29.4737604</v>
      </c>
      <c r="W455">
        <v>36.212786899999998</v>
      </c>
      <c r="X455">
        <v>38.746262000000002</v>
      </c>
      <c r="Y455">
        <v>37.305424000000002</v>
      </c>
      <c r="Z455">
        <v>31.832635499999999</v>
      </c>
      <c r="AA455">
        <v>28.3874186</v>
      </c>
      <c r="AB455">
        <v>25.930127299999999</v>
      </c>
    </row>
    <row r="456" spans="1:28" hidden="1" x14ac:dyDescent="0.25">
      <c r="A456" t="s">
        <v>7</v>
      </c>
      <c r="B456" t="s">
        <v>51</v>
      </c>
      <c r="C456">
        <v>44</v>
      </c>
      <c r="D456" t="s">
        <v>3</v>
      </c>
      <c r="E456">
        <v>12.199742966200001</v>
      </c>
      <c r="F456">
        <v>11.64954344</v>
      </c>
      <c r="G456">
        <v>12.0756687438</v>
      </c>
      <c r="H456">
        <v>10.9617721473</v>
      </c>
      <c r="I456">
        <v>10.553201797</v>
      </c>
      <c r="J456">
        <v>10.0280087105</v>
      </c>
      <c r="K456">
        <v>12.204361049199999</v>
      </c>
      <c r="L456">
        <v>12.280352372599999</v>
      </c>
      <c r="M456">
        <v>11.936411354700001</v>
      </c>
      <c r="N456">
        <v>12.1756804341</v>
      </c>
      <c r="O456">
        <v>12.5963871328</v>
      </c>
      <c r="P456">
        <v>13.355616185400001</v>
      </c>
      <c r="Q456">
        <v>13.4328654995</v>
      </c>
      <c r="R456">
        <v>13.6268869121</v>
      </c>
      <c r="S456">
        <v>14.2247857463</v>
      </c>
      <c r="T456">
        <v>14.416996172199999</v>
      </c>
      <c r="U456">
        <v>14.2929517289</v>
      </c>
      <c r="V456">
        <v>13.8343634547</v>
      </c>
      <c r="W456">
        <v>13.2895123592</v>
      </c>
      <c r="X456">
        <v>13.357186500799999</v>
      </c>
      <c r="Y456">
        <v>13.450769738</v>
      </c>
      <c r="Z456">
        <v>12.509847815300001</v>
      </c>
      <c r="AA456">
        <v>11.662595170299999</v>
      </c>
      <c r="AB456">
        <v>12.3521569778</v>
      </c>
    </row>
    <row r="457" spans="1:28" hidden="1" x14ac:dyDescent="0.25">
      <c r="A457" t="s">
        <v>7</v>
      </c>
      <c r="B457" t="s">
        <v>51</v>
      </c>
      <c r="C457">
        <v>44</v>
      </c>
      <c r="D457" t="s">
        <v>4</v>
      </c>
      <c r="E457">
        <v>0.7722</v>
      </c>
      <c r="F457">
        <v>0.73716150000000003</v>
      </c>
      <c r="G457">
        <v>0.72907200000000005</v>
      </c>
      <c r="H457">
        <v>0.729711</v>
      </c>
      <c r="I457">
        <v>0.70251300000000005</v>
      </c>
      <c r="J457">
        <v>0.71653049999999996</v>
      </c>
      <c r="K457">
        <v>0.75433050000000001</v>
      </c>
      <c r="L457">
        <v>0.7961568</v>
      </c>
      <c r="M457">
        <v>0.88227840000000002</v>
      </c>
      <c r="N457">
        <v>0.92253689999999999</v>
      </c>
      <c r="O457">
        <v>0.94627499999999998</v>
      </c>
      <c r="P457">
        <v>0.99377040000000005</v>
      </c>
      <c r="Q457">
        <v>0.99951840000000003</v>
      </c>
      <c r="R457">
        <v>0.98224739999999999</v>
      </c>
      <c r="S457">
        <v>0.95760000000000001</v>
      </c>
      <c r="T457">
        <v>0.92606279999999996</v>
      </c>
      <c r="U457">
        <v>0.89054549999999999</v>
      </c>
      <c r="V457">
        <v>0.91155960000000003</v>
      </c>
      <c r="W457">
        <v>1.1199831</v>
      </c>
      <c r="X457">
        <v>1.1983379999999999</v>
      </c>
      <c r="Y457">
        <v>1.1537759999999999</v>
      </c>
      <c r="Z457">
        <v>0.98451449999999996</v>
      </c>
      <c r="AA457">
        <v>0.8779614</v>
      </c>
      <c r="AB457">
        <v>0.80196270000000003</v>
      </c>
    </row>
    <row r="458" spans="1:28" hidden="1" x14ac:dyDescent="0.25">
      <c r="A458" t="s">
        <v>7</v>
      </c>
      <c r="B458" t="s">
        <v>52</v>
      </c>
      <c r="C458">
        <v>110</v>
      </c>
      <c r="D458" t="s">
        <v>2</v>
      </c>
      <c r="E458">
        <v>30.309435000000001</v>
      </c>
      <c r="F458">
        <v>28.3304124</v>
      </c>
      <c r="G458">
        <v>27.218505</v>
      </c>
      <c r="H458">
        <v>26.668796199999999</v>
      </c>
      <c r="I458">
        <v>25.567694249999999</v>
      </c>
      <c r="J458">
        <v>25.714144050000002</v>
      </c>
      <c r="K458">
        <v>26.03541165</v>
      </c>
      <c r="L458">
        <v>26.5642286</v>
      </c>
      <c r="M458">
        <v>29.845657599999999</v>
      </c>
      <c r="N458">
        <v>32.827508700000003</v>
      </c>
      <c r="O458">
        <v>35.080134749999999</v>
      </c>
      <c r="P458">
        <v>36.550355600000003</v>
      </c>
      <c r="Q458">
        <v>38.110280400000001</v>
      </c>
      <c r="R458">
        <v>39.843722800000002</v>
      </c>
      <c r="S458">
        <v>39.762479999999996</v>
      </c>
      <c r="T458">
        <v>39.111592000000002</v>
      </c>
      <c r="U458">
        <v>37.994148899999999</v>
      </c>
      <c r="V458">
        <v>38.410744800000003</v>
      </c>
      <c r="W458">
        <v>44.892143300000001</v>
      </c>
      <c r="X458">
        <v>47.387956000000003</v>
      </c>
      <c r="Y458">
        <v>46.610830399999998</v>
      </c>
      <c r="Z458">
        <v>40.534769249999997</v>
      </c>
      <c r="AA458">
        <v>36.104899199999998</v>
      </c>
      <c r="AB458">
        <v>31.519251400000002</v>
      </c>
    </row>
    <row r="459" spans="1:28" hidden="1" x14ac:dyDescent="0.25">
      <c r="A459" t="s">
        <v>7</v>
      </c>
      <c r="B459" t="s">
        <v>52</v>
      </c>
      <c r="C459">
        <v>110</v>
      </c>
      <c r="D459" t="s">
        <v>3</v>
      </c>
      <c r="E459">
        <v>12.930032404</v>
      </c>
      <c r="F459">
        <v>13.3399790851</v>
      </c>
      <c r="G459">
        <v>12.7335492087</v>
      </c>
      <c r="H459">
        <v>12.7830495941</v>
      </c>
      <c r="I459">
        <v>11.264559265999999</v>
      </c>
      <c r="J459">
        <v>11.3092718483</v>
      </c>
      <c r="K459">
        <v>12.563770955800001</v>
      </c>
      <c r="L459">
        <v>10.871029735</v>
      </c>
      <c r="M459">
        <v>14.2811680326</v>
      </c>
      <c r="N459">
        <v>14.3598234702</v>
      </c>
      <c r="O459">
        <v>15.3264188289</v>
      </c>
      <c r="P459">
        <v>17.145469609900001</v>
      </c>
      <c r="Q459">
        <v>17.4987228729</v>
      </c>
      <c r="R459">
        <v>17.683823345499999</v>
      </c>
      <c r="S459">
        <v>18.207701433099999</v>
      </c>
      <c r="T459">
        <v>18.708241946299999</v>
      </c>
      <c r="U459">
        <v>18.891523117599998</v>
      </c>
      <c r="V459">
        <v>19.023281873799998</v>
      </c>
      <c r="W459">
        <v>17.8791759012</v>
      </c>
      <c r="X459">
        <v>17.597410956000001</v>
      </c>
      <c r="Y459">
        <v>17.8220627448</v>
      </c>
      <c r="Z459">
        <v>16.440459115399999</v>
      </c>
      <c r="AA459">
        <v>15.7483497429</v>
      </c>
      <c r="AB459">
        <v>14.490671449700001</v>
      </c>
    </row>
    <row r="460" spans="1:28" hidden="1" x14ac:dyDescent="0.25">
      <c r="A460" t="s">
        <v>7</v>
      </c>
      <c r="B460" t="s">
        <v>52</v>
      </c>
      <c r="C460">
        <v>110</v>
      </c>
      <c r="D460" t="s">
        <v>4</v>
      </c>
      <c r="E460">
        <v>0.461565</v>
      </c>
      <c r="F460">
        <v>0.43142760000000002</v>
      </c>
      <c r="G460">
        <v>0.414495</v>
      </c>
      <c r="H460">
        <v>0.40612379999999998</v>
      </c>
      <c r="I460">
        <v>0.38935575</v>
      </c>
      <c r="J460">
        <v>0.39158595000000002</v>
      </c>
      <c r="K460">
        <v>0.39647834999999998</v>
      </c>
      <c r="L460">
        <v>0.40453139999999999</v>
      </c>
      <c r="M460">
        <v>0.45450239999999997</v>
      </c>
      <c r="N460">
        <v>0.4999113</v>
      </c>
      <c r="O460">
        <v>0.53421525000000003</v>
      </c>
      <c r="P460">
        <v>0.5566044</v>
      </c>
      <c r="Q460">
        <v>0.58035959999999998</v>
      </c>
      <c r="R460">
        <v>0.6067572</v>
      </c>
      <c r="S460">
        <v>0.60551999999999995</v>
      </c>
      <c r="T460">
        <v>0.59560800000000003</v>
      </c>
      <c r="U460">
        <v>0.57859110000000002</v>
      </c>
      <c r="V460">
        <v>0.58493519999999999</v>
      </c>
      <c r="W460">
        <v>0.68363669999999999</v>
      </c>
      <c r="X460">
        <v>0.72164399999999995</v>
      </c>
      <c r="Y460">
        <v>0.70980960000000004</v>
      </c>
      <c r="Z460">
        <v>0.61728075000000004</v>
      </c>
      <c r="AA460">
        <v>0.5498208</v>
      </c>
      <c r="AB460">
        <v>0.47998859999999999</v>
      </c>
    </row>
    <row r="461" spans="1:28" hidden="1" x14ac:dyDescent="0.25">
      <c r="A461" t="s">
        <v>7</v>
      </c>
      <c r="B461" t="s">
        <v>53</v>
      </c>
      <c r="C461">
        <v>44</v>
      </c>
      <c r="D461" t="s">
        <v>2</v>
      </c>
      <c r="E461">
        <v>2.0711925</v>
      </c>
      <c r="F461">
        <v>2.0005085999999999</v>
      </c>
      <c r="G461">
        <v>1.9614855</v>
      </c>
      <c r="H461">
        <v>1.9617473999999999</v>
      </c>
      <c r="I461">
        <v>1.922928</v>
      </c>
      <c r="J461">
        <v>2.0058338999999998</v>
      </c>
      <c r="K461">
        <v>2.1810741</v>
      </c>
      <c r="L461">
        <v>2.3275731999999998</v>
      </c>
      <c r="M461">
        <v>2.3540736</v>
      </c>
      <c r="N461">
        <v>2.3723774999999998</v>
      </c>
      <c r="O461">
        <v>2.5700829000000001</v>
      </c>
      <c r="P461">
        <v>2.6131023999999998</v>
      </c>
      <c r="Q461">
        <v>2.6476343999999998</v>
      </c>
      <c r="R461">
        <v>2.6377792000000002</v>
      </c>
      <c r="S461">
        <v>2.5724399999999998</v>
      </c>
      <c r="T461">
        <v>2.5870676000000001</v>
      </c>
      <c r="U461">
        <v>2.5557075</v>
      </c>
      <c r="V461">
        <v>2.8185289999999998</v>
      </c>
      <c r="W461">
        <v>3.5271333999999999</v>
      </c>
      <c r="X461">
        <v>3.6776580000000001</v>
      </c>
      <c r="Y461">
        <v>3.3768416000000001</v>
      </c>
      <c r="Z461">
        <v>2.7460214999999999</v>
      </c>
      <c r="AA461">
        <v>2.4182682</v>
      </c>
      <c r="AB461">
        <v>2.1347081000000001</v>
      </c>
    </row>
    <row r="462" spans="1:28" hidden="1" x14ac:dyDescent="0.25">
      <c r="A462" t="s">
        <v>7</v>
      </c>
      <c r="B462" t="s">
        <v>53</v>
      </c>
      <c r="C462">
        <v>44</v>
      </c>
      <c r="D462" t="s">
        <v>3</v>
      </c>
      <c r="E462">
        <v>0.95401188199999998</v>
      </c>
      <c r="F462">
        <v>0.96843719890000002</v>
      </c>
      <c r="G462">
        <v>0.96129540199999997</v>
      </c>
      <c r="H462">
        <v>0.90240637869999996</v>
      </c>
      <c r="I462">
        <v>0.87980457349999996</v>
      </c>
      <c r="J462">
        <v>0.86316538860000003</v>
      </c>
      <c r="K462">
        <v>0.84350913520000004</v>
      </c>
      <c r="L462">
        <v>0.85272473859999998</v>
      </c>
      <c r="M462">
        <v>0.9393977402</v>
      </c>
      <c r="N462">
        <v>0.95786800260000005</v>
      </c>
      <c r="O462">
        <v>1.0903520231999999</v>
      </c>
      <c r="P462">
        <v>1.1356643050999999</v>
      </c>
      <c r="Q462">
        <v>1.1903607518999999</v>
      </c>
      <c r="R462">
        <v>1.2295438512000001</v>
      </c>
      <c r="S462">
        <v>1.2019763896</v>
      </c>
      <c r="T462">
        <v>1.202026799</v>
      </c>
      <c r="U462">
        <v>1.1575566717000001</v>
      </c>
      <c r="V462">
        <v>1.1783131916</v>
      </c>
      <c r="W462">
        <v>1.2264293567</v>
      </c>
      <c r="X462">
        <v>1.2299297465000001</v>
      </c>
      <c r="Y462">
        <v>1.1574943548000001</v>
      </c>
      <c r="Z462">
        <v>1.0171237553000001</v>
      </c>
      <c r="AA462">
        <v>0.97684744369999998</v>
      </c>
      <c r="AB462">
        <v>0.96812010079999999</v>
      </c>
    </row>
    <row r="463" spans="1:28" hidden="1" x14ac:dyDescent="0.25">
      <c r="A463" t="s">
        <v>7</v>
      </c>
      <c r="B463" t="s">
        <v>53</v>
      </c>
      <c r="C463">
        <v>44</v>
      </c>
      <c r="D463" t="s">
        <v>4</v>
      </c>
      <c r="E463">
        <v>6.4057500000000003E-2</v>
      </c>
      <c r="F463">
        <v>6.18714E-2</v>
      </c>
      <c r="G463">
        <v>6.0664500000000003E-2</v>
      </c>
      <c r="H463">
        <v>6.06726E-2</v>
      </c>
      <c r="I463">
        <v>5.9471999999999997E-2</v>
      </c>
      <c r="J463">
        <v>6.2036099999999997E-2</v>
      </c>
      <c r="K463">
        <v>6.7455899999999999E-2</v>
      </c>
      <c r="L463">
        <v>7.1986800000000004E-2</v>
      </c>
      <c r="M463">
        <v>7.2806399999999993E-2</v>
      </c>
      <c r="N463">
        <v>7.3372499999999993E-2</v>
      </c>
      <c r="O463">
        <v>7.9487100000000005E-2</v>
      </c>
      <c r="P463">
        <v>8.0817600000000003E-2</v>
      </c>
      <c r="Q463">
        <v>8.1885600000000003E-2</v>
      </c>
      <c r="R463">
        <v>8.1580799999999995E-2</v>
      </c>
      <c r="S463">
        <v>7.9560000000000006E-2</v>
      </c>
      <c r="T463">
        <v>8.0012399999999997E-2</v>
      </c>
      <c r="U463">
        <v>7.9042500000000002E-2</v>
      </c>
      <c r="V463">
        <v>8.7170999999999998E-2</v>
      </c>
      <c r="W463">
        <v>0.10908660000000001</v>
      </c>
      <c r="X463">
        <v>0.113742</v>
      </c>
      <c r="Y463">
        <v>0.1044384</v>
      </c>
      <c r="Z463">
        <v>8.4928500000000004E-2</v>
      </c>
      <c r="AA463">
        <v>7.4791800000000005E-2</v>
      </c>
      <c r="AB463">
        <v>6.6021899999999994E-2</v>
      </c>
    </row>
    <row r="464" spans="1:28" hidden="1" x14ac:dyDescent="0.25">
      <c r="A464" t="s">
        <v>7</v>
      </c>
      <c r="B464" t="s">
        <v>54</v>
      </c>
      <c r="C464">
        <v>110</v>
      </c>
      <c r="D464" t="s">
        <v>2</v>
      </c>
      <c r="E464">
        <v>24.249468749999998</v>
      </c>
      <c r="F464">
        <v>22.775967850000001</v>
      </c>
      <c r="G464">
        <v>22.405696500000001</v>
      </c>
      <c r="H464">
        <v>22.15520115</v>
      </c>
      <c r="I464">
        <v>21.078310500000001</v>
      </c>
      <c r="J464">
        <v>21.426970950000001</v>
      </c>
      <c r="K464">
        <v>21.440386650000001</v>
      </c>
      <c r="L464">
        <v>16.460216800000001</v>
      </c>
      <c r="M464">
        <v>18.972518399999998</v>
      </c>
      <c r="N464">
        <v>20.610878750000001</v>
      </c>
      <c r="O464">
        <v>22.189173799999999</v>
      </c>
      <c r="P464">
        <v>23.588070800000001</v>
      </c>
      <c r="Q464">
        <v>24.703563599999999</v>
      </c>
      <c r="R464">
        <v>24.740895099999999</v>
      </c>
      <c r="S464">
        <v>24.219180000000001</v>
      </c>
      <c r="T464">
        <v>24.480086799999999</v>
      </c>
      <c r="U464">
        <v>24.00298235</v>
      </c>
      <c r="V464">
        <v>25.186607599999999</v>
      </c>
      <c r="W464">
        <v>28.93617755</v>
      </c>
      <c r="X464">
        <v>29.484596</v>
      </c>
      <c r="Y464">
        <v>27.527361599999999</v>
      </c>
      <c r="Z464">
        <v>31.355505000000001</v>
      </c>
      <c r="AA464">
        <v>27.75342895</v>
      </c>
      <c r="AB464">
        <v>24.7798026</v>
      </c>
    </row>
    <row r="465" spans="1:28" hidden="1" x14ac:dyDescent="0.25">
      <c r="A465" t="s">
        <v>7</v>
      </c>
      <c r="B465" t="s">
        <v>54</v>
      </c>
      <c r="C465">
        <v>110</v>
      </c>
      <c r="D465" t="s">
        <v>3</v>
      </c>
      <c r="E465">
        <v>7.9953421595999998</v>
      </c>
      <c r="F465">
        <v>7.5537728300999998</v>
      </c>
      <c r="G465">
        <v>7.4774814135999996</v>
      </c>
      <c r="H465">
        <v>6.6378398826999998</v>
      </c>
      <c r="I465">
        <v>6.4257214086000003</v>
      </c>
      <c r="J465">
        <v>6.9302957515000001</v>
      </c>
      <c r="K465">
        <v>7.2280822748000002</v>
      </c>
      <c r="L465">
        <v>5.2161339363000003</v>
      </c>
      <c r="M465">
        <v>5.4731082077000002</v>
      </c>
      <c r="N465">
        <v>6.2793613380000002</v>
      </c>
      <c r="O465">
        <v>7.2442941073</v>
      </c>
      <c r="P465">
        <v>8.1672067591000008</v>
      </c>
      <c r="Q465">
        <v>8.3934521165000007</v>
      </c>
      <c r="R465">
        <v>8.3648903391000005</v>
      </c>
      <c r="S465">
        <v>8.6067592722999997</v>
      </c>
      <c r="T465">
        <v>8.9902481188000003</v>
      </c>
      <c r="U465">
        <v>8.6344610162999995</v>
      </c>
      <c r="V465">
        <v>8.8194502705000009</v>
      </c>
      <c r="W465">
        <v>9.2096746849999995</v>
      </c>
      <c r="X465">
        <v>8.9894819323000004</v>
      </c>
      <c r="Y465">
        <v>8.4667812616999996</v>
      </c>
      <c r="Z465">
        <v>9.5434363065000003</v>
      </c>
      <c r="AA465">
        <v>8.3613755463999997</v>
      </c>
      <c r="AB465">
        <v>8.0777029434000003</v>
      </c>
    </row>
    <row r="466" spans="1:28" hidden="1" x14ac:dyDescent="0.25">
      <c r="A466" t="s">
        <v>7</v>
      </c>
      <c r="B466" t="s">
        <v>54</v>
      </c>
      <c r="C466">
        <v>110</v>
      </c>
      <c r="D466" t="s">
        <v>4</v>
      </c>
      <c r="E466">
        <v>0.36928125000000001</v>
      </c>
      <c r="F466">
        <v>0.34684215000000002</v>
      </c>
      <c r="G466">
        <v>0.34120349999999999</v>
      </c>
      <c r="H466">
        <v>0.33738885000000002</v>
      </c>
      <c r="I466">
        <v>0.32098949999999998</v>
      </c>
      <c r="J466">
        <v>0.32629904999999998</v>
      </c>
      <c r="K466">
        <v>0.32650335000000003</v>
      </c>
      <c r="L466">
        <v>0.25066319999999997</v>
      </c>
      <c r="M466">
        <v>0.2889216</v>
      </c>
      <c r="N466">
        <v>0.31387124999999999</v>
      </c>
      <c r="O466">
        <v>0.33790619999999999</v>
      </c>
      <c r="P466">
        <v>0.35920920000000001</v>
      </c>
      <c r="Q466">
        <v>0.37619639999999999</v>
      </c>
      <c r="R466">
        <v>0.37676490000000001</v>
      </c>
      <c r="S466">
        <v>0.36881999999999998</v>
      </c>
      <c r="T466">
        <v>0.37279319999999999</v>
      </c>
      <c r="U466">
        <v>0.36552764999999998</v>
      </c>
      <c r="V466">
        <v>0.38355240000000002</v>
      </c>
      <c r="W466">
        <v>0.44065244999999997</v>
      </c>
      <c r="X466">
        <v>0.44900400000000001</v>
      </c>
      <c r="Y466">
        <v>0.41919840000000003</v>
      </c>
      <c r="Z466">
        <v>0.477495</v>
      </c>
      <c r="AA466">
        <v>0.42264105000000002</v>
      </c>
      <c r="AB466">
        <v>0.37735740000000001</v>
      </c>
    </row>
    <row r="467" spans="1:28" hidden="1" x14ac:dyDescent="0.25">
      <c r="A467" t="s">
        <v>7</v>
      </c>
      <c r="B467" t="s">
        <v>55</v>
      </c>
      <c r="C467">
        <v>110</v>
      </c>
      <c r="D467" t="s">
        <v>2</v>
      </c>
      <c r="E467">
        <v>5.5125525</v>
      </c>
      <c r="F467">
        <v>5.3897328499999997</v>
      </c>
      <c r="G467">
        <v>5.9394022499999997</v>
      </c>
      <c r="H467">
        <v>6.1826381499999998</v>
      </c>
      <c r="I467">
        <v>6.0497715000000003</v>
      </c>
      <c r="J467">
        <v>5.6302501500000002</v>
      </c>
      <c r="K467">
        <v>5.8264917000000001</v>
      </c>
      <c r="L467">
        <v>5.6970429999999999</v>
      </c>
      <c r="M467">
        <v>2.1584895999999998</v>
      </c>
      <c r="N467">
        <v>5.5033722999999997</v>
      </c>
      <c r="O467">
        <v>5.6263791000000003</v>
      </c>
      <c r="P467">
        <v>5.5301052000000004</v>
      </c>
      <c r="Q467">
        <v>5.3650979999999997</v>
      </c>
      <c r="R467">
        <v>6.5768449999999996</v>
      </c>
      <c r="S467">
        <v>7.1865600000000001</v>
      </c>
      <c r="T467">
        <v>6.5853554000000001</v>
      </c>
      <c r="U467">
        <v>7.1628313500000003</v>
      </c>
      <c r="V467">
        <v>7.1961735999999998</v>
      </c>
      <c r="W467">
        <v>5.45330475</v>
      </c>
      <c r="X467">
        <v>4.9094369999999996</v>
      </c>
      <c r="Y467">
        <v>4.7844208000000004</v>
      </c>
      <c r="Z467">
        <v>4.9666162500000004</v>
      </c>
      <c r="AA467">
        <v>5.7520059999999997</v>
      </c>
      <c r="AB467">
        <v>6.1024887000000003</v>
      </c>
    </row>
    <row r="468" spans="1:28" hidden="1" x14ac:dyDescent="0.25">
      <c r="A468" t="s">
        <v>7</v>
      </c>
      <c r="B468" t="s">
        <v>55</v>
      </c>
      <c r="C468">
        <v>110</v>
      </c>
      <c r="D468" t="s">
        <v>3</v>
      </c>
      <c r="E468">
        <v>1.0651339011000001</v>
      </c>
      <c r="F468">
        <v>1.251619931</v>
      </c>
      <c r="G468">
        <v>1.3530417030999999</v>
      </c>
      <c r="H468">
        <v>1.4078670413000001</v>
      </c>
      <c r="I468">
        <v>1.540651381</v>
      </c>
      <c r="J468">
        <v>1.4386669016</v>
      </c>
      <c r="K468">
        <v>1.5289871348999999</v>
      </c>
      <c r="L468">
        <v>1.4414586158</v>
      </c>
      <c r="M468">
        <v>0.58376068790000002</v>
      </c>
      <c r="N468">
        <v>1.4335018156999999</v>
      </c>
      <c r="O468">
        <v>1.5669075456999999</v>
      </c>
      <c r="P468">
        <v>1.5336439691999999</v>
      </c>
      <c r="Q468">
        <v>1.4713798742999999</v>
      </c>
      <c r="R468">
        <v>1.7919070529000001</v>
      </c>
      <c r="S468">
        <v>2.0203875309999999</v>
      </c>
      <c r="T468">
        <v>1.8568756215</v>
      </c>
      <c r="U468">
        <v>2.0171412818999999</v>
      </c>
      <c r="V468">
        <v>2.0742324379000001</v>
      </c>
      <c r="W468">
        <v>1.6193014527</v>
      </c>
      <c r="X468">
        <v>1.4345807699999999</v>
      </c>
      <c r="Y468">
        <v>1.4443120873999999</v>
      </c>
      <c r="Z468">
        <v>1.3923207989999999</v>
      </c>
      <c r="AA468">
        <v>1.4972901890000001</v>
      </c>
      <c r="AB468">
        <v>1.6466439468</v>
      </c>
    </row>
    <row r="469" spans="1:28" hidden="1" x14ac:dyDescent="0.25">
      <c r="A469" t="s">
        <v>7</v>
      </c>
      <c r="B469" t="s">
        <v>55</v>
      </c>
      <c r="C469">
        <v>110</v>
      </c>
      <c r="D469" t="s">
        <v>4</v>
      </c>
      <c r="E469">
        <v>8.3947499999999994E-2</v>
      </c>
      <c r="F469">
        <v>8.2077150000000001E-2</v>
      </c>
      <c r="G469">
        <v>9.0447749999999993E-2</v>
      </c>
      <c r="H469">
        <v>9.4151849999999995E-2</v>
      </c>
      <c r="I469">
        <v>9.2128500000000002E-2</v>
      </c>
      <c r="J469">
        <v>8.5739850000000006E-2</v>
      </c>
      <c r="K469">
        <v>8.8728299999999996E-2</v>
      </c>
      <c r="L469">
        <v>8.6757000000000001E-2</v>
      </c>
      <c r="M469">
        <v>3.2870400000000001E-2</v>
      </c>
      <c r="N469">
        <v>8.3807699999999999E-2</v>
      </c>
      <c r="O469">
        <v>8.5680900000000004E-2</v>
      </c>
      <c r="P469">
        <v>8.4214800000000006E-2</v>
      </c>
      <c r="Q469">
        <v>8.1701999999999997E-2</v>
      </c>
      <c r="R469">
        <v>0.10015499999999999</v>
      </c>
      <c r="S469">
        <v>0.10944</v>
      </c>
      <c r="T469">
        <v>0.1002846</v>
      </c>
      <c r="U469">
        <v>0.10907865</v>
      </c>
      <c r="V469">
        <v>0.1095864</v>
      </c>
      <c r="W469">
        <v>8.3045250000000001E-2</v>
      </c>
      <c r="X469">
        <v>7.4762999999999996E-2</v>
      </c>
      <c r="Y469">
        <v>7.2859199999999999E-2</v>
      </c>
      <c r="Z469">
        <v>7.563375E-2</v>
      </c>
      <c r="AA469">
        <v>8.7594000000000005E-2</v>
      </c>
      <c r="AB469">
        <v>9.2931299999999994E-2</v>
      </c>
    </row>
    <row r="470" spans="1:28" hidden="1" x14ac:dyDescent="0.25">
      <c r="A470" t="s">
        <v>7</v>
      </c>
      <c r="B470" t="s">
        <v>56</v>
      </c>
      <c r="C470">
        <v>110</v>
      </c>
      <c r="D470" t="s">
        <v>2</v>
      </c>
      <c r="E470">
        <v>6.4057012499999999</v>
      </c>
      <c r="F470">
        <v>5.90216925</v>
      </c>
      <c r="G470">
        <v>6.6153585000000001</v>
      </c>
      <c r="H470">
        <v>6.7120658000000004</v>
      </c>
      <c r="I470">
        <v>6.4681994999999999</v>
      </c>
      <c r="J470">
        <v>6.53749425</v>
      </c>
      <c r="K470">
        <v>6.5525056499999996</v>
      </c>
      <c r="L470">
        <v>6.7987852000000002</v>
      </c>
      <c r="M470">
        <v>6.3040000000000003</v>
      </c>
      <c r="N470">
        <v>6.0065989500999999</v>
      </c>
      <c r="O470">
        <v>5.97661555</v>
      </c>
      <c r="P470">
        <v>5.8940824000000003</v>
      </c>
      <c r="Q470">
        <v>5.6906207999999996</v>
      </c>
      <c r="R470">
        <v>5.8234972999999997</v>
      </c>
      <c r="S470">
        <v>5.9454599999999997</v>
      </c>
      <c r="T470">
        <v>5.9727642000000003</v>
      </c>
      <c r="U470">
        <v>6.0670681000000002</v>
      </c>
      <c r="V470">
        <v>6.3550623999999996</v>
      </c>
      <c r="W470">
        <v>6.2477368000000002</v>
      </c>
      <c r="X470">
        <v>6.2242150000000001</v>
      </c>
      <c r="Y470">
        <v>6.2346560000000002</v>
      </c>
      <c r="Z470">
        <v>5.8881329999999998</v>
      </c>
      <c r="AA470">
        <v>6.4710067499999999</v>
      </c>
      <c r="AB470">
        <v>7.5407856999999998</v>
      </c>
    </row>
    <row r="471" spans="1:28" hidden="1" x14ac:dyDescent="0.25">
      <c r="A471" t="s">
        <v>7</v>
      </c>
      <c r="B471" t="s">
        <v>56</v>
      </c>
      <c r="C471">
        <v>110</v>
      </c>
      <c r="D471" t="s">
        <v>3</v>
      </c>
      <c r="E471">
        <v>2.1808839669000002</v>
      </c>
      <c r="F471">
        <v>2.0163914771</v>
      </c>
      <c r="G471">
        <v>2.3099394224999998</v>
      </c>
      <c r="H471">
        <v>2.3196386500999999</v>
      </c>
      <c r="I471">
        <v>2.3998364947000002</v>
      </c>
      <c r="J471">
        <v>2.4767339210000001</v>
      </c>
      <c r="K471">
        <v>2.5362053544999998</v>
      </c>
      <c r="L471">
        <v>2.5963013165</v>
      </c>
      <c r="M471">
        <v>2.3962019679000002</v>
      </c>
      <c r="N471">
        <v>2.1977909697000002</v>
      </c>
      <c r="O471">
        <v>2.0944210376000001</v>
      </c>
      <c r="P471">
        <v>2.0343226548</v>
      </c>
      <c r="Q471">
        <v>1.8245806935</v>
      </c>
      <c r="R471">
        <v>1.9644621496000001</v>
      </c>
      <c r="S471">
        <v>2.0020802200999999</v>
      </c>
      <c r="T471">
        <v>2.0320383660000001</v>
      </c>
      <c r="U471">
        <v>2.0531732838000001</v>
      </c>
      <c r="V471">
        <v>2.0561526888000001</v>
      </c>
      <c r="W471">
        <v>2.1279685909000001</v>
      </c>
      <c r="X471">
        <v>2.0783074627999998</v>
      </c>
      <c r="Y471">
        <v>2.1370795492000001</v>
      </c>
      <c r="Z471">
        <v>2.0473790891000001</v>
      </c>
      <c r="AA471">
        <v>2.1702362246</v>
      </c>
      <c r="AB471">
        <v>2.2755441816999999</v>
      </c>
    </row>
    <row r="472" spans="1:28" hidden="1" x14ac:dyDescent="0.25">
      <c r="A472" t="s">
        <v>7</v>
      </c>
      <c r="B472" t="s">
        <v>56</v>
      </c>
      <c r="C472">
        <v>110</v>
      </c>
      <c r="D472" t="s">
        <v>4</v>
      </c>
      <c r="E472">
        <v>9.7548750000000004E-2</v>
      </c>
      <c r="F472">
        <v>8.9880749999999995E-2</v>
      </c>
      <c r="G472">
        <v>0.1007415</v>
      </c>
      <c r="H472">
        <v>0.10221420000000001</v>
      </c>
      <c r="I472">
        <v>9.8500500000000005E-2</v>
      </c>
      <c r="J472">
        <v>9.9555749999999998E-2</v>
      </c>
      <c r="K472">
        <v>9.9784349999999994E-2</v>
      </c>
      <c r="L472">
        <v>0.1035348</v>
      </c>
      <c r="M472">
        <v>9.6000000000000002E-2</v>
      </c>
      <c r="N472">
        <v>9.1471049900000004E-2</v>
      </c>
      <c r="O472">
        <v>9.1014449999999997E-2</v>
      </c>
      <c r="P472">
        <v>8.9757600000000007E-2</v>
      </c>
      <c r="Q472">
        <v>8.6659200000000006E-2</v>
      </c>
      <c r="R472">
        <v>8.8682700000000003E-2</v>
      </c>
      <c r="S472">
        <v>9.0539999999999995E-2</v>
      </c>
      <c r="T472">
        <v>9.0955800000000003E-2</v>
      </c>
      <c r="U472">
        <v>9.2391899999999999E-2</v>
      </c>
      <c r="V472">
        <v>9.6777600000000005E-2</v>
      </c>
      <c r="W472">
        <v>9.5143199999999997E-2</v>
      </c>
      <c r="X472">
        <v>9.4784999999999994E-2</v>
      </c>
      <c r="Y472">
        <v>9.4944000000000001E-2</v>
      </c>
      <c r="Z472">
        <v>8.9666999999999997E-2</v>
      </c>
      <c r="AA472">
        <v>9.8543249999999999E-2</v>
      </c>
      <c r="AB472">
        <v>0.1148343</v>
      </c>
    </row>
    <row r="473" spans="1:28" hidden="1" x14ac:dyDescent="0.25">
      <c r="A473" t="s">
        <v>7</v>
      </c>
      <c r="B473" t="s">
        <v>57</v>
      </c>
      <c r="C473">
        <v>110</v>
      </c>
      <c r="D473" t="s">
        <v>2</v>
      </c>
      <c r="E473">
        <v>0.80671499999999996</v>
      </c>
      <c r="F473">
        <v>0.78695590000000004</v>
      </c>
      <c r="G473">
        <v>0.73904550000000002</v>
      </c>
      <c r="H473">
        <v>0.74478805000000003</v>
      </c>
      <c r="I473">
        <v>0.71481450000000002</v>
      </c>
      <c r="J473">
        <v>0.65819669999999997</v>
      </c>
      <c r="K473">
        <v>0.51464279999999996</v>
      </c>
      <c r="L473">
        <v>0.50849639999999996</v>
      </c>
      <c r="M473">
        <v>0.53457920000000003</v>
      </c>
      <c r="N473">
        <v>0.53534749999999998</v>
      </c>
      <c r="O473">
        <v>0.56489750000000005</v>
      </c>
      <c r="P473">
        <v>0.64576600009999996</v>
      </c>
      <c r="Q473">
        <v>0.69927119999999998</v>
      </c>
      <c r="R473">
        <v>0.71747399999999995</v>
      </c>
      <c r="S473">
        <v>0.73284000000000005</v>
      </c>
      <c r="T473">
        <v>0.73039719999999997</v>
      </c>
      <c r="U473">
        <v>0.70359534999999995</v>
      </c>
      <c r="V473">
        <v>0.74765440000000005</v>
      </c>
      <c r="W473">
        <v>1.00987125</v>
      </c>
      <c r="X473">
        <v>1.0490250000000001</v>
      </c>
      <c r="Y473">
        <v>1.0029664</v>
      </c>
      <c r="Z473">
        <v>0.90954900000000005</v>
      </c>
      <c r="AA473">
        <v>0.88492400000000004</v>
      </c>
      <c r="AB473">
        <v>0.86297820000000003</v>
      </c>
    </row>
    <row r="474" spans="1:28" hidden="1" x14ac:dyDescent="0.25">
      <c r="A474" t="s">
        <v>7</v>
      </c>
      <c r="B474" t="s">
        <v>57</v>
      </c>
      <c r="C474">
        <v>110</v>
      </c>
      <c r="D474" t="s">
        <v>3</v>
      </c>
      <c r="E474">
        <v>0.34373210520000003</v>
      </c>
      <c r="F474">
        <v>0.35247135280000003</v>
      </c>
      <c r="G474">
        <v>0.35253883250000001</v>
      </c>
      <c r="H474">
        <v>0.40114326220000002</v>
      </c>
      <c r="I474">
        <v>0.34534969240000002</v>
      </c>
      <c r="J474">
        <v>0.33898837710000002</v>
      </c>
      <c r="K474">
        <v>0.23991929419999999</v>
      </c>
      <c r="L474">
        <v>0.2297485356</v>
      </c>
      <c r="M474">
        <v>0.25887824100000001</v>
      </c>
      <c r="N474">
        <v>0.27266402779999999</v>
      </c>
      <c r="O474">
        <v>0.30055824060000003</v>
      </c>
      <c r="P474">
        <v>0.29583507469999998</v>
      </c>
      <c r="Q474">
        <v>0.32227359420000001</v>
      </c>
      <c r="R474">
        <v>0.3475494791</v>
      </c>
      <c r="S474">
        <v>0.30839827780000001</v>
      </c>
      <c r="T474">
        <v>0.35020232959999997</v>
      </c>
      <c r="U474">
        <v>0.30355640719999999</v>
      </c>
      <c r="V474">
        <v>0.35127674069999998</v>
      </c>
      <c r="W474">
        <v>0.43381797909999997</v>
      </c>
      <c r="X474">
        <v>0.43532135170000003</v>
      </c>
      <c r="Y474">
        <v>0.43085181090000002</v>
      </c>
      <c r="Z474">
        <v>0.40204598060000002</v>
      </c>
      <c r="AA474">
        <v>0.41846010639999998</v>
      </c>
      <c r="AB474">
        <v>0.4350704574</v>
      </c>
    </row>
    <row r="475" spans="1:28" hidden="1" x14ac:dyDescent="0.25">
      <c r="A475" t="s">
        <v>7</v>
      </c>
      <c r="B475" t="s">
        <v>57</v>
      </c>
      <c r="C475">
        <v>110</v>
      </c>
      <c r="D475" t="s">
        <v>4</v>
      </c>
      <c r="E475">
        <v>1.2285000000000001E-2</v>
      </c>
      <c r="F475">
        <v>1.1984099999999999E-2</v>
      </c>
      <c r="G475">
        <v>1.1254500000000001E-2</v>
      </c>
      <c r="H475">
        <v>1.134195E-2</v>
      </c>
      <c r="I475">
        <v>1.0885499999999999E-2</v>
      </c>
      <c r="J475">
        <v>1.0023300000000001E-2</v>
      </c>
      <c r="K475">
        <v>7.8372000000000008E-3</v>
      </c>
      <c r="L475">
        <v>7.7435999999999998E-3</v>
      </c>
      <c r="M475">
        <v>8.1408000000000001E-3</v>
      </c>
      <c r="N475">
        <v>8.1525E-3</v>
      </c>
      <c r="O475">
        <v>8.6025000000000008E-3</v>
      </c>
      <c r="P475">
        <v>9.8339998999999994E-3</v>
      </c>
      <c r="Q475">
        <v>1.06488E-2</v>
      </c>
      <c r="R475">
        <v>1.0926E-2</v>
      </c>
      <c r="S475">
        <v>1.116E-2</v>
      </c>
      <c r="T475">
        <v>1.11228E-2</v>
      </c>
      <c r="U475">
        <v>1.0714649999999999E-2</v>
      </c>
      <c r="V475">
        <v>1.1385599999999999E-2</v>
      </c>
      <c r="W475">
        <v>1.537875E-2</v>
      </c>
      <c r="X475">
        <v>1.5975E-2</v>
      </c>
      <c r="Y475">
        <v>1.52736E-2</v>
      </c>
      <c r="Z475">
        <v>1.3851E-2</v>
      </c>
      <c r="AA475">
        <v>1.3476E-2</v>
      </c>
      <c r="AB475">
        <v>1.31418E-2</v>
      </c>
    </row>
    <row r="476" spans="1:28" hidden="1" x14ac:dyDescent="0.25">
      <c r="A476" t="s">
        <v>7</v>
      </c>
      <c r="B476" t="s">
        <v>58</v>
      </c>
      <c r="C476">
        <v>110</v>
      </c>
      <c r="D476" t="s">
        <v>2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</row>
    <row r="477" spans="1:28" hidden="1" x14ac:dyDescent="0.25">
      <c r="A477" t="s">
        <v>7</v>
      </c>
      <c r="B477" t="s">
        <v>58</v>
      </c>
      <c r="C477">
        <v>110</v>
      </c>
      <c r="D477" t="s">
        <v>3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</row>
    <row r="478" spans="1:28" hidden="1" x14ac:dyDescent="0.25">
      <c r="A478" t="s">
        <v>7</v>
      </c>
      <c r="B478" t="s">
        <v>58</v>
      </c>
      <c r="C478">
        <v>110</v>
      </c>
      <c r="D478" t="s">
        <v>4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</row>
    <row r="479" spans="1:28" hidden="1" x14ac:dyDescent="0.25">
      <c r="A479" t="s">
        <v>7</v>
      </c>
      <c r="B479" t="s">
        <v>59</v>
      </c>
      <c r="C479">
        <v>110</v>
      </c>
      <c r="D479" t="s">
        <v>2</v>
      </c>
      <c r="E479">
        <v>9.2484112500000002</v>
      </c>
      <c r="F479">
        <v>10.1572215</v>
      </c>
      <c r="G479">
        <v>10.382688</v>
      </c>
      <c r="H479">
        <v>10.43600605</v>
      </c>
      <c r="I479">
        <v>10.478134499999999</v>
      </c>
      <c r="J479">
        <v>10.80687825</v>
      </c>
      <c r="K479">
        <v>10.118245050000001</v>
      </c>
      <c r="L479">
        <v>10.292343799999999</v>
      </c>
      <c r="M479">
        <v>8.2305024000000007</v>
      </c>
      <c r="N479">
        <v>6.3706352500000003</v>
      </c>
      <c r="O479">
        <v>10.4393058</v>
      </c>
      <c r="P479">
        <v>8.1366516000000004</v>
      </c>
      <c r="Q479">
        <v>10.2117708</v>
      </c>
      <c r="R479">
        <v>10.008762300000001</v>
      </c>
      <c r="S479">
        <v>8.5813199999999998</v>
      </c>
      <c r="T479">
        <v>9.9192651999999999</v>
      </c>
      <c r="U479">
        <v>11.245991249999999</v>
      </c>
      <c r="V479">
        <v>11.623689499999999</v>
      </c>
      <c r="W479">
        <v>10.745030099999999</v>
      </c>
      <c r="X479">
        <v>10.951821000000001</v>
      </c>
      <c r="Y479">
        <v>11.6018816</v>
      </c>
      <c r="Z479">
        <v>10.579491000000001</v>
      </c>
      <c r="AA479">
        <v>4.7675280500000001</v>
      </c>
      <c r="AB479">
        <v>5.4449814999999999</v>
      </c>
    </row>
    <row r="480" spans="1:28" hidden="1" x14ac:dyDescent="0.25">
      <c r="A480" t="s">
        <v>7</v>
      </c>
      <c r="B480" t="s">
        <v>59</v>
      </c>
      <c r="C480">
        <v>110</v>
      </c>
      <c r="D480" t="s">
        <v>3</v>
      </c>
      <c r="E480">
        <v>3.4936078144999998</v>
      </c>
      <c r="F480">
        <v>4.0140712909999996</v>
      </c>
      <c r="G480">
        <v>4.6286470710999996</v>
      </c>
      <c r="H480">
        <v>4.6570239133999998</v>
      </c>
      <c r="I480">
        <v>4.4964528135000004</v>
      </c>
      <c r="J480">
        <v>4.3334331372000001</v>
      </c>
      <c r="K480">
        <v>4.4770324783</v>
      </c>
      <c r="L480">
        <v>5.1828621860000004</v>
      </c>
      <c r="M480">
        <v>4.1048291024000001</v>
      </c>
      <c r="N480">
        <v>3.5566925727999998</v>
      </c>
      <c r="O480">
        <v>4.6949801226999996</v>
      </c>
      <c r="P480">
        <v>3.7021896813000001</v>
      </c>
      <c r="Q480">
        <v>4.7228565657999999</v>
      </c>
      <c r="R480">
        <v>4.6283880608999999</v>
      </c>
      <c r="S480">
        <v>4.5887129125000001</v>
      </c>
      <c r="T480">
        <v>4.4996842714999996</v>
      </c>
      <c r="U480">
        <v>4.8818467112999997</v>
      </c>
      <c r="V480">
        <v>5.9276128045999998</v>
      </c>
      <c r="W480">
        <v>4.9946234473000004</v>
      </c>
      <c r="X480">
        <v>5.0777843239999996</v>
      </c>
      <c r="Y480">
        <v>5.2534850091000003</v>
      </c>
      <c r="Z480">
        <v>4.8616710436000004</v>
      </c>
      <c r="AA480">
        <v>2.0148269378000001</v>
      </c>
      <c r="AB480">
        <v>2.2880847918999998</v>
      </c>
    </row>
    <row r="481" spans="1:28" hidden="1" x14ac:dyDescent="0.25">
      <c r="A481" t="s">
        <v>7</v>
      </c>
      <c r="B481" t="s">
        <v>59</v>
      </c>
      <c r="C481">
        <v>110</v>
      </c>
      <c r="D481" t="s">
        <v>4</v>
      </c>
      <c r="E481">
        <v>0.14083875000000001</v>
      </c>
      <c r="F481">
        <v>0.1546785</v>
      </c>
      <c r="G481">
        <v>0.158112</v>
      </c>
      <c r="H481">
        <v>0.15892395000000001</v>
      </c>
      <c r="I481">
        <v>0.1595655</v>
      </c>
      <c r="J481">
        <v>0.16457174999999999</v>
      </c>
      <c r="K481">
        <v>0.15408495</v>
      </c>
      <c r="L481">
        <v>0.15673619999999999</v>
      </c>
      <c r="M481">
        <v>0.12533759999999999</v>
      </c>
      <c r="N481">
        <v>9.7014749999999997E-2</v>
      </c>
      <c r="O481">
        <v>0.15897420000000001</v>
      </c>
      <c r="P481">
        <v>0.1239084</v>
      </c>
      <c r="Q481">
        <v>0.15550919999999999</v>
      </c>
      <c r="R481">
        <v>0.15241769999999999</v>
      </c>
      <c r="S481">
        <v>0.13067999999999999</v>
      </c>
      <c r="T481">
        <v>0.15105479999999999</v>
      </c>
      <c r="U481">
        <v>0.17125874999999999</v>
      </c>
      <c r="V481">
        <v>0.17701049999999999</v>
      </c>
      <c r="W481">
        <v>0.16362989999999999</v>
      </c>
      <c r="X481">
        <v>0.16677900000000001</v>
      </c>
      <c r="Y481">
        <v>0.17667840000000001</v>
      </c>
      <c r="Z481">
        <v>0.161109</v>
      </c>
      <c r="AA481">
        <v>7.2601949999999998E-2</v>
      </c>
      <c r="AB481">
        <v>8.2918500000000006E-2</v>
      </c>
    </row>
    <row r="482" spans="1:28" hidden="1" x14ac:dyDescent="0.25">
      <c r="A482" t="s">
        <v>7</v>
      </c>
      <c r="B482" t="s">
        <v>60</v>
      </c>
      <c r="C482">
        <v>44</v>
      </c>
      <c r="D482" t="s">
        <v>2</v>
      </c>
      <c r="E482">
        <v>2.515695</v>
      </c>
      <c r="F482">
        <v>2.4330509999999999</v>
      </c>
      <c r="G482">
        <v>1.207068</v>
      </c>
      <c r="H482">
        <v>1.5464225</v>
      </c>
      <c r="I482">
        <v>2.5066739999999998</v>
      </c>
      <c r="J482">
        <v>3.6087492000000001</v>
      </c>
      <c r="K482">
        <v>3.891543</v>
      </c>
      <c r="L482">
        <v>3.7834656</v>
      </c>
      <c r="M482">
        <v>3.9929855999999999</v>
      </c>
      <c r="N482">
        <v>3.5216626</v>
      </c>
      <c r="O482">
        <v>4.3391010000000003</v>
      </c>
      <c r="P482">
        <v>4.5555855999999997</v>
      </c>
      <c r="Q482">
        <v>4.5235367999999996</v>
      </c>
      <c r="R482">
        <v>4.4865798000000003</v>
      </c>
      <c r="S482">
        <v>5.0052000000000003</v>
      </c>
      <c r="T482">
        <v>5.8122011999999996</v>
      </c>
      <c r="U482">
        <v>5.9746762000000002</v>
      </c>
      <c r="V482">
        <v>5.4414866000000002</v>
      </c>
      <c r="W482">
        <v>5.4895985999999999</v>
      </c>
      <c r="X482">
        <v>4.7658040000000002</v>
      </c>
      <c r="Y482">
        <v>3.9774655999999999</v>
      </c>
      <c r="Z482">
        <v>3.2174415000000001</v>
      </c>
      <c r="AA482">
        <v>2.8104198</v>
      </c>
      <c r="AB482">
        <v>2.6405631000000001</v>
      </c>
    </row>
    <row r="483" spans="1:28" hidden="1" x14ac:dyDescent="0.25">
      <c r="A483" t="s">
        <v>7</v>
      </c>
      <c r="B483" t="s">
        <v>60</v>
      </c>
      <c r="C483">
        <v>44</v>
      </c>
      <c r="D483" t="s">
        <v>3</v>
      </c>
      <c r="E483">
        <v>1.0630170685</v>
      </c>
      <c r="F483">
        <v>1.0029510174</v>
      </c>
      <c r="G483">
        <v>0.52051963779999999</v>
      </c>
      <c r="H483">
        <v>0.66630237739999998</v>
      </c>
      <c r="I483">
        <v>1.1973032785</v>
      </c>
      <c r="J483">
        <v>1.8033374745999999</v>
      </c>
      <c r="K483">
        <v>1.7779099848</v>
      </c>
      <c r="L483">
        <v>1.5777935436999999</v>
      </c>
      <c r="M483">
        <v>1.4779520144</v>
      </c>
      <c r="N483">
        <v>1.2669458495000001</v>
      </c>
      <c r="O483">
        <v>1.5843645452999999</v>
      </c>
      <c r="P483">
        <v>1.5627931237999999</v>
      </c>
      <c r="Q483">
        <v>1.5563128122000001</v>
      </c>
      <c r="R483">
        <v>1.6080874951999999</v>
      </c>
      <c r="S483">
        <v>2.1447101417000001</v>
      </c>
      <c r="T483">
        <v>2.9123880450000001</v>
      </c>
      <c r="U483">
        <v>2.3858878785000002</v>
      </c>
      <c r="V483">
        <v>2.5645804130999998</v>
      </c>
      <c r="W483">
        <v>1.9795017223</v>
      </c>
      <c r="X483">
        <v>1.5844664962999999</v>
      </c>
      <c r="Y483">
        <v>1.3164813740000001</v>
      </c>
      <c r="Z483">
        <v>1.1927903892</v>
      </c>
      <c r="AA483">
        <v>1.1583372391</v>
      </c>
      <c r="AB483">
        <v>1.1588330496000001</v>
      </c>
    </row>
    <row r="484" spans="1:28" hidden="1" x14ac:dyDescent="0.25">
      <c r="A484" t="s">
        <v>7</v>
      </c>
      <c r="B484" t="s">
        <v>60</v>
      </c>
      <c r="C484">
        <v>44</v>
      </c>
      <c r="D484" t="s">
        <v>4</v>
      </c>
      <c r="E484">
        <v>7.7804999999999999E-2</v>
      </c>
      <c r="F484">
        <v>7.5248999999999996E-2</v>
      </c>
      <c r="G484">
        <v>3.7331999999999997E-2</v>
      </c>
      <c r="H484">
        <v>4.7827500000000002E-2</v>
      </c>
      <c r="I484">
        <v>7.7525999999999998E-2</v>
      </c>
      <c r="J484">
        <v>0.1116108</v>
      </c>
      <c r="K484">
        <v>0.12035700000000001</v>
      </c>
      <c r="L484">
        <v>0.1170144</v>
      </c>
      <c r="M484">
        <v>0.1234944</v>
      </c>
      <c r="N484">
        <v>0.1089174</v>
      </c>
      <c r="O484">
        <v>0.13419900000000001</v>
      </c>
      <c r="P484">
        <v>0.1408944</v>
      </c>
      <c r="Q484">
        <v>0.13990320000000001</v>
      </c>
      <c r="R484">
        <v>0.1387602</v>
      </c>
      <c r="S484">
        <v>0.15479999999999999</v>
      </c>
      <c r="T484">
        <v>0.1797588</v>
      </c>
      <c r="U484">
        <v>0.1847838</v>
      </c>
      <c r="V484">
        <v>0.16829340000000001</v>
      </c>
      <c r="W484">
        <v>0.1697814</v>
      </c>
      <c r="X484">
        <v>0.147396</v>
      </c>
      <c r="Y484">
        <v>0.1230144</v>
      </c>
      <c r="Z484">
        <v>9.95085E-2</v>
      </c>
      <c r="AA484">
        <v>8.6920200000000003E-2</v>
      </c>
      <c r="AB484">
        <v>8.1666900000000001E-2</v>
      </c>
    </row>
    <row r="485" spans="1:28" hidden="1" x14ac:dyDescent="0.25">
      <c r="A485" t="s">
        <v>7</v>
      </c>
      <c r="B485" t="s">
        <v>61</v>
      </c>
      <c r="C485">
        <v>110</v>
      </c>
      <c r="D485" t="s">
        <v>2</v>
      </c>
      <c r="E485">
        <v>18.477615</v>
      </c>
      <c r="F485">
        <v>18.1365883</v>
      </c>
      <c r="G485">
        <v>17.908334249999999</v>
      </c>
      <c r="H485">
        <v>17.757179699999998</v>
      </c>
      <c r="I485">
        <v>17.267023999999999</v>
      </c>
      <c r="J485">
        <v>16.7471213</v>
      </c>
      <c r="K485">
        <v>17.22172385</v>
      </c>
      <c r="L485">
        <v>18.230537600000002</v>
      </c>
      <c r="M485">
        <v>20.071936000000001</v>
      </c>
      <c r="N485">
        <v>20.546637050000001</v>
      </c>
      <c r="O485">
        <v>20.70914235</v>
      </c>
      <c r="P485">
        <v>21.580325599999998</v>
      </c>
      <c r="Q485">
        <v>21.641238000000001</v>
      </c>
      <c r="R485">
        <v>20.220808900000002</v>
      </c>
      <c r="S485">
        <v>19.2666</v>
      </c>
      <c r="T485">
        <v>19.767846800000001</v>
      </c>
      <c r="U485">
        <v>19.608395000000002</v>
      </c>
      <c r="V485">
        <v>20.5020855</v>
      </c>
      <c r="W485">
        <v>24.075330600000001</v>
      </c>
      <c r="X485">
        <v>25.092677999999999</v>
      </c>
      <c r="Y485">
        <v>24.667552000000001</v>
      </c>
      <c r="Z485">
        <v>20.931594749999999</v>
      </c>
      <c r="AA485">
        <v>25.906150100000001</v>
      </c>
      <c r="AB485">
        <v>26.670135800000001</v>
      </c>
    </row>
    <row r="486" spans="1:28" hidden="1" x14ac:dyDescent="0.25">
      <c r="A486" t="s">
        <v>7</v>
      </c>
      <c r="B486" t="s">
        <v>61</v>
      </c>
      <c r="C486">
        <v>110</v>
      </c>
      <c r="D486" t="s">
        <v>3</v>
      </c>
      <c r="E486">
        <v>3.8315455563</v>
      </c>
      <c r="F486">
        <v>3.7673464168000002</v>
      </c>
      <c r="G486">
        <v>3.7015227428999999</v>
      </c>
      <c r="H486">
        <v>3.3890572036000002</v>
      </c>
      <c r="I486">
        <v>3.3059935483</v>
      </c>
      <c r="J486">
        <v>3.1337004521999998</v>
      </c>
      <c r="K486">
        <v>3.1864683457999998</v>
      </c>
      <c r="L486">
        <v>3.4824223647000001</v>
      </c>
      <c r="M486">
        <v>3.9952592651000001</v>
      </c>
      <c r="N486">
        <v>4.4602101877999996</v>
      </c>
      <c r="O486">
        <v>5.0732239798999998</v>
      </c>
      <c r="P486">
        <v>5.3288041456000004</v>
      </c>
      <c r="Q486">
        <v>5.3246612642000004</v>
      </c>
      <c r="R486">
        <v>4.7510473569</v>
      </c>
      <c r="S486">
        <v>4.1823430957000003</v>
      </c>
      <c r="T486">
        <v>4.4675733690000001</v>
      </c>
      <c r="U486">
        <v>4.4306018349</v>
      </c>
      <c r="V486">
        <v>4.3699587129999999</v>
      </c>
      <c r="W486">
        <v>5.1700954552000002</v>
      </c>
      <c r="X486">
        <v>5.0636882980999998</v>
      </c>
      <c r="Y486">
        <v>5.1416497521000002</v>
      </c>
      <c r="Z486">
        <v>4.4824585432999999</v>
      </c>
      <c r="AA486">
        <v>8.2828580605000006</v>
      </c>
      <c r="AB486">
        <v>9.9456837038000003</v>
      </c>
    </row>
    <row r="487" spans="1:28" hidden="1" x14ac:dyDescent="0.25">
      <c r="A487" t="s">
        <v>7</v>
      </c>
      <c r="B487" t="s">
        <v>61</v>
      </c>
      <c r="C487">
        <v>110</v>
      </c>
      <c r="D487" t="s">
        <v>4</v>
      </c>
      <c r="E487">
        <v>0.281385</v>
      </c>
      <c r="F487">
        <v>0.27619169999999998</v>
      </c>
      <c r="G487">
        <v>0.27271574999999998</v>
      </c>
      <c r="H487">
        <v>0.27041390399999998</v>
      </c>
      <c r="I487">
        <v>0.262949604</v>
      </c>
      <c r="J487">
        <v>0.25503230399999999</v>
      </c>
      <c r="K487">
        <v>0.26225975400000001</v>
      </c>
      <c r="L487">
        <v>0.27762239999999999</v>
      </c>
      <c r="M487">
        <v>0.30566399999999999</v>
      </c>
      <c r="N487">
        <v>0.31289295</v>
      </c>
      <c r="O487">
        <v>0.31536765</v>
      </c>
      <c r="P487">
        <v>0.32863439999999999</v>
      </c>
      <c r="Q487">
        <v>0.32956200000000002</v>
      </c>
      <c r="R487">
        <v>0.30793110000000001</v>
      </c>
      <c r="S487">
        <v>0.29339999999999999</v>
      </c>
      <c r="T487">
        <v>0.3010332</v>
      </c>
      <c r="U487">
        <v>0.29860500000000001</v>
      </c>
      <c r="V487">
        <v>0.31221450000000001</v>
      </c>
      <c r="W487">
        <v>0.36662939999999999</v>
      </c>
      <c r="X487">
        <v>0.38212200000000002</v>
      </c>
      <c r="Y487">
        <v>0.37564799999999998</v>
      </c>
      <c r="Z487">
        <v>0.31875524999999999</v>
      </c>
      <c r="AA487">
        <v>0.39450990000000002</v>
      </c>
      <c r="AB487">
        <v>0.40614420000000001</v>
      </c>
    </row>
    <row r="488" spans="1:28" hidden="1" x14ac:dyDescent="0.25">
      <c r="A488" t="s">
        <v>7</v>
      </c>
      <c r="B488" t="s">
        <v>62</v>
      </c>
      <c r="C488">
        <v>110</v>
      </c>
      <c r="D488" t="s">
        <v>2</v>
      </c>
      <c r="E488">
        <v>17.1907125</v>
      </c>
      <c r="F488">
        <v>16.306458299999999</v>
      </c>
      <c r="G488">
        <v>16.304064749999998</v>
      </c>
      <c r="H488">
        <v>15.972562999999999</v>
      </c>
      <c r="I488">
        <v>15.01982175</v>
      </c>
      <c r="J488">
        <v>15.25415325</v>
      </c>
      <c r="K488">
        <v>20.061879149999999</v>
      </c>
      <c r="L488">
        <v>20.8483524</v>
      </c>
      <c r="M488">
        <v>22.422067200000001</v>
      </c>
      <c r="N488">
        <v>24.2191209</v>
      </c>
      <c r="O488">
        <v>26.098264499999999</v>
      </c>
      <c r="P488">
        <v>26.922571600000001</v>
      </c>
      <c r="Q488">
        <v>27.090730799999999</v>
      </c>
      <c r="R488">
        <v>27.431422600000001</v>
      </c>
      <c r="S488">
        <v>26.535900000000002</v>
      </c>
      <c r="T488">
        <v>25.8112946</v>
      </c>
      <c r="U488">
        <v>25.179486050000001</v>
      </c>
      <c r="V488">
        <v>25.338474900000001</v>
      </c>
      <c r="W488">
        <v>25.314105999999999</v>
      </c>
      <c r="X488">
        <v>27.232689000000001</v>
      </c>
      <c r="Y488">
        <v>26.9987712</v>
      </c>
      <c r="Z488">
        <v>22.511337749999999</v>
      </c>
      <c r="AA488">
        <v>21.216052900000001</v>
      </c>
      <c r="AB488">
        <v>19.417009499999999</v>
      </c>
    </row>
    <row r="489" spans="1:28" hidden="1" x14ac:dyDescent="0.25">
      <c r="A489" t="s">
        <v>7</v>
      </c>
      <c r="B489" t="s">
        <v>62</v>
      </c>
      <c r="C489">
        <v>110</v>
      </c>
      <c r="D489" t="s">
        <v>3</v>
      </c>
      <c r="E489">
        <v>7.1621108525999997</v>
      </c>
      <c r="F489">
        <v>6.4902809581999996</v>
      </c>
      <c r="G489">
        <v>6.5397753631000004</v>
      </c>
      <c r="H489">
        <v>6.6424056224000001</v>
      </c>
      <c r="I489">
        <v>6.4083743693999997</v>
      </c>
      <c r="J489">
        <v>5.8911268982999996</v>
      </c>
      <c r="K489">
        <v>8.4224603703999996</v>
      </c>
      <c r="L489">
        <v>8.6687947367000007</v>
      </c>
      <c r="M489">
        <v>9.1232958035999996</v>
      </c>
      <c r="N489">
        <v>9.9895402808</v>
      </c>
      <c r="O489">
        <v>11.371188886300001</v>
      </c>
      <c r="P489">
        <v>11.865474714399999</v>
      </c>
      <c r="Q489">
        <v>11.572429788199999</v>
      </c>
      <c r="R489">
        <v>11.660086421900001</v>
      </c>
      <c r="S489">
        <v>11.278632096600001</v>
      </c>
      <c r="T489">
        <v>11.4443894975</v>
      </c>
      <c r="U489">
        <v>10.545689275499999</v>
      </c>
      <c r="V489">
        <v>10.6130481424</v>
      </c>
      <c r="W489">
        <v>9.0324252284999993</v>
      </c>
      <c r="X489">
        <v>9.1008225175999993</v>
      </c>
      <c r="Y489">
        <v>9.1047740640000008</v>
      </c>
      <c r="Z489">
        <v>7.9071105631999998</v>
      </c>
      <c r="AA489">
        <v>7.9221467180999996</v>
      </c>
      <c r="AB489">
        <v>8.0362204841999993</v>
      </c>
    </row>
    <row r="490" spans="1:28" hidden="1" x14ac:dyDescent="0.25">
      <c r="A490" t="s">
        <v>7</v>
      </c>
      <c r="B490" t="s">
        <v>62</v>
      </c>
      <c r="C490">
        <v>110</v>
      </c>
      <c r="D490" t="s">
        <v>4</v>
      </c>
      <c r="E490">
        <v>0.26178750000000001</v>
      </c>
      <c r="F490">
        <v>0.24832170000000001</v>
      </c>
      <c r="G490">
        <v>0.24828525000000001</v>
      </c>
      <c r="H490">
        <v>0.24323700000000001</v>
      </c>
      <c r="I490">
        <v>0.22872824999999999</v>
      </c>
      <c r="J490">
        <v>0.23229675</v>
      </c>
      <c r="K490">
        <v>0.30551085</v>
      </c>
      <c r="L490">
        <v>0.31748759999999998</v>
      </c>
      <c r="M490">
        <v>0.3414528</v>
      </c>
      <c r="N490">
        <v>0.36881910000000001</v>
      </c>
      <c r="O490">
        <v>0.3974355</v>
      </c>
      <c r="P490">
        <v>0.40998839999999998</v>
      </c>
      <c r="Q490">
        <v>0.4125492</v>
      </c>
      <c r="R490">
        <v>0.41773739999999998</v>
      </c>
      <c r="S490">
        <v>0.40410000000000001</v>
      </c>
      <c r="T490">
        <v>0.39306540000000001</v>
      </c>
      <c r="U490">
        <v>0.38344394999999998</v>
      </c>
      <c r="V490">
        <v>0.38586510000000002</v>
      </c>
      <c r="W490">
        <v>0.385494</v>
      </c>
      <c r="X490">
        <v>0.414711</v>
      </c>
      <c r="Y490">
        <v>0.41114879999999998</v>
      </c>
      <c r="Z490">
        <v>0.34281224999999999</v>
      </c>
      <c r="AA490">
        <v>0.32308710000000002</v>
      </c>
      <c r="AB490">
        <v>0.29569050000000002</v>
      </c>
    </row>
    <row r="491" spans="1:28" hidden="1" x14ac:dyDescent="0.25">
      <c r="A491" t="s">
        <v>7</v>
      </c>
      <c r="B491" t="s">
        <v>63</v>
      </c>
      <c r="C491">
        <v>110</v>
      </c>
      <c r="D491" t="s">
        <v>2</v>
      </c>
      <c r="E491">
        <v>7.3660762499999999</v>
      </c>
      <c r="F491">
        <v>7.1558083000000003</v>
      </c>
      <c r="G491">
        <v>7.0750087500000003</v>
      </c>
      <c r="H491">
        <v>6.5236254499999999</v>
      </c>
      <c r="I491">
        <v>6.2415510000000003</v>
      </c>
      <c r="J491">
        <v>6.3507087000000002</v>
      </c>
      <c r="K491">
        <v>6.5892658500000003</v>
      </c>
      <c r="L491">
        <v>7.3543646000000003</v>
      </c>
      <c r="M491">
        <v>7.8774784000000002</v>
      </c>
      <c r="N491">
        <v>8.0516264</v>
      </c>
      <c r="O491">
        <v>8.3830788999999992</v>
      </c>
      <c r="P491">
        <v>8.6884879999999995</v>
      </c>
      <c r="Q491">
        <v>8.8252848000000004</v>
      </c>
      <c r="R491">
        <v>8.7890564999999992</v>
      </c>
      <c r="S491">
        <v>8.6995199999999997</v>
      </c>
      <c r="T491">
        <v>8.6823022000000005</v>
      </c>
      <c r="U491">
        <v>8.3508694000000006</v>
      </c>
      <c r="V491">
        <v>8.3527015000000002</v>
      </c>
      <c r="W491">
        <v>9.4523948999999998</v>
      </c>
      <c r="X491">
        <v>9.5950819999999997</v>
      </c>
      <c r="Y491">
        <v>8.8505008000000007</v>
      </c>
      <c r="Z491">
        <v>7.8747794999999998</v>
      </c>
      <c r="AA491">
        <v>7.1236382000000003</v>
      </c>
      <c r="AB491">
        <v>6.7291752499999999</v>
      </c>
    </row>
    <row r="492" spans="1:28" hidden="1" x14ac:dyDescent="0.25">
      <c r="A492" t="s">
        <v>7</v>
      </c>
      <c r="B492" t="s">
        <v>63</v>
      </c>
      <c r="C492">
        <v>110</v>
      </c>
      <c r="D492" t="s">
        <v>3</v>
      </c>
      <c r="E492">
        <v>3.7275516824000001</v>
      </c>
      <c r="F492">
        <v>3.0163439637999998</v>
      </c>
      <c r="G492">
        <v>3.3771329972999999</v>
      </c>
      <c r="H492">
        <v>2.8114010920000001</v>
      </c>
      <c r="I492">
        <v>2.6524880409999998</v>
      </c>
      <c r="J492">
        <v>2.6145704364000002</v>
      </c>
      <c r="K492">
        <v>3.1629048936999999</v>
      </c>
      <c r="L492">
        <v>3.5772810502999999</v>
      </c>
      <c r="M492">
        <v>3.4252268771000001</v>
      </c>
      <c r="N492">
        <v>3.5483218039</v>
      </c>
      <c r="O492">
        <v>3.6405671522</v>
      </c>
      <c r="P492">
        <v>3.7724211434999999</v>
      </c>
      <c r="Q492">
        <v>4.3383162801999999</v>
      </c>
      <c r="R492">
        <v>3.8774676956</v>
      </c>
      <c r="S492">
        <v>4.4359216483999999</v>
      </c>
      <c r="T492">
        <v>3.9322218726</v>
      </c>
      <c r="U492">
        <v>4.0775659426999997</v>
      </c>
      <c r="V492">
        <v>3.9210622468</v>
      </c>
      <c r="W492">
        <v>4.2917591757000002</v>
      </c>
      <c r="X492">
        <v>4.1954903316000003</v>
      </c>
      <c r="Y492">
        <v>4.0948164409999999</v>
      </c>
      <c r="Z492">
        <v>3.9588750903999999</v>
      </c>
      <c r="AA492">
        <v>3.1883195256999999</v>
      </c>
      <c r="AB492">
        <v>3.3391042503000001</v>
      </c>
    </row>
    <row r="493" spans="1:28" hidden="1" x14ac:dyDescent="0.25">
      <c r="A493" t="s">
        <v>7</v>
      </c>
      <c r="B493" t="s">
        <v>63</v>
      </c>
      <c r="C493">
        <v>110</v>
      </c>
      <c r="D493" t="s">
        <v>4</v>
      </c>
      <c r="E493">
        <v>0.11217375</v>
      </c>
      <c r="F493">
        <v>0.1089717</v>
      </c>
      <c r="G493">
        <v>0.10774125</v>
      </c>
      <c r="H493">
        <v>9.9344550000000004E-2</v>
      </c>
      <c r="I493">
        <v>9.5048999999999995E-2</v>
      </c>
      <c r="J493">
        <v>9.67113E-2</v>
      </c>
      <c r="K493">
        <v>0.10034414999999999</v>
      </c>
      <c r="L493">
        <v>0.11199539999999999</v>
      </c>
      <c r="M493">
        <v>0.1199616</v>
      </c>
      <c r="N493">
        <v>0.1226136</v>
      </c>
      <c r="O493">
        <v>0.1276611</v>
      </c>
      <c r="P493">
        <v>0.13231200000000001</v>
      </c>
      <c r="Q493">
        <v>0.13439519999999999</v>
      </c>
      <c r="R493">
        <v>0.1338435</v>
      </c>
      <c r="S493">
        <v>0.13247999999999999</v>
      </c>
      <c r="T493">
        <v>0.1322178</v>
      </c>
      <c r="U493">
        <v>0.12717059999999999</v>
      </c>
      <c r="V493">
        <v>0.12719849999999999</v>
      </c>
      <c r="W493">
        <v>0.14394509999999999</v>
      </c>
      <c r="X493">
        <v>0.146118</v>
      </c>
      <c r="Y493">
        <v>0.13477919999999999</v>
      </c>
      <c r="Z493">
        <v>0.1199205</v>
      </c>
      <c r="AA493">
        <v>0.1084818</v>
      </c>
      <c r="AB493">
        <v>0.10247475</v>
      </c>
    </row>
    <row r="494" spans="1:28" hidden="1" x14ac:dyDescent="0.25">
      <c r="A494" t="s">
        <v>7</v>
      </c>
      <c r="B494" t="s">
        <v>64</v>
      </c>
      <c r="C494">
        <v>44</v>
      </c>
      <c r="D494" t="s">
        <v>2</v>
      </c>
      <c r="E494">
        <v>5.2583700000000002</v>
      </c>
      <c r="F494">
        <v>4.6227969</v>
      </c>
      <c r="G494">
        <v>4.6507620000000003</v>
      </c>
      <c r="H494">
        <v>4.6922876999999996</v>
      </c>
      <c r="I494">
        <v>4.5240315000000004</v>
      </c>
      <c r="J494">
        <v>4.5547319999999996</v>
      </c>
      <c r="K494">
        <v>4.6427012999999997</v>
      </c>
      <c r="L494">
        <v>4.5716875999999997</v>
      </c>
      <c r="M494">
        <v>4.6088192000000001</v>
      </c>
      <c r="N494">
        <v>4.7342110999999996</v>
      </c>
      <c r="O494">
        <v>4.8175147000000003</v>
      </c>
      <c r="P494">
        <v>4.9024576</v>
      </c>
      <c r="Q494">
        <v>4.9747032000000004</v>
      </c>
      <c r="R494">
        <v>5.004715</v>
      </c>
      <c r="S494">
        <v>4.9935600000000004</v>
      </c>
      <c r="T494">
        <v>4.9885159999999997</v>
      </c>
      <c r="U494">
        <v>4.9637519000000001</v>
      </c>
      <c r="V494">
        <v>4.9813185999999998</v>
      </c>
      <c r="W494">
        <v>6.0067347</v>
      </c>
      <c r="X494">
        <v>6.4049100000000001</v>
      </c>
      <c r="Y494">
        <v>6.4333504000000001</v>
      </c>
      <c r="Z494">
        <v>5.8338225000000001</v>
      </c>
      <c r="AA494">
        <v>5.4574430999999999</v>
      </c>
      <c r="AB494">
        <v>4.7651541000000002</v>
      </c>
    </row>
    <row r="495" spans="1:28" hidden="1" x14ac:dyDescent="0.25">
      <c r="A495" t="s">
        <v>7</v>
      </c>
      <c r="B495" t="s">
        <v>64</v>
      </c>
      <c r="C495">
        <v>44</v>
      </c>
      <c r="D495" t="s">
        <v>3</v>
      </c>
      <c r="E495">
        <v>2.3370773163999998</v>
      </c>
      <c r="F495">
        <v>1.9777942732</v>
      </c>
      <c r="G495">
        <v>1.9897587215999999</v>
      </c>
      <c r="H495">
        <v>2.007524869</v>
      </c>
      <c r="I495">
        <v>1.9355389792</v>
      </c>
      <c r="J495">
        <v>1.9486737273000001</v>
      </c>
      <c r="K495">
        <v>1.6944530199000001</v>
      </c>
      <c r="L495">
        <v>1.3555910728</v>
      </c>
      <c r="M495">
        <v>1.1220469915</v>
      </c>
      <c r="N495">
        <v>1.2335540146999999</v>
      </c>
      <c r="O495">
        <v>1.3564794921000001</v>
      </c>
      <c r="P495">
        <v>1.4721554294999999</v>
      </c>
      <c r="Q495">
        <v>1.6211176034000001</v>
      </c>
      <c r="R495">
        <v>1.9076483114</v>
      </c>
      <c r="S495">
        <v>2.0900384990999998</v>
      </c>
      <c r="T495">
        <v>2.1578977315999999</v>
      </c>
      <c r="U495">
        <v>2.0780156675999999</v>
      </c>
      <c r="V495">
        <v>1.6438112998000001</v>
      </c>
      <c r="W495">
        <v>2.5501585044000001</v>
      </c>
      <c r="X495">
        <v>2.9681402147</v>
      </c>
      <c r="Y495">
        <v>2.8874905261000001</v>
      </c>
      <c r="Z495">
        <v>2.6184034992999998</v>
      </c>
      <c r="AA495">
        <v>2.2521765711000001</v>
      </c>
      <c r="AB495">
        <v>2.5277848875000002</v>
      </c>
    </row>
    <row r="496" spans="1:28" hidden="1" x14ac:dyDescent="0.25">
      <c r="A496" t="s">
        <v>7</v>
      </c>
      <c r="B496" t="s">
        <v>64</v>
      </c>
      <c r="C496">
        <v>44</v>
      </c>
      <c r="D496" t="s">
        <v>4</v>
      </c>
      <c r="E496">
        <v>0.16263</v>
      </c>
      <c r="F496">
        <v>0.14297309999999999</v>
      </c>
      <c r="G496">
        <v>0.14383799999999999</v>
      </c>
      <c r="H496">
        <v>0.14512230000000001</v>
      </c>
      <c r="I496">
        <v>0.1399185</v>
      </c>
      <c r="J496">
        <v>0.14086799999999999</v>
      </c>
      <c r="K496">
        <v>0.14358870000000001</v>
      </c>
      <c r="L496">
        <v>0.1413924</v>
      </c>
      <c r="M496">
        <v>0.1425408</v>
      </c>
      <c r="N496">
        <v>0.14641889999999999</v>
      </c>
      <c r="O496">
        <v>0.1489953</v>
      </c>
      <c r="P496">
        <v>0.15162239999999999</v>
      </c>
      <c r="Q496">
        <v>0.15385679999999999</v>
      </c>
      <c r="R496">
        <v>0.15478500000000001</v>
      </c>
      <c r="S496">
        <v>0.15443999999999999</v>
      </c>
      <c r="T496">
        <v>0.154284</v>
      </c>
      <c r="U496">
        <v>0.15351809999999999</v>
      </c>
      <c r="V496">
        <v>0.15406139999999999</v>
      </c>
      <c r="W496">
        <v>0.1857753</v>
      </c>
      <c r="X496">
        <v>0.19808999999999999</v>
      </c>
      <c r="Y496">
        <v>0.1989696</v>
      </c>
      <c r="Z496">
        <v>0.18042749999999999</v>
      </c>
      <c r="AA496">
        <v>0.16878689999999999</v>
      </c>
      <c r="AB496">
        <v>0.1473759</v>
      </c>
    </row>
    <row r="497" spans="1:28" hidden="1" x14ac:dyDescent="0.25">
      <c r="A497" t="s">
        <v>7</v>
      </c>
      <c r="B497" t="s">
        <v>65</v>
      </c>
      <c r="C497">
        <v>110</v>
      </c>
      <c r="D497" t="s">
        <v>2</v>
      </c>
      <c r="E497">
        <v>21.694871249999998</v>
      </c>
      <c r="F497">
        <v>20.561510550000001</v>
      </c>
      <c r="G497">
        <v>20.25164925</v>
      </c>
      <c r="H497">
        <v>19.70344995</v>
      </c>
      <c r="I497">
        <v>18.91414975</v>
      </c>
      <c r="J497">
        <v>19.290173500000002</v>
      </c>
      <c r="K497">
        <v>19.692467199999999</v>
      </c>
      <c r="L497">
        <v>20.688270200000002</v>
      </c>
      <c r="M497">
        <v>23.3802752</v>
      </c>
      <c r="N497">
        <v>25.204160300000002</v>
      </c>
      <c r="O497">
        <v>27.759063149999999</v>
      </c>
      <c r="P497">
        <v>30.491896400000002</v>
      </c>
      <c r="Q497">
        <v>31.877121599999999</v>
      </c>
      <c r="R497">
        <v>31.4373191</v>
      </c>
      <c r="S497">
        <v>31.429379999999998</v>
      </c>
      <c r="T497">
        <v>31.3599572</v>
      </c>
      <c r="U497">
        <v>30.739042749999999</v>
      </c>
      <c r="V497">
        <v>30.303367399999999</v>
      </c>
      <c r="W497">
        <v>31.265613900000002</v>
      </c>
      <c r="X497">
        <v>30.743425999999999</v>
      </c>
      <c r="Y497">
        <v>28.720078399999998</v>
      </c>
      <c r="Z497">
        <v>25.503275250000002</v>
      </c>
      <c r="AA497">
        <v>24.114179</v>
      </c>
      <c r="AB497">
        <v>22.8483752</v>
      </c>
    </row>
    <row r="498" spans="1:28" hidden="1" x14ac:dyDescent="0.25">
      <c r="A498" t="s">
        <v>7</v>
      </c>
      <c r="B498" t="s">
        <v>65</v>
      </c>
      <c r="C498">
        <v>110</v>
      </c>
      <c r="D498" t="s">
        <v>3</v>
      </c>
      <c r="E498">
        <v>6.0086875448999999</v>
      </c>
      <c r="F498">
        <v>5.4766505369000003</v>
      </c>
      <c r="G498">
        <v>5.5003015092999998</v>
      </c>
      <c r="H498">
        <v>5.0338667728999997</v>
      </c>
      <c r="I498">
        <v>4.8727758241999997</v>
      </c>
      <c r="J498">
        <v>4.9778888569999999</v>
      </c>
      <c r="K498">
        <v>5.1210861534000003</v>
      </c>
      <c r="L498">
        <v>5.2345199655999997</v>
      </c>
      <c r="M498">
        <v>6.2759319910000002</v>
      </c>
      <c r="N498">
        <v>6.7132411162999999</v>
      </c>
      <c r="O498">
        <v>8.0629927571</v>
      </c>
      <c r="P498">
        <v>9.4228039800999994</v>
      </c>
      <c r="Q498">
        <v>9.9016381646999996</v>
      </c>
      <c r="R498">
        <v>9.8991486750999993</v>
      </c>
      <c r="S498">
        <v>10.127045799599999</v>
      </c>
      <c r="T498">
        <v>10.304180667600001</v>
      </c>
      <c r="U498">
        <v>9.9134564874999995</v>
      </c>
      <c r="V498">
        <v>9.9956764411000005</v>
      </c>
      <c r="W498">
        <v>9.1094402708000004</v>
      </c>
      <c r="X498">
        <v>8.2727327001000006</v>
      </c>
      <c r="Y498">
        <v>7.9497782688000003</v>
      </c>
      <c r="Z498">
        <v>6.4162137076999999</v>
      </c>
      <c r="AA498">
        <v>5.9534186023000002</v>
      </c>
      <c r="AB498">
        <v>6.3041666344999996</v>
      </c>
    </row>
    <row r="499" spans="1:28" hidden="1" x14ac:dyDescent="0.25">
      <c r="A499" t="s">
        <v>7</v>
      </c>
      <c r="B499" t="s">
        <v>65</v>
      </c>
      <c r="C499">
        <v>110</v>
      </c>
      <c r="D499" t="s">
        <v>4</v>
      </c>
      <c r="E499">
        <v>0.33037875</v>
      </c>
      <c r="F499">
        <v>0.31311945000000002</v>
      </c>
      <c r="G499">
        <v>0.30840075</v>
      </c>
      <c r="H499">
        <v>0.30005253729999998</v>
      </c>
      <c r="I499">
        <v>0.28803273730000001</v>
      </c>
      <c r="J499">
        <v>0.2937589873</v>
      </c>
      <c r="K499">
        <v>0.29988528730000003</v>
      </c>
      <c r="L499">
        <v>0.31504979999999999</v>
      </c>
      <c r="M499">
        <v>0.35604479999999999</v>
      </c>
      <c r="N499">
        <v>0.38381969999999999</v>
      </c>
      <c r="O499">
        <v>0.42272684999999999</v>
      </c>
      <c r="P499">
        <v>0.46434360000000002</v>
      </c>
      <c r="Q499">
        <v>0.48543839999999999</v>
      </c>
      <c r="R499">
        <v>0.47874090000000002</v>
      </c>
      <c r="S499">
        <v>0.47861999999999999</v>
      </c>
      <c r="T499">
        <v>0.47756280000000001</v>
      </c>
      <c r="U499">
        <v>0.46810724999999997</v>
      </c>
      <c r="V499">
        <v>0.46147260000000001</v>
      </c>
      <c r="W499">
        <v>0.4761261</v>
      </c>
      <c r="X499">
        <v>0.46817399999999998</v>
      </c>
      <c r="Y499">
        <v>0.43736160000000002</v>
      </c>
      <c r="Z499">
        <v>0.38837474999999999</v>
      </c>
      <c r="AA499">
        <v>0.36722100000000002</v>
      </c>
      <c r="AB499">
        <v>0.3479448</v>
      </c>
    </row>
    <row r="500" spans="1:28" hidden="1" x14ac:dyDescent="0.25">
      <c r="A500" t="s">
        <v>7</v>
      </c>
      <c r="B500" t="s">
        <v>66</v>
      </c>
      <c r="C500">
        <v>110</v>
      </c>
      <c r="D500" t="s">
        <v>2</v>
      </c>
      <c r="E500">
        <v>5.4549300000000001</v>
      </c>
      <c r="F500">
        <v>5.2982263500000002</v>
      </c>
      <c r="G500">
        <v>5.0831910000000002</v>
      </c>
      <c r="H500">
        <v>5.3391432500000002</v>
      </c>
      <c r="I500">
        <v>5.3785432499999999</v>
      </c>
      <c r="J500">
        <v>5.8881921000000004</v>
      </c>
      <c r="K500">
        <v>6.6076459500000002</v>
      </c>
      <c r="L500">
        <v>7.2601985999999998</v>
      </c>
      <c r="M500">
        <v>7.4235904000000001</v>
      </c>
      <c r="N500">
        <v>7.2271912499999997</v>
      </c>
      <c r="O500">
        <v>7.4792429</v>
      </c>
      <c r="P500">
        <v>7.4086971999999998</v>
      </c>
      <c r="Q500">
        <v>7.2700091999999996</v>
      </c>
      <c r="R500">
        <v>6.8877503999999998</v>
      </c>
      <c r="S500">
        <v>6.7965</v>
      </c>
      <c r="T500">
        <v>6.7385032000000002</v>
      </c>
      <c r="U500">
        <v>6.6783886499999996</v>
      </c>
      <c r="V500">
        <v>7.1143989000000003</v>
      </c>
      <c r="W500">
        <v>8.5637082000000007</v>
      </c>
      <c r="X500">
        <v>8.9097190000000008</v>
      </c>
      <c r="Y500">
        <v>7.8881952000000002</v>
      </c>
      <c r="Z500">
        <v>6.2950365000000001</v>
      </c>
      <c r="AA500">
        <v>5.9068677000000003</v>
      </c>
      <c r="AB500">
        <v>5.2908782499999996</v>
      </c>
    </row>
    <row r="501" spans="1:28" hidden="1" x14ac:dyDescent="0.25">
      <c r="A501" t="s">
        <v>7</v>
      </c>
      <c r="B501" t="s">
        <v>66</v>
      </c>
      <c r="C501">
        <v>110</v>
      </c>
      <c r="D501" t="s">
        <v>3</v>
      </c>
      <c r="E501">
        <v>2.4792985726999999</v>
      </c>
      <c r="F501">
        <v>2.4065305701000002</v>
      </c>
      <c r="G501">
        <v>2.7561826093000001</v>
      </c>
      <c r="H501">
        <v>2.7487644334999999</v>
      </c>
      <c r="I501">
        <v>2.773358419</v>
      </c>
      <c r="J501">
        <v>3.0086176931000002</v>
      </c>
      <c r="K501">
        <v>3.5967480294</v>
      </c>
      <c r="L501">
        <v>3.0884526698000001</v>
      </c>
      <c r="M501">
        <v>3.3404309334</v>
      </c>
      <c r="N501">
        <v>3.1590455904999999</v>
      </c>
      <c r="O501">
        <v>3.0709073958999999</v>
      </c>
      <c r="P501">
        <v>2.8902036409999998</v>
      </c>
      <c r="Q501">
        <v>2.4771593348000001</v>
      </c>
      <c r="R501">
        <v>2.5286012839000001</v>
      </c>
      <c r="S501">
        <v>2.6940520526</v>
      </c>
      <c r="T501">
        <v>3.3204618401000001</v>
      </c>
      <c r="U501">
        <v>3.0009974766999998</v>
      </c>
      <c r="V501">
        <v>3.5992024725</v>
      </c>
      <c r="W501">
        <v>3.6854554683999998</v>
      </c>
      <c r="X501">
        <v>3.3147163375000002</v>
      </c>
      <c r="Y501">
        <v>3.0679990525999998</v>
      </c>
      <c r="Z501">
        <v>2.0563178015000001</v>
      </c>
      <c r="AA501">
        <v>2.5734859616999999</v>
      </c>
      <c r="AB501">
        <v>2.3838634082999999</v>
      </c>
    </row>
    <row r="502" spans="1:28" hidden="1" x14ac:dyDescent="0.25">
      <c r="A502" t="s">
        <v>7</v>
      </c>
      <c r="B502" t="s">
        <v>66</v>
      </c>
      <c r="C502">
        <v>110</v>
      </c>
      <c r="D502" t="s">
        <v>4</v>
      </c>
      <c r="E502">
        <v>8.3070000000000005E-2</v>
      </c>
      <c r="F502">
        <v>8.0683649999999996E-2</v>
      </c>
      <c r="G502">
        <v>7.7409000000000006E-2</v>
      </c>
      <c r="H502">
        <v>8.1306749999999997E-2</v>
      </c>
      <c r="I502">
        <v>8.190675E-2</v>
      </c>
      <c r="J502">
        <v>8.9667899999999995E-2</v>
      </c>
      <c r="K502">
        <v>0.10062405000000001</v>
      </c>
      <c r="L502">
        <v>0.1105614</v>
      </c>
      <c r="M502">
        <v>0.1130496</v>
      </c>
      <c r="N502">
        <v>0.11005875</v>
      </c>
      <c r="O502">
        <v>0.1138971</v>
      </c>
      <c r="P502">
        <v>0.1128228</v>
      </c>
      <c r="Q502">
        <v>0.1107108</v>
      </c>
      <c r="R502">
        <v>0.1048896</v>
      </c>
      <c r="S502">
        <v>0.10349999999999999</v>
      </c>
      <c r="T502">
        <v>0.10261679999999999</v>
      </c>
      <c r="U502">
        <v>0.10170135</v>
      </c>
      <c r="V502">
        <v>0.1083411</v>
      </c>
      <c r="W502">
        <v>0.13041179999999999</v>
      </c>
      <c r="X502">
        <v>0.135681</v>
      </c>
      <c r="Y502">
        <v>0.1201248</v>
      </c>
      <c r="Z502">
        <v>9.5863500000000004E-2</v>
      </c>
      <c r="AA502">
        <v>8.9952299999999999E-2</v>
      </c>
      <c r="AB502">
        <v>8.0571749999999998E-2</v>
      </c>
    </row>
    <row r="503" spans="1:28" hidden="1" x14ac:dyDescent="0.25">
      <c r="A503" t="s">
        <v>7</v>
      </c>
      <c r="B503" t="s">
        <v>67</v>
      </c>
      <c r="C503">
        <v>110</v>
      </c>
      <c r="D503" t="s">
        <v>2</v>
      </c>
      <c r="E503">
        <v>2.0744099999999999</v>
      </c>
      <c r="F503">
        <v>2.0954988499999998</v>
      </c>
      <c r="G503">
        <v>2.08194525</v>
      </c>
      <c r="H503">
        <v>1.9292702500000001</v>
      </c>
      <c r="I503">
        <v>1.85677425</v>
      </c>
      <c r="J503">
        <v>2.2147429500000002</v>
      </c>
      <c r="K503">
        <v>2.2239920999999998</v>
      </c>
      <c r="L503">
        <v>2.118735</v>
      </c>
      <c r="M503">
        <v>1.7752064000000001</v>
      </c>
      <c r="N503">
        <v>1.9379579499999999</v>
      </c>
      <c r="O503">
        <v>1.70599045</v>
      </c>
      <c r="P503">
        <v>1.7142151999999999</v>
      </c>
      <c r="Q503">
        <v>1.989306</v>
      </c>
      <c r="R503">
        <v>1.9850114000000001</v>
      </c>
      <c r="S503">
        <v>1.97394</v>
      </c>
      <c r="T503">
        <v>1.9673601999999999</v>
      </c>
      <c r="U503">
        <v>2.01851125</v>
      </c>
      <c r="V503">
        <v>2.0794138000000002</v>
      </c>
      <c r="W503">
        <v>1.8446981499999999</v>
      </c>
      <c r="X503">
        <v>1.9022319999999999</v>
      </c>
      <c r="Y503">
        <v>1.9923792</v>
      </c>
      <c r="Z503">
        <v>1.8071302499999999</v>
      </c>
      <c r="AA503">
        <v>1.5375554499999999</v>
      </c>
      <c r="AB503">
        <v>1.6232209</v>
      </c>
    </row>
    <row r="504" spans="1:28" hidden="1" x14ac:dyDescent="0.25">
      <c r="A504" t="s">
        <v>7</v>
      </c>
      <c r="B504" t="s">
        <v>67</v>
      </c>
      <c r="C504">
        <v>110</v>
      </c>
      <c r="D504" t="s">
        <v>3</v>
      </c>
      <c r="E504">
        <v>9.9571163399999996E-2</v>
      </c>
      <c r="F504">
        <v>0.1414346625</v>
      </c>
      <c r="G504">
        <v>0.23705588990000001</v>
      </c>
      <c r="H504">
        <v>0.11815128549999999</v>
      </c>
      <c r="I504">
        <v>0.1146226536</v>
      </c>
      <c r="J504">
        <v>0.1461422694</v>
      </c>
      <c r="K504">
        <v>0.15912933949999999</v>
      </c>
      <c r="L504">
        <v>0.18621330289999999</v>
      </c>
      <c r="M504">
        <v>0.15479026830000001</v>
      </c>
      <c r="N504">
        <v>0.13109023040000001</v>
      </c>
      <c r="O504">
        <v>0.1091370031</v>
      </c>
      <c r="P504">
        <v>0.15223097399999999</v>
      </c>
      <c r="Q504">
        <v>0.21122688649999999</v>
      </c>
      <c r="R504">
        <v>0.19539865989999999</v>
      </c>
      <c r="S504">
        <v>0.18936498909999999</v>
      </c>
      <c r="T504">
        <v>0.2094612535</v>
      </c>
      <c r="U504">
        <v>0.12591569089999999</v>
      </c>
      <c r="V504">
        <v>0.1105414031</v>
      </c>
      <c r="W504">
        <v>0.14006109820000001</v>
      </c>
      <c r="X504">
        <v>0.10040126019999999</v>
      </c>
      <c r="Y504">
        <v>0.1405794413</v>
      </c>
      <c r="Z504">
        <v>0.13792711220000001</v>
      </c>
      <c r="AA504">
        <v>5.9979092999999997E-2</v>
      </c>
      <c r="AB504">
        <v>5.5308888E-2</v>
      </c>
    </row>
    <row r="505" spans="1:28" hidden="1" x14ac:dyDescent="0.25">
      <c r="A505" t="s">
        <v>7</v>
      </c>
      <c r="B505" t="s">
        <v>67</v>
      </c>
      <c r="C505">
        <v>110</v>
      </c>
      <c r="D505" t="s">
        <v>4</v>
      </c>
      <c r="E505">
        <v>3.159E-2</v>
      </c>
      <c r="F505">
        <v>3.1911149999999999E-2</v>
      </c>
      <c r="G505">
        <v>3.1704749999999997E-2</v>
      </c>
      <c r="H505">
        <v>2.937975E-2</v>
      </c>
      <c r="I505">
        <v>2.8275749999999999E-2</v>
      </c>
      <c r="J505">
        <v>3.3727050000000001E-2</v>
      </c>
      <c r="K505">
        <v>3.3867899999999999E-2</v>
      </c>
      <c r="L505">
        <v>3.2265000000000002E-2</v>
      </c>
      <c r="M505">
        <v>2.7033600000000001E-2</v>
      </c>
      <c r="N505">
        <v>2.9512050000000001E-2</v>
      </c>
      <c r="O505">
        <v>2.5979550000000001E-2</v>
      </c>
      <c r="P505">
        <v>2.6104800000000001E-2</v>
      </c>
      <c r="Q505">
        <v>3.0294000000000001E-2</v>
      </c>
      <c r="R505">
        <v>3.0228600000000001E-2</v>
      </c>
      <c r="S505">
        <v>3.006E-2</v>
      </c>
      <c r="T505">
        <v>2.9959800000000002E-2</v>
      </c>
      <c r="U505">
        <v>3.0738749999999999E-2</v>
      </c>
      <c r="V505">
        <v>3.1666199999999999E-2</v>
      </c>
      <c r="W505">
        <v>2.8091850000000002E-2</v>
      </c>
      <c r="X505">
        <v>2.8968000000000001E-2</v>
      </c>
      <c r="Y505">
        <v>3.0340800000000001E-2</v>
      </c>
      <c r="Z505">
        <v>2.7519749999999999E-2</v>
      </c>
      <c r="AA505">
        <v>2.3414549999999999E-2</v>
      </c>
      <c r="AB505">
        <v>2.4719100000000001E-2</v>
      </c>
    </row>
    <row r="506" spans="1:28" hidden="1" x14ac:dyDescent="0.25">
      <c r="A506" t="s">
        <v>7</v>
      </c>
      <c r="B506" t="s">
        <v>68</v>
      </c>
      <c r="C506">
        <v>110</v>
      </c>
      <c r="D506" t="s">
        <v>2</v>
      </c>
      <c r="E506">
        <v>1.651845</v>
      </c>
      <c r="F506">
        <v>2.5072781000000002</v>
      </c>
      <c r="G506">
        <v>2.4604807499999999</v>
      </c>
      <c r="H506">
        <v>2.4586979000000002</v>
      </c>
      <c r="I506">
        <v>2.5541542499999998</v>
      </c>
      <c r="J506">
        <v>4.1715439500000002</v>
      </c>
      <c r="K506">
        <v>3.4003185</v>
      </c>
      <c r="L506">
        <v>4.8307158000000001</v>
      </c>
      <c r="M506">
        <v>4.9322495999999996</v>
      </c>
      <c r="N506">
        <v>5.9637711500000004</v>
      </c>
      <c r="O506">
        <v>4.9485020999999998</v>
      </c>
      <c r="P506">
        <v>5.1191632</v>
      </c>
      <c r="Q506">
        <v>5.1360264000000004</v>
      </c>
      <c r="R506">
        <v>4.1493912999999996</v>
      </c>
      <c r="S506">
        <v>3.6760199999999998</v>
      </c>
      <c r="T506">
        <v>3.7697919999999998</v>
      </c>
      <c r="U506">
        <v>3.7601981000000002</v>
      </c>
      <c r="V506">
        <v>5.2102165999999999</v>
      </c>
      <c r="W506">
        <v>7.5807668499999998</v>
      </c>
      <c r="X506">
        <v>5.1751899999999997</v>
      </c>
      <c r="Y506">
        <v>4.4455808000000001</v>
      </c>
      <c r="Z506">
        <v>3.9972284999999999</v>
      </c>
      <c r="AA506">
        <v>1.0287241499999999</v>
      </c>
      <c r="AB506">
        <v>2.5992081499999999</v>
      </c>
    </row>
    <row r="507" spans="1:28" hidden="1" x14ac:dyDescent="0.25">
      <c r="A507" t="s">
        <v>7</v>
      </c>
      <c r="B507" t="s">
        <v>68</v>
      </c>
      <c r="C507">
        <v>110</v>
      </c>
      <c r="D507" t="s">
        <v>3</v>
      </c>
      <c r="E507">
        <v>0.3617460354</v>
      </c>
      <c r="F507">
        <v>0.63493193579999996</v>
      </c>
      <c r="G507">
        <v>0.49470844089999999</v>
      </c>
      <c r="H507">
        <v>0.30037420669999998</v>
      </c>
      <c r="I507">
        <v>0.29894693449999998</v>
      </c>
      <c r="J507">
        <v>0.88537969419999996</v>
      </c>
      <c r="K507">
        <v>0.88512834119999995</v>
      </c>
      <c r="L507">
        <v>1.1610630018000001</v>
      </c>
      <c r="M507">
        <v>0.63437338489999995</v>
      </c>
      <c r="N507">
        <v>0.97984814549999999</v>
      </c>
      <c r="O507">
        <v>1.0014651585000001</v>
      </c>
      <c r="P507">
        <v>0.55328086629999995</v>
      </c>
      <c r="Q507">
        <v>0.67636535139999998</v>
      </c>
      <c r="R507">
        <v>0.54384254580000002</v>
      </c>
      <c r="S507">
        <v>1.1701203812000001</v>
      </c>
      <c r="T507">
        <v>0.799351441</v>
      </c>
      <c r="U507">
        <v>1.5319599697999999</v>
      </c>
      <c r="V507">
        <v>1.1544711519999999</v>
      </c>
      <c r="W507">
        <v>1.2315222028999999</v>
      </c>
      <c r="X507">
        <v>1.1108386481999999</v>
      </c>
      <c r="Y507">
        <v>1.2391344100999999</v>
      </c>
      <c r="Z507">
        <v>0.73890962650000003</v>
      </c>
      <c r="AA507">
        <v>0.1788575352</v>
      </c>
      <c r="AB507">
        <v>0.51361531910000002</v>
      </c>
    </row>
    <row r="508" spans="1:28" hidden="1" x14ac:dyDescent="0.25">
      <c r="A508" t="s">
        <v>7</v>
      </c>
      <c r="B508" t="s">
        <v>68</v>
      </c>
      <c r="C508">
        <v>110</v>
      </c>
      <c r="D508" t="s">
        <v>4</v>
      </c>
      <c r="E508">
        <v>2.5155E-2</v>
      </c>
      <c r="F508">
        <v>3.8181899999999998E-2</v>
      </c>
      <c r="G508">
        <v>3.7469250000000003E-2</v>
      </c>
      <c r="H508">
        <v>3.7442099999999999E-2</v>
      </c>
      <c r="I508">
        <v>3.889575E-2</v>
      </c>
      <c r="J508">
        <v>6.3526050000000001E-2</v>
      </c>
      <c r="K508">
        <v>5.1781500000000001E-2</v>
      </c>
      <c r="L508">
        <v>7.3564199999999996E-2</v>
      </c>
      <c r="M508">
        <v>7.5110399999999994E-2</v>
      </c>
      <c r="N508">
        <v>9.0818850000000007E-2</v>
      </c>
      <c r="O508">
        <v>7.5357900000000005E-2</v>
      </c>
      <c r="P508">
        <v>7.7956800000000007E-2</v>
      </c>
      <c r="Q508">
        <v>7.8213599999999994E-2</v>
      </c>
      <c r="R508">
        <v>6.31887E-2</v>
      </c>
      <c r="S508">
        <v>5.5980000000000002E-2</v>
      </c>
      <c r="T508">
        <v>5.7408000000000001E-2</v>
      </c>
      <c r="U508">
        <v>5.7261899999999998E-2</v>
      </c>
      <c r="V508">
        <v>7.93433999E-2</v>
      </c>
      <c r="W508">
        <v>0.11544314999999999</v>
      </c>
      <c r="X508">
        <v>7.8810000000000005E-2</v>
      </c>
      <c r="Y508">
        <v>6.7699200000000001E-2</v>
      </c>
      <c r="Z508">
        <v>6.0871500000000002E-2</v>
      </c>
      <c r="AA508">
        <v>1.5665849999999999E-2</v>
      </c>
      <c r="AB508">
        <v>3.9581850000000002E-2</v>
      </c>
    </row>
    <row r="509" spans="1:28" hidden="1" x14ac:dyDescent="0.25">
      <c r="A509" t="s">
        <v>7</v>
      </c>
      <c r="B509" t="s">
        <v>69</v>
      </c>
      <c r="C509">
        <v>110</v>
      </c>
      <c r="D509" t="s">
        <v>2</v>
      </c>
      <c r="E509">
        <v>32.56631625</v>
      </c>
      <c r="F509">
        <v>31.844262000000001</v>
      </c>
      <c r="G509">
        <v>30.481120499999999</v>
      </c>
      <c r="H509">
        <v>30.50939</v>
      </c>
      <c r="I509">
        <v>27.250123500000001</v>
      </c>
      <c r="J509">
        <v>27.217323</v>
      </c>
      <c r="K509">
        <v>25.263447450000001</v>
      </c>
      <c r="L509">
        <v>26.272314000000001</v>
      </c>
      <c r="M509">
        <v>26.971033599999998</v>
      </c>
      <c r="N509">
        <v>26.949393149999999</v>
      </c>
      <c r="O509">
        <v>27.250655399999999</v>
      </c>
      <c r="P509">
        <v>27.6387848</v>
      </c>
      <c r="Q509">
        <v>28.513386000000001</v>
      </c>
      <c r="R509">
        <v>29.021823300000001</v>
      </c>
      <c r="S509">
        <v>29.47908</v>
      </c>
      <c r="T509">
        <v>29.569306000000001</v>
      </c>
      <c r="U509">
        <v>29.124233749999998</v>
      </c>
      <c r="V509">
        <v>29.567395099999999</v>
      </c>
      <c r="W509">
        <v>35.830231949999998</v>
      </c>
      <c r="X509">
        <v>38.142549000000002</v>
      </c>
      <c r="Y509">
        <v>37.597686400000001</v>
      </c>
      <c r="Z509">
        <v>35.005668749999998</v>
      </c>
      <c r="AA509">
        <v>33.616050450000003</v>
      </c>
      <c r="AB509">
        <v>32.454144450000001</v>
      </c>
    </row>
    <row r="510" spans="1:28" hidden="1" x14ac:dyDescent="0.25">
      <c r="A510" t="s">
        <v>7</v>
      </c>
      <c r="B510" t="s">
        <v>69</v>
      </c>
      <c r="C510">
        <v>110</v>
      </c>
      <c r="D510" t="s">
        <v>3</v>
      </c>
      <c r="E510">
        <v>12.7054637692</v>
      </c>
      <c r="F510">
        <v>12.1953431408</v>
      </c>
      <c r="G510">
        <v>11.307135646900001</v>
      </c>
      <c r="H510">
        <v>11.2856596378</v>
      </c>
      <c r="I510">
        <v>9.9644174396</v>
      </c>
      <c r="J510">
        <v>9.5286852104000008</v>
      </c>
      <c r="K510">
        <v>7.6958771563999999</v>
      </c>
      <c r="L510">
        <v>8.5876523238000004</v>
      </c>
      <c r="M510">
        <v>9.2300952283999997</v>
      </c>
      <c r="N510">
        <v>9.6077804174000008</v>
      </c>
      <c r="O510">
        <v>10.608265018799999</v>
      </c>
      <c r="P510">
        <v>11.2382274256</v>
      </c>
      <c r="Q510">
        <v>11.913346757799999</v>
      </c>
      <c r="R510">
        <v>12.223709748299999</v>
      </c>
      <c r="S510">
        <v>12.569585268999999</v>
      </c>
      <c r="T510">
        <v>12.734234456799999</v>
      </c>
      <c r="U510">
        <v>12.7217023207</v>
      </c>
      <c r="V510">
        <v>11.9582891383</v>
      </c>
      <c r="W510">
        <v>14.925646807</v>
      </c>
      <c r="X510">
        <v>15.586943204600001</v>
      </c>
      <c r="Y510">
        <v>15.0151884715</v>
      </c>
      <c r="Z510">
        <v>13.7888311044</v>
      </c>
      <c r="AA510">
        <v>13.2520498029</v>
      </c>
      <c r="AB510">
        <v>12.697679128300001</v>
      </c>
    </row>
    <row r="511" spans="1:28" hidden="1" x14ac:dyDescent="0.25">
      <c r="A511" t="s">
        <v>7</v>
      </c>
      <c r="B511" t="s">
        <v>69</v>
      </c>
      <c r="C511">
        <v>110</v>
      </c>
      <c r="D511" t="s">
        <v>4</v>
      </c>
      <c r="E511">
        <v>0.49593375000000001</v>
      </c>
      <c r="F511">
        <v>0.48493799999999998</v>
      </c>
      <c r="G511">
        <v>0.46417950000000002</v>
      </c>
      <c r="H511">
        <v>0.46461000000000002</v>
      </c>
      <c r="I511">
        <v>0.41497650000000003</v>
      </c>
      <c r="J511">
        <v>0.41447699999999998</v>
      </c>
      <c r="K511">
        <v>0.38472255</v>
      </c>
      <c r="L511">
        <v>0.400086</v>
      </c>
      <c r="M511">
        <v>0.41072639999999999</v>
      </c>
      <c r="N511">
        <v>0.41039684999999998</v>
      </c>
      <c r="O511">
        <v>0.41498459999999998</v>
      </c>
      <c r="P511">
        <v>0.42089520000000002</v>
      </c>
      <c r="Q511">
        <v>0.43421399999999999</v>
      </c>
      <c r="R511">
        <v>0.44195669999999998</v>
      </c>
      <c r="S511">
        <v>0.44891999999999999</v>
      </c>
      <c r="T511">
        <v>0.45029400000000003</v>
      </c>
      <c r="U511">
        <v>0.44351625</v>
      </c>
      <c r="V511">
        <v>0.45026490000000002</v>
      </c>
      <c r="W511">
        <v>0.54563804999999999</v>
      </c>
      <c r="X511">
        <v>0.58085100000000001</v>
      </c>
      <c r="Y511">
        <v>0.5725536</v>
      </c>
      <c r="Z511">
        <v>0.53308124999999995</v>
      </c>
      <c r="AA511">
        <v>0.51191955</v>
      </c>
      <c r="AB511">
        <v>0.49422555000000001</v>
      </c>
    </row>
    <row r="512" spans="1:28" hidden="1" x14ac:dyDescent="0.25">
      <c r="A512" t="s">
        <v>7</v>
      </c>
      <c r="B512" t="s">
        <v>70</v>
      </c>
      <c r="C512">
        <v>110</v>
      </c>
      <c r="D512" t="s">
        <v>2</v>
      </c>
      <c r="E512">
        <v>12.100725000000001</v>
      </c>
      <c r="F512">
        <v>11.072286500000001</v>
      </c>
      <c r="G512">
        <v>10.725172499999999</v>
      </c>
      <c r="H512">
        <v>10.597526350000001</v>
      </c>
      <c r="I512">
        <v>9.8330579999999994</v>
      </c>
      <c r="J512">
        <v>10.93140195</v>
      </c>
      <c r="K512">
        <v>11.6162232</v>
      </c>
      <c r="L512">
        <v>12.382828999999999</v>
      </c>
      <c r="M512">
        <v>13.7981952</v>
      </c>
      <c r="N512">
        <v>15.19316205</v>
      </c>
      <c r="O512">
        <v>16.280345950000001</v>
      </c>
      <c r="P512">
        <v>17.752694399999999</v>
      </c>
      <c r="Q512">
        <v>18.096656400000001</v>
      </c>
      <c r="R512">
        <v>18.116218499999999</v>
      </c>
      <c r="S512">
        <v>18.060960000000001</v>
      </c>
      <c r="T512">
        <v>17.8358284</v>
      </c>
      <c r="U512">
        <v>16.517189200000001</v>
      </c>
      <c r="V512">
        <v>16.892316600000001</v>
      </c>
      <c r="W512">
        <v>19.241413550000001</v>
      </c>
      <c r="X512">
        <v>20.057358000000001</v>
      </c>
      <c r="Y512">
        <v>19.761148800000001</v>
      </c>
      <c r="Z512">
        <v>17.22159225</v>
      </c>
      <c r="AA512">
        <v>15.80695495</v>
      </c>
      <c r="AB512">
        <v>13.8281983</v>
      </c>
    </row>
    <row r="513" spans="1:28" hidden="1" x14ac:dyDescent="0.25">
      <c r="A513" t="s">
        <v>7</v>
      </c>
      <c r="B513" t="s">
        <v>70</v>
      </c>
      <c r="C513">
        <v>110</v>
      </c>
      <c r="D513" t="s">
        <v>3</v>
      </c>
      <c r="E513">
        <v>4.9799785404000003</v>
      </c>
      <c r="F513">
        <v>4.3537229701999998</v>
      </c>
      <c r="G513">
        <v>4.4444664392000002</v>
      </c>
      <c r="H513">
        <v>4.4700015609000001</v>
      </c>
      <c r="I513">
        <v>4.3275663623999998</v>
      </c>
      <c r="J513">
        <v>4.4122898704000004</v>
      </c>
      <c r="K513">
        <v>4.8725336036</v>
      </c>
      <c r="L513">
        <v>4.9111282043999998</v>
      </c>
      <c r="M513">
        <v>5.0427839632999998</v>
      </c>
      <c r="N513">
        <v>5.3299024067999996</v>
      </c>
      <c r="O513">
        <v>6.0509899421000002</v>
      </c>
      <c r="P513">
        <v>6.7124322502</v>
      </c>
      <c r="Q513">
        <v>7.0694277777999996</v>
      </c>
      <c r="R513">
        <v>7.0770696786</v>
      </c>
      <c r="S513">
        <v>7.1789841575000004</v>
      </c>
      <c r="T513">
        <v>7.1919480024000002</v>
      </c>
      <c r="U513">
        <v>6.7395499873000002</v>
      </c>
      <c r="V513">
        <v>6.5393970779000004</v>
      </c>
      <c r="W513">
        <v>6.6067276906999997</v>
      </c>
      <c r="X513">
        <v>6.6669718805000002</v>
      </c>
      <c r="Y513">
        <v>6.6405905289999998</v>
      </c>
      <c r="Z513">
        <v>5.8495347243999998</v>
      </c>
      <c r="AA513">
        <v>5.3575145369000001</v>
      </c>
      <c r="AB513">
        <v>5.1990027694999998</v>
      </c>
    </row>
    <row r="514" spans="1:28" hidden="1" x14ac:dyDescent="0.25">
      <c r="A514" t="s">
        <v>7</v>
      </c>
      <c r="B514" t="s">
        <v>70</v>
      </c>
      <c r="C514">
        <v>110</v>
      </c>
      <c r="D514" t="s">
        <v>4</v>
      </c>
      <c r="E514">
        <v>0.18427499999999999</v>
      </c>
      <c r="F514">
        <v>0.1686135</v>
      </c>
      <c r="G514">
        <v>0.16332749999999999</v>
      </c>
      <c r="H514">
        <v>0.16138364999999999</v>
      </c>
      <c r="I514">
        <v>0.14974199999999999</v>
      </c>
      <c r="J514">
        <v>0.16646805000000001</v>
      </c>
      <c r="K514">
        <v>0.17689679999999999</v>
      </c>
      <c r="L514">
        <v>0.18857099999999999</v>
      </c>
      <c r="M514">
        <v>0.2101248</v>
      </c>
      <c r="N514">
        <v>0.23136794999999999</v>
      </c>
      <c r="O514">
        <v>0.24792405000000001</v>
      </c>
      <c r="P514">
        <v>0.27034560000000002</v>
      </c>
      <c r="Q514">
        <v>0.27558359999999998</v>
      </c>
      <c r="R514">
        <v>0.2758815</v>
      </c>
      <c r="S514">
        <v>0.27504000000000001</v>
      </c>
      <c r="T514">
        <v>0.27161160000000001</v>
      </c>
      <c r="U514">
        <v>0.2515308</v>
      </c>
      <c r="V514">
        <v>0.25724340000000001</v>
      </c>
      <c r="W514">
        <v>0.29301644999999998</v>
      </c>
      <c r="X514">
        <v>0.30544199999999999</v>
      </c>
      <c r="Y514">
        <v>0.30093120000000001</v>
      </c>
      <c r="Z514">
        <v>0.26225775000000001</v>
      </c>
      <c r="AA514">
        <v>0.24071505000000001</v>
      </c>
      <c r="AB514">
        <v>0.21058170000000001</v>
      </c>
    </row>
    <row r="515" spans="1:28" hidden="1" x14ac:dyDescent="0.25">
      <c r="A515" t="s">
        <v>7</v>
      </c>
      <c r="B515" t="s">
        <v>71</v>
      </c>
      <c r="C515">
        <v>110</v>
      </c>
      <c r="D515" t="s">
        <v>2</v>
      </c>
      <c r="E515">
        <v>11.5245</v>
      </c>
      <c r="F515">
        <v>11.09973845</v>
      </c>
      <c r="G515">
        <v>11.455205250000001</v>
      </c>
      <c r="H515">
        <v>12.21272935</v>
      </c>
      <c r="I515">
        <v>12.744619500000001</v>
      </c>
      <c r="J515">
        <v>14.15122905</v>
      </c>
      <c r="K515">
        <v>15.678225299999999</v>
      </c>
      <c r="L515">
        <v>17.128795400000001</v>
      </c>
      <c r="M515">
        <v>18.619494400000001</v>
      </c>
      <c r="N515">
        <v>18.362419249999999</v>
      </c>
      <c r="O515">
        <v>18.291381049999998</v>
      </c>
      <c r="P515">
        <v>18.363236799999999</v>
      </c>
      <c r="Q515">
        <v>17.867584799999999</v>
      </c>
      <c r="R515">
        <v>16.729102099999999</v>
      </c>
      <c r="S515">
        <v>16.831679999999999</v>
      </c>
      <c r="T515">
        <v>17.9889762</v>
      </c>
      <c r="U515">
        <v>18.524166099999999</v>
      </c>
      <c r="V515">
        <v>19.625927999999998</v>
      </c>
      <c r="W515">
        <v>23.119319149999999</v>
      </c>
      <c r="X515">
        <v>22.966653999999998</v>
      </c>
      <c r="Y515">
        <v>19.5442912</v>
      </c>
      <c r="Z515">
        <v>15.28281675</v>
      </c>
      <c r="AA515">
        <v>13.594644949999999</v>
      </c>
      <c r="AB515">
        <v>12.482363250000001</v>
      </c>
    </row>
    <row r="516" spans="1:28" hidden="1" x14ac:dyDescent="0.25">
      <c r="A516" t="s">
        <v>7</v>
      </c>
      <c r="B516" t="s">
        <v>71</v>
      </c>
      <c r="C516">
        <v>110</v>
      </c>
      <c r="D516" t="s">
        <v>3</v>
      </c>
      <c r="E516">
        <v>2.6078553701999998</v>
      </c>
      <c r="F516">
        <v>2.7037941366</v>
      </c>
      <c r="G516">
        <v>2.7178108785999999</v>
      </c>
      <c r="H516">
        <v>2.8309516612999999</v>
      </c>
      <c r="I516">
        <v>3.3514122696999999</v>
      </c>
      <c r="J516">
        <v>3.5460136040000001</v>
      </c>
      <c r="K516">
        <v>3.3676265440000002</v>
      </c>
      <c r="L516">
        <v>4.0316596303000001</v>
      </c>
      <c r="M516">
        <v>4.4507009493999998</v>
      </c>
      <c r="N516">
        <v>4.7884302154</v>
      </c>
      <c r="O516">
        <v>4.9977997213999998</v>
      </c>
      <c r="P516">
        <v>4.6102832967999996</v>
      </c>
      <c r="Q516">
        <v>4.1434335231999997</v>
      </c>
      <c r="R516">
        <v>4.0862745905000004</v>
      </c>
      <c r="S516">
        <v>4.3899664181000002</v>
      </c>
      <c r="T516">
        <v>5.1258072289000003</v>
      </c>
      <c r="U516">
        <v>5.7272072515000003</v>
      </c>
      <c r="V516">
        <v>5.6685006991</v>
      </c>
      <c r="W516">
        <v>5.8174564215000002</v>
      </c>
      <c r="X516">
        <v>5.8398261415999997</v>
      </c>
      <c r="Y516">
        <v>4.7869939499000003</v>
      </c>
      <c r="Z516">
        <v>3.2197419181</v>
      </c>
      <c r="AA516">
        <v>3.9997596441000001</v>
      </c>
      <c r="AB516">
        <v>3.5483644068000002</v>
      </c>
    </row>
    <row r="517" spans="1:28" hidden="1" x14ac:dyDescent="0.25">
      <c r="A517" t="s">
        <v>7</v>
      </c>
      <c r="B517" t="s">
        <v>71</v>
      </c>
      <c r="C517">
        <v>110</v>
      </c>
      <c r="D517" t="s">
        <v>4</v>
      </c>
      <c r="E517">
        <v>0.17549999999999999</v>
      </c>
      <c r="F517">
        <v>0.16903155</v>
      </c>
      <c r="G517">
        <v>0.17444475000000001</v>
      </c>
      <c r="H517">
        <v>0.18598065</v>
      </c>
      <c r="I517">
        <v>0.19408049999999999</v>
      </c>
      <c r="J517">
        <v>0.21550095</v>
      </c>
      <c r="K517">
        <v>0.23875469999999999</v>
      </c>
      <c r="L517">
        <v>0.26084459999999998</v>
      </c>
      <c r="M517">
        <v>0.28354560000000001</v>
      </c>
      <c r="N517">
        <v>0.27963074999999998</v>
      </c>
      <c r="O517">
        <v>0.27854895000000002</v>
      </c>
      <c r="P517">
        <v>0.27964319999999998</v>
      </c>
      <c r="Q517">
        <v>0.27209519999999998</v>
      </c>
      <c r="R517">
        <v>0.25475789999999998</v>
      </c>
      <c r="S517">
        <v>0.25631999999999999</v>
      </c>
      <c r="T517">
        <v>0.27394380000000002</v>
      </c>
      <c r="U517">
        <v>0.28209390000000001</v>
      </c>
      <c r="V517">
        <v>0.29887200000000003</v>
      </c>
      <c r="W517">
        <v>0.35207084999999999</v>
      </c>
      <c r="X517">
        <v>0.349746</v>
      </c>
      <c r="Y517">
        <v>0.29762880000000003</v>
      </c>
      <c r="Z517">
        <v>0.23273325</v>
      </c>
      <c r="AA517">
        <v>0.20702504999999999</v>
      </c>
      <c r="AB517">
        <v>0.19008675</v>
      </c>
    </row>
    <row r="518" spans="1:28" hidden="1" x14ac:dyDescent="0.25">
      <c r="A518" t="s">
        <v>7</v>
      </c>
      <c r="B518" t="s">
        <v>72</v>
      </c>
      <c r="C518">
        <v>110</v>
      </c>
      <c r="D518" t="s">
        <v>2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</row>
    <row r="519" spans="1:28" hidden="1" x14ac:dyDescent="0.25">
      <c r="A519" t="s">
        <v>7</v>
      </c>
      <c r="B519" t="s">
        <v>72</v>
      </c>
      <c r="C519">
        <v>110</v>
      </c>
      <c r="D519" t="s">
        <v>3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</row>
    <row r="520" spans="1:28" hidden="1" x14ac:dyDescent="0.25">
      <c r="A520" t="s">
        <v>7</v>
      </c>
      <c r="B520" t="s">
        <v>72</v>
      </c>
      <c r="C520">
        <v>110</v>
      </c>
      <c r="D520" t="s">
        <v>4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</row>
    <row r="521" spans="1:28" hidden="1" x14ac:dyDescent="0.25">
      <c r="A521" t="s">
        <v>7</v>
      </c>
      <c r="B521" t="s">
        <v>73</v>
      </c>
      <c r="C521">
        <v>110</v>
      </c>
      <c r="D521" t="s">
        <v>2</v>
      </c>
      <c r="E521">
        <v>40.623862500000001</v>
      </c>
      <c r="F521">
        <v>37.005228600000002</v>
      </c>
      <c r="G521">
        <v>35.402082</v>
      </c>
      <c r="H521">
        <v>34.547397500000002</v>
      </c>
      <c r="I521">
        <v>34.197771750000001</v>
      </c>
      <c r="J521">
        <v>36.058505699999998</v>
      </c>
      <c r="K521">
        <v>37.063471649999997</v>
      </c>
      <c r="L521">
        <v>38.975307399999998</v>
      </c>
      <c r="M521">
        <v>43.744716799999999</v>
      </c>
      <c r="N521">
        <v>48.556018250000001</v>
      </c>
      <c r="O521">
        <v>52.377296200000004</v>
      </c>
      <c r="P521">
        <v>56.404724799999997</v>
      </c>
      <c r="Q521">
        <v>59.004021600000002</v>
      </c>
      <c r="R521">
        <v>59.634047299999999</v>
      </c>
      <c r="S521">
        <v>59.218200000000003</v>
      </c>
      <c r="T521">
        <v>57.795623599999999</v>
      </c>
      <c r="U521">
        <v>55.768582250000001</v>
      </c>
      <c r="V521">
        <v>57.289018400000003</v>
      </c>
      <c r="W521">
        <v>67.674838699999995</v>
      </c>
      <c r="X521">
        <v>71.683374999999998</v>
      </c>
      <c r="Y521">
        <v>69.950129599999997</v>
      </c>
      <c r="Z521">
        <v>60.197782500000002</v>
      </c>
      <c r="AA521">
        <v>51.967161900000001</v>
      </c>
      <c r="AB521">
        <v>43.292739699999998</v>
      </c>
    </row>
    <row r="522" spans="1:28" hidden="1" x14ac:dyDescent="0.25">
      <c r="A522" t="s">
        <v>7</v>
      </c>
      <c r="B522" t="s">
        <v>73</v>
      </c>
      <c r="C522">
        <v>110</v>
      </c>
      <c r="D522" t="s">
        <v>3</v>
      </c>
      <c r="E522">
        <v>16.0594112026</v>
      </c>
      <c r="F522">
        <v>18.261724445900001</v>
      </c>
      <c r="G522">
        <v>16.7398130262</v>
      </c>
      <c r="H522">
        <v>16.244584466599999</v>
      </c>
      <c r="I522">
        <v>15.840891259999999</v>
      </c>
      <c r="J522">
        <v>15.4682722246</v>
      </c>
      <c r="K522">
        <v>18.210199389500001</v>
      </c>
      <c r="L522">
        <v>17.763350309500002</v>
      </c>
      <c r="M522">
        <v>21.790031695900002</v>
      </c>
      <c r="N522">
        <v>24.0954891839</v>
      </c>
      <c r="O522">
        <v>26.125254501699999</v>
      </c>
      <c r="P522">
        <v>27.830433874899999</v>
      </c>
      <c r="Q522">
        <v>28.4782794662</v>
      </c>
      <c r="R522">
        <v>29.606235397599999</v>
      </c>
      <c r="S522">
        <v>29.882896614900002</v>
      </c>
      <c r="T522">
        <v>29.527921026600001</v>
      </c>
      <c r="U522">
        <v>22.445955287899999</v>
      </c>
      <c r="V522">
        <v>28.454856092899998</v>
      </c>
      <c r="W522">
        <v>29.677568443999998</v>
      </c>
      <c r="X522">
        <v>29.7885971525</v>
      </c>
      <c r="Y522">
        <v>29.5979370612</v>
      </c>
      <c r="Z522">
        <v>25.942646885599999</v>
      </c>
      <c r="AA522">
        <v>24.568119786</v>
      </c>
      <c r="AB522">
        <v>18.0210571621</v>
      </c>
    </row>
    <row r="523" spans="1:28" hidden="1" x14ac:dyDescent="0.25">
      <c r="A523" t="s">
        <v>7</v>
      </c>
      <c r="B523" t="s">
        <v>73</v>
      </c>
      <c r="C523">
        <v>110</v>
      </c>
      <c r="D523" t="s">
        <v>4</v>
      </c>
      <c r="E523">
        <v>0.61863749999999995</v>
      </c>
      <c r="F523">
        <v>0.56353140000000002</v>
      </c>
      <c r="G523">
        <v>0.53911799999999999</v>
      </c>
      <c r="H523">
        <v>0.52610250000000003</v>
      </c>
      <c r="I523">
        <v>0.52077825</v>
      </c>
      <c r="J523">
        <v>0.54911430000000006</v>
      </c>
      <c r="K523">
        <v>0.56441834999999996</v>
      </c>
      <c r="L523">
        <v>0.59353259999999997</v>
      </c>
      <c r="M523">
        <v>0.66616319999999996</v>
      </c>
      <c r="N523">
        <v>0.73943175000000005</v>
      </c>
      <c r="O523">
        <v>0.79762379999999999</v>
      </c>
      <c r="P523">
        <v>0.85895520000000003</v>
      </c>
      <c r="Q523">
        <v>0.89853839999999996</v>
      </c>
      <c r="R523">
        <v>0.90813270000000001</v>
      </c>
      <c r="S523">
        <v>0.90180000000000005</v>
      </c>
      <c r="T523">
        <v>0.88013640000000004</v>
      </c>
      <c r="U523">
        <v>0.84926774999999999</v>
      </c>
      <c r="V523">
        <v>0.87242160000000002</v>
      </c>
      <c r="W523">
        <v>1.0305812999999999</v>
      </c>
      <c r="X523">
        <v>1.0916250000000001</v>
      </c>
      <c r="Y523">
        <v>1.0652303999999999</v>
      </c>
      <c r="Z523">
        <v>0.91671749999999996</v>
      </c>
      <c r="AA523">
        <v>0.79137809999999997</v>
      </c>
      <c r="AB523">
        <v>0.65928030000000004</v>
      </c>
    </row>
    <row r="524" spans="1:28" hidden="1" x14ac:dyDescent="0.25">
      <c r="A524" t="s">
        <v>74</v>
      </c>
      <c r="B524" t="s">
        <v>75</v>
      </c>
      <c r="C524">
        <v>110</v>
      </c>
      <c r="D524" t="s">
        <v>2</v>
      </c>
      <c r="E524">
        <v>4.31210542</v>
      </c>
      <c r="F524">
        <v>4.1222515949999998</v>
      </c>
      <c r="G524">
        <v>4.0634579300000002</v>
      </c>
      <c r="H524">
        <v>3.8025432499999998</v>
      </c>
      <c r="I524">
        <v>4.2323785349999996</v>
      </c>
      <c r="J524">
        <v>4.3854120749999996</v>
      </c>
      <c r="K524">
        <v>4.82174836</v>
      </c>
      <c r="L524">
        <v>4.5828149399999996</v>
      </c>
      <c r="M524">
        <v>4.8322464900000002</v>
      </c>
      <c r="N524">
        <v>4.6372283100000002</v>
      </c>
      <c r="O524">
        <v>4.1572417499999998</v>
      </c>
      <c r="P524">
        <v>3.9848746300000002</v>
      </c>
      <c r="Q524">
        <v>4.0781107900000002</v>
      </c>
      <c r="R524">
        <v>4.3320359100000001</v>
      </c>
      <c r="S524">
        <v>4.1300084699999999</v>
      </c>
      <c r="T524">
        <v>4.3641459249999999</v>
      </c>
      <c r="U524">
        <v>4.6012304999999998</v>
      </c>
      <c r="V524">
        <v>4.7723880400000001</v>
      </c>
      <c r="W524">
        <v>3.9750216749999998</v>
      </c>
      <c r="X524">
        <v>3.2028476700000001</v>
      </c>
      <c r="Y524">
        <v>3.2438630700000002</v>
      </c>
      <c r="Z524">
        <v>3.0852859499999998</v>
      </c>
      <c r="AA524">
        <v>3.0863251250000001</v>
      </c>
      <c r="AB524">
        <v>3.0718456249999999</v>
      </c>
    </row>
    <row r="525" spans="1:28" hidden="1" x14ac:dyDescent="0.25">
      <c r="A525" t="s">
        <v>74</v>
      </c>
      <c r="B525" t="s">
        <v>75</v>
      </c>
      <c r="C525">
        <v>110</v>
      </c>
      <c r="D525" t="s">
        <v>3</v>
      </c>
      <c r="E525">
        <v>1.8912514018</v>
      </c>
      <c r="F525">
        <v>1.9726176354</v>
      </c>
      <c r="G525">
        <v>1.9822714896</v>
      </c>
      <c r="H525">
        <v>1.9612447754</v>
      </c>
      <c r="I525">
        <v>1.9389159854</v>
      </c>
      <c r="J525">
        <v>1.9839784387999999</v>
      </c>
      <c r="K525">
        <v>1.8572250173</v>
      </c>
      <c r="L525">
        <v>1.8964331299999999</v>
      </c>
      <c r="M525">
        <v>2.1009775775000001</v>
      </c>
      <c r="N525">
        <v>2.1509767266000002</v>
      </c>
      <c r="O525">
        <v>2.1880016929999999</v>
      </c>
      <c r="P525">
        <v>1.9485471891999999</v>
      </c>
      <c r="Q525">
        <v>1.917574694</v>
      </c>
      <c r="R525">
        <v>2.0301305849000002</v>
      </c>
      <c r="S525">
        <v>2.0078515319000001</v>
      </c>
      <c r="T525">
        <v>1.9512041494000001</v>
      </c>
      <c r="U525">
        <v>2.0930308914000002</v>
      </c>
      <c r="V525">
        <v>1.8520558200999999</v>
      </c>
      <c r="W525">
        <v>1.9898122974000001</v>
      </c>
      <c r="X525">
        <v>2.1820719208999999</v>
      </c>
      <c r="Y525">
        <v>2.1067634821999999</v>
      </c>
      <c r="Z525">
        <v>1.9630528371</v>
      </c>
      <c r="AA525">
        <v>1.8364680671</v>
      </c>
      <c r="AB525">
        <v>1.7372723588000001</v>
      </c>
    </row>
    <row r="526" spans="1:28" hidden="1" x14ac:dyDescent="0.25">
      <c r="A526" t="s">
        <v>74</v>
      </c>
      <c r="B526" t="s">
        <v>75</v>
      </c>
      <c r="C526">
        <v>110</v>
      </c>
      <c r="D526" t="s">
        <v>4</v>
      </c>
      <c r="E526">
        <v>6.5666580000000002E-2</v>
      </c>
      <c r="F526">
        <v>6.2775405000000006E-2</v>
      </c>
      <c r="G526">
        <v>6.1880070000000002E-2</v>
      </c>
      <c r="H526">
        <v>5.790675E-2</v>
      </c>
      <c r="I526">
        <v>6.4452465E-2</v>
      </c>
      <c r="J526">
        <v>6.6782925000000007E-2</v>
      </c>
      <c r="K526">
        <v>7.3427640000000002E-2</v>
      </c>
      <c r="L526">
        <v>6.978906E-2</v>
      </c>
      <c r="M526">
        <v>7.3587509999999995E-2</v>
      </c>
      <c r="N526">
        <v>7.0617689999999997E-2</v>
      </c>
      <c r="O526">
        <v>6.3308249999999996E-2</v>
      </c>
      <c r="P526">
        <v>6.068337E-2</v>
      </c>
      <c r="Q526">
        <v>6.2103209999999999E-2</v>
      </c>
      <c r="R526">
        <v>6.5970089999999995E-2</v>
      </c>
      <c r="S526">
        <v>6.2893530000000003E-2</v>
      </c>
      <c r="T526">
        <v>6.6459075000000006E-2</v>
      </c>
      <c r="U526">
        <v>7.0069500000000007E-2</v>
      </c>
      <c r="V526">
        <v>7.2675959999999998E-2</v>
      </c>
      <c r="W526">
        <v>6.0533324999999999E-2</v>
      </c>
      <c r="X526">
        <v>4.8774329999999998E-2</v>
      </c>
      <c r="Y526">
        <v>4.9398930000000001E-2</v>
      </c>
      <c r="Z526">
        <v>4.6984049999999999E-2</v>
      </c>
      <c r="AA526">
        <v>4.6999875000000003E-2</v>
      </c>
      <c r="AB526">
        <v>4.6779374999999998E-2</v>
      </c>
    </row>
    <row r="527" spans="1:28" hidden="1" x14ac:dyDescent="0.25">
      <c r="A527" t="s">
        <v>74</v>
      </c>
      <c r="B527" t="s">
        <v>76</v>
      </c>
      <c r="C527">
        <v>34</v>
      </c>
      <c r="D527" t="s">
        <v>2</v>
      </c>
      <c r="E527">
        <v>6.5827148800000002</v>
      </c>
      <c r="F527">
        <v>5.59878374</v>
      </c>
      <c r="G527">
        <v>5.4028272499999996</v>
      </c>
      <c r="H527">
        <v>5.7871655000000004</v>
      </c>
      <c r="I527">
        <v>6.6231891000000003</v>
      </c>
      <c r="J527">
        <v>6.5134481500000003</v>
      </c>
      <c r="K527">
        <v>6.0666205599999996</v>
      </c>
      <c r="L527">
        <v>6.0193524600000003</v>
      </c>
      <c r="M527">
        <v>6.0462263099999998</v>
      </c>
      <c r="N527">
        <v>5.7692903400000004</v>
      </c>
      <c r="O527">
        <v>5.6578402499999996</v>
      </c>
      <c r="P527">
        <v>6.2553330899999997</v>
      </c>
      <c r="Q527">
        <v>5.7131748699999996</v>
      </c>
      <c r="R527">
        <v>5.5095379199999996</v>
      </c>
      <c r="S527">
        <v>5.7214237499999996</v>
      </c>
      <c r="T527">
        <v>5.24541565</v>
      </c>
      <c r="U527">
        <v>5.2272524000000002</v>
      </c>
      <c r="V527">
        <v>5.3869958799999997</v>
      </c>
      <c r="W527">
        <v>6.4876994999999997</v>
      </c>
      <c r="X527">
        <v>6.5043330600000004</v>
      </c>
      <c r="Y527">
        <v>6.3425196000000001</v>
      </c>
      <c r="Z527">
        <v>6.0165879599999998</v>
      </c>
      <c r="AA527">
        <v>5.7015630000000002</v>
      </c>
      <c r="AB527">
        <v>5.9169999999999998</v>
      </c>
    </row>
    <row r="528" spans="1:28" hidden="1" x14ac:dyDescent="0.25">
      <c r="A528" t="s">
        <v>74</v>
      </c>
      <c r="B528" t="s">
        <v>76</v>
      </c>
      <c r="C528">
        <v>34</v>
      </c>
      <c r="D528" t="s">
        <v>3</v>
      </c>
      <c r="E528">
        <v>2.3670852033999998</v>
      </c>
      <c r="F528">
        <v>2.3455677431000002</v>
      </c>
      <c r="G528">
        <v>2.3456714872000002</v>
      </c>
      <c r="H528">
        <v>2.3268987291999998</v>
      </c>
      <c r="I528">
        <v>2.3149270214</v>
      </c>
      <c r="J528">
        <v>2.3571454328999999</v>
      </c>
      <c r="K528">
        <v>2.3938633971000001</v>
      </c>
      <c r="L528">
        <v>2.3609716776999998</v>
      </c>
      <c r="M528">
        <v>2.3338844988999998</v>
      </c>
      <c r="N528">
        <v>2.3099984365999999</v>
      </c>
      <c r="O528">
        <v>2.3190508105999998</v>
      </c>
      <c r="P528">
        <v>2.3613474083999999</v>
      </c>
      <c r="Q528">
        <v>2.4293221036000001</v>
      </c>
      <c r="R528">
        <v>2.4290117216999998</v>
      </c>
      <c r="S528">
        <v>2.3364695674</v>
      </c>
      <c r="T528">
        <v>2.3713609729999998</v>
      </c>
      <c r="U528">
        <v>2.3983256078999999</v>
      </c>
      <c r="V528">
        <v>2.4004356458</v>
      </c>
      <c r="W528">
        <v>2.3887792502999998</v>
      </c>
      <c r="X528">
        <v>2.4119662193</v>
      </c>
      <c r="Y528">
        <v>2.4423826839</v>
      </c>
      <c r="Z528">
        <v>2.3433117701000001</v>
      </c>
      <c r="AA528">
        <v>2.3762935904</v>
      </c>
      <c r="AB528">
        <v>2.4269155845000001</v>
      </c>
    </row>
    <row r="529" spans="1:28" hidden="1" x14ac:dyDescent="0.25">
      <c r="A529" t="s">
        <v>74</v>
      </c>
      <c r="B529" t="s">
        <v>76</v>
      </c>
      <c r="C529">
        <v>34</v>
      </c>
      <c r="D529" t="s">
        <v>4</v>
      </c>
      <c r="E529">
        <v>0.20358912000000001</v>
      </c>
      <c r="F529">
        <v>0.17315826000000001</v>
      </c>
      <c r="G529">
        <v>0.16709774999999999</v>
      </c>
      <c r="H529">
        <v>0.17898449999999999</v>
      </c>
      <c r="I529">
        <v>0.20484089999999999</v>
      </c>
      <c r="J529">
        <v>0.20144685000000001</v>
      </c>
      <c r="K529">
        <v>0.18762744000000001</v>
      </c>
      <c r="L529">
        <v>0.18616553999999999</v>
      </c>
      <c r="M529">
        <v>0.18699668999999999</v>
      </c>
      <c r="N529">
        <v>0.17843165999999999</v>
      </c>
      <c r="O529">
        <v>0.17498474999999999</v>
      </c>
      <c r="P529">
        <v>0.19346390999999999</v>
      </c>
      <c r="Q529">
        <v>0.17669613000000001</v>
      </c>
      <c r="R529">
        <v>0.17039808000000001</v>
      </c>
      <c r="S529">
        <v>0.17695125</v>
      </c>
      <c r="T529">
        <v>0.16222934999999999</v>
      </c>
      <c r="U529">
        <v>0.16166759999999999</v>
      </c>
      <c r="V529">
        <v>0.16660812</v>
      </c>
      <c r="W529">
        <v>0.20065050000000001</v>
      </c>
      <c r="X529">
        <v>0.20116493999999999</v>
      </c>
      <c r="Y529">
        <v>0.19616040000000001</v>
      </c>
      <c r="Z529">
        <v>0.18608004</v>
      </c>
      <c r="AA529">
        <v>0.17633699999999999</v>
      </c>
      <c r="AB529">
        <v>0.183</v>
      </c>
    </row>
    <row r="530" spans="1:28" hidden="1" x14ac:dyDescent="0.25">
      <c r="A530" t="s">
        <v>74</v>
      </c>
      <c r="B530" t="s">
        <v>77</v>
      </c>
      <c r="C530">
        <v>14</v>
      </c>
      <c r="D530" t="s">
        <v>2</v>
      </c>
      <c r="E530">
        <v>16.563580600000002</v>
      </c>
      <c r="F530">
        <v>16.162544749999999</v>
      </c>
      <c r="G530">
        <v>15.7445609</v>
      </c>
      <c r="H530">
        <v>15.483212099999999</v>
      </c>
      <c r="I530">
        <v>15.312374549999999</v>
      </c>
      <c r="J530">
        <v>14.661297749999999</v>
      </c>
      <c r="K530">
        <v>13.7300878</v>
      </c>
      <c r="L530">
        <v>13.2016104</v>
      </c>
      <c r="M530">
        <v>12.505594800000001</v>
      </c>
      <c r="N530">
        <v>12.058714800000001</v>
      </c>
      <c r="O530">
        <v>12.158670000000001</v>
      </c>
      <c r="P530">
        <v>12.66836685</v>
      </c>
      <c r="Q530">
        <v>13.066028299999999</v>
      </c>
      <c r="R530">
        <v>13.577282200000001</v>
      </c>
      <c r="S530">
        <v>13.68524115</v>
      </c>
      <c r="T530">
        <v>13.484508999999999</v>
      </c>
      <c r="U530">
        <v>13.756978500000001</v>
      </c>
      <c r="V530">
        <v>13.8212536</v>
      </c>
      <c r="W530">
        <v>15.963362999999999</v>
      </c>
      <c r="X530">
        <v>16.361570700000001</v>
      </c>
      <c r="Y530">
        <v>17.036849700000001</v>
      </c>
      <c r="Z530">
        <v>16.288964100000001</v>
      </c>
      <c r="AA530">
        <v>16.811105000000001</v>
      </c>
      <c r="AB530">
        <v>16.370875000000002</v>
      </c>
    </row>
    <row r="531" spans="1:28" hidden="1" x14ac:dyDescent="0.25">
      <c r="A531" t="s">
        <v>74</v>
      </c>
      <c r="B531" t="s">
        <v>77</v>
      </c>
      <c r="C531">
        <v>14</v>
      </c>
      <c r="D531" t="s">
        <v>3</v>
      </c>
      <c r="E531">
        <v>5.6741432127999998</v>
      </c>
      <c r="F531">
        <v>5.6661314212000002</v>
      </c>
      <c r="G531">
        <v>5.6331811515999997</v>
      </c>
      <c r="H531">
        <v>5.6124621150999996</v>
      </c>
      <c r="I531">
        <v>5.5357805853000004</v>
      </c>
      <c r="J531">
        <v>5.4002357170000002</v>
      </c>
      <c r="K531">
        <v>5.3313924844000002</v>
      </c>
      <c r="L531">
        <v>5.5339264814</v>
      </c>
      <c r="M531">
        <v>5.660871438</v>
      </c>
      <c r="N531">
        <v>5.6455528410999998</v>
      </c>
      <c r="O531">
        <v>5.6653996698000002</v>
      </c>
      <c r="P531">
        <v>5.7075009771999996</v>
      </c>
      <c r="Q531">
        <v>5.5032840580000002</v>
      </c>
      <c r="R531">
        <v>5.8999289424999999</v>
      </c>
      <c r="S531">
        <v>6.1608247538000001</v>
      </c>
      <c r="T531">
        <v>6.0941399677000003</v>
      </c>
      <c r="U531">
        <v>6.0638714614999998</v>
      </c>
      <c r="V531">
        <v>5.7932516202000004</v>
      </c>
      <c r="W531">
        <v>5.8504087234000002</v>
      </c>
      <c r="X531">
        <v>5.7945698221999997</v>
      </c>
      <c r="Y531">
        <v>5.8392062355999999</v>
      </c>
      <c r="Z531">
        <v>5.6410564753000001</v>
      </c>
      <c r="AA531">
        <v>5.7890229603999996</v>
      </c>
      <c r="AB531">
        <v>5.8473948595999996</v>
      </c>
    </row>
    <row r="532" spans="1:28" hidden="1" x14ac:dyDescent="0.25">
      <c r="A532" t="s">
        <v>74</v>
      </c>
      <c r="B532" t="s">
        <v>77</v>
      </c>
      <c r="C532">
        <v>14</v>
      </c>
      <c r="D532" t="s">
        <v>4</v>
      </c>
      <c r="E532">
        <v>0.87176739999999997</v>
      </c>
      <c r="F532">
        <v>0.85066025000000001</v>
      </c>
      <c r="G532">
        <v>0.82866110000000004</v>
      </c>
      <c r="H532">
        <v>0.81490589999999996</v>
      </c>
      <c r="I532">
        <v>0.80591444999999995</v>
      </c>
      <c r="J532">
        <v>0.77164725000000001</v>
      </c>
      <c r="K532">
        <v>0.72263619999999995</v>
      </c>
      <c r="L532">
        <v>0.69482160000000004</v>
      </c>
      <c r="M532">
        <v>0.65818920000000003</v>
      </c>
      <c r="N532">
        <v>0.63466920000000004</v>
      </c>
      <c r="O532">
        <v>0.63993</v>
      </c>
      <c r="P532">
        <v>0.66675614999999999</v>
      </c>
      <c r="Q532">
        <v>0.68768569999999996</v>
      </c>
      <c r="R532">
        <v>0.71459379999999995</v>
      </c>
      <c r="S532">
        <v>0.72027585000000005</v>
      </c>
      <c r="T532">
        <v>0.70971099999999998</v>
      </c>
      <c r="U532">
        <v>0.72405149999999996</v>
      </c>
      <c r="V532">
        <v>0.72743440000000004</v>
      </c>
      <c r="W532">
        <v>0.84017699999999995</v>
      </c>
      <c r="X532">
        <v>0.86113530000000005</v>
      </c>
      <c r="Y532">
        <v>0.89667629999999998</v>
      </c>
      <c r="Z532">
        <v>0.85731389999999996</v>
      </c>
      <c r="AA532">
        <v>0.884795</v>
      </c>
      <c r="AB532">
        <v>0.86162499999999997</v>
      </c>
    </row>
    <row r="533" spans="1:28" hidden="1" x14ac:dyDescent="0.25">
      <c r="A533" t="s">
        <v>74</v>
      </c>
      <c r="B533" t="s">
        <v>78</v>
      </c>
      <c r="C533">
        <v>110</v>
      </c>
      <c r="D533" t="s">
        <v>2</v>
      </c>
      <c r="E533">
        <v>12.42900974</v>
      </c>
      <c r="F533">
        <v>12.228619370000001</v>
      </c>
      <c r="G533">
        <v>11.99215633</v>
      </c>
      <c r="H533">
        <v>11.829366365</v>
      </c>
      <c r="I533">
        <v>11.678103855</v>
      </c>
      <c r="J533">
        <v>11.353563100000001</v>
      </c>
      <c r="K533">
        <v>10.951194539999999</v>
      </c>
      <c r="L533">
        <v>10.731525749999999</v>
      </c>
      <c r="M533">
        <v>10.429699095</v>
      </c>
      <c r="N533">
        <v>10.26598914</v>
      </c>
      <c r="O533">
        <v>10.178497500000001</v>
      </c>
      <c r="P533">
        <v>10.268234939999999</v>
      </c>
      <c r="Q533">
        <v>10.353098599999999</v>
      </c>
      <c r="R533">
        <v>10.66496733</v>
      </c>
      <c r="S533">
        <v>10.882771515</v>
      </c>
      <c r="T533">
        <v>10.953805774999999</v>
      </c>
      <c r="U533">
        <v>10.796220549999999</v>
      </c>
      <c r="V533">
        <v>10.714609360000001</v>
      </c>
      <c r="W533">
        <v>12.058305975</v>
      </c>
      <c r="X533">
        <v>12.59684586</v>
      </c>
      <c r="Y533">
        <v>13.101122520000001</v>
      </c>
      <c r="Z533">
        <v>12.90487506</v>
      </c>
      <c r="AA533">
        <v>13.103479625</v>
      </c>
      <c r="AB533">
        <v>12.97836</v>
      </c>
    </row>
    <row r="534" spans="1:28" hidden="1" x14ac:dyDescent="0.25">
      <c r="A534" t="s">
        <v>74</v>
      </c>
      <c r="B534" t="s">
        <v>78</v>
      </c>
      <c r="C534">
        <v>110</v>
      </c>
      <c r="D534" t="s">
        <v>3</v>
      </c>
      <c r="E534">
        <v>5.3392230831000003</v>
      </c>
      <c r="F534">
        <v>5.2817242085</v>
      </c>
      <c r="G534">
        <v>5.1752849998999997</v>
      </c>
      <c r="H534">
        <v>5.0453493118999999</v>
      </c>
      <c r="I534">
        <v>4.8832106671000002</v>
      </c>
      <c r="J534">
        <v>4.5770426661999997</v>
      </c>
      <c r="K534">
        <v>4.1112918219000001</v>
      </c>
      <c r="L534">
        <v>3.8359935634000002</v>
      </c>
      <c r="M534">
        <v>3.7070991079</v>
      </c>
      <c r="N534">
        <v>3.6871017783000002</v>
      </c>
      <c r="O534">
        <v>3.8063193339999999</v>
      </c>
      <c r="P534">
        <v>3.9287861218</v>
      </c>
      <c r="Q534">
        <v>4.0227404708999996</v>
      </c>
      <c r="R534">
        <v>4.3480301205999998</v>
      </c>
      <c r="S534">
        <v>4.5151023883999999</v>
      </c>
      <c r="T534">
        <v>4.4985414456999999</v>
      </c>
      <c r="U534">
        <v>4.4072086357</v>
      </c>
      <c r="V534">
        <v>4.2850636399999997</v>
      </c>
      <c r="W534">
        <v>4.7025310650999996</v>
      </c>
      <c r="X534">
        <v>4.9967997720000001</v>
      </c>
      <c r="Y534">
        <v>5.2607505964000003</v>
      </c>
      <c r="Z534">
        <v>5.3065587410999999</v>
      </c>
      <c r="AA534">
        <v>5.5512014690000004</v>
      </c>
      <c r="AB534">
        <v>5.5779377328999997</v>
      </c>
    </row>
    <row r="535" spans="1:28" hidden="1" x14ac:dyDescent="0.25">
      <c r="A535" t="s">
        <v>74</v>
      </c>
      <c r="B535" t="s">
        <v>78</v>
      </c>
      <c r="C535">
        <v>110</v>
      </c>
      <c r="D535" t="s">
        <v>4</v>
      </c>
      <c r="E535">
        <v>0.18927426</v>
      </c>
      <c r="F535">
        <v>0.18622263</v>
      </c>
      <c r="G535">
        <v>0.18262167000000001</v>
      </c>
      <c r="H535">
        <v>0.180142635</v>
      </c>
      <c r="I535">
        <v>0.177839145</v>
      </c>
      <c r="J535">
        <v>0.17289689999999999</v>
      </c>
      <c r="K535">
        <v>0.16676946000000001</v>
      </c>
      <c r="L535">
        <v>0.16342424999999999</v>
      </c>
      <c r="M535">
        <v>0.15882790499999999</v>
      </c>
      <c r="N535">
        <v>0.15633485999999999</v>
      </c>
      <c r="O535">
        <v>0.15500249999999999</v>
      </c>
      <c r="P535">
        <v>0.15636906</v>
      </c>
      <c r="Q535">
        <v>0.15766140000000001</v>
      </c>
      <c r="R535">
        <v>0.16241067000000001</v>
      </c>
      <c r="S535">
        <v>0.16572748500000001</v>
      </c>
      <c r="T535">
        <v>0.16680922500000001</v>
      </c>
      <c r="U535">
        <v>0.16440945000000001</v>
      </c>
      <c r="V535">
        <v>0.16316664</v>
      </c>
      <c r="W535">
        <v>0.183629025</v>
      </c>
      <c r="X535">
        <v>0.19183014000000001</v>
      </c>
      <c r="Y535">
        <v>0.19950947999999999</v>
      </c>
      <c r="Z535">
        <v>0.19652094000000001</v>
      </c>
      <c r="AA535">
        <v>0.199545375</v>
      </c>
      <c r="AB535">
        <v>0.19764000000000001</v>
      </c>
    </row>
    <row r="536" spans="1:28" hidden="1" x14ac:dyDescent="0.25">
      <c r="A536" t="s">
        <v>74</v>
      </c>
      <c r="B536" t="s">
        <v>79</v>
      </c>
      <c r="C536">
        <v>110</v>
      </c>
      <c r="D536" t="s">
        <v>2</v>
      </c>
      <c r="E536">
        <v>21.635131000000001</v>
      </c>
      <c r="F536">
        <v>21.192880774999999</v>
      </c>
      <c r="G536">
        <v>20.720803764999999</v>
      </c>
      <c r="H536">
        <v>20.319408384999999</v>
      </c>
      <c r="I536">
        <v>19.911880395000001</v>
      </c>
      <c r="J536">
        <v>19.226328275</v>
      </c>
      <c r="K536">
        <v>18.264386139999999</v>
      </c>
      <c r="L536">
        <v>17.623885949999998</v>
      </c>
      <c r="M536">
        <v>16.955039429999999</v>
      </c>
      <c r="N536">
        <v>16.29378135</v>
      </c>
      <c r="O536">
        <v>16.046462625</v>
      </c>
      <c r="P536">
        <v>16.395448125000001</v>
      </c>
      <c r="Q536">
        <v>16.703840790000001</v>
      </c>
      <c r="R536">
        <v>17.386422150000001</v>
      </c>
      <c r="S536">
        <v>18.04720743</v>
      </c>
      <c r="T536">
        <v>18.178372</v>
      </c>
      <c r="U536">
        <v>18.171526249999999</v>
      </c>
      <c r="V536">
        <v>18.13241584</v>
      </c>
      <c r="W536">
        <v>20.200808474999999</v>
      </c>
      <c r="X536">
        <v>21.125002455000001</v>
      </c>
      <c r="Y536">
        <v>22.204360529999999</v>
      </c>
      <c r="Z536">
        <v>22.19120487</v>
      </c>
      <c r="AA536">
        <v>22.890882874999999</v>
      </c>
      <c r="AB536">
        <v>22.727151249999999</v>
      </c>
    </row>
    <row r="537" spans="1:28" hidden="1" x14ac:dyDescent="0.25">
      <c r="A537" t="s">
        <v>74</v>
      </c>
      <c r="B537" t="s">
        <v>79</v>
      </c>
      <c r="C537">
        <v>110</v>
      </c>
      <c r="D537" t="s">
        <v>3</v>
      </c>
      <c r="E537">
        <v>9.9747573688000006</v>
      </c>
      <c r="F537">
        <v>9.7155469280000002</v>
      </c>
      <c r="G537">
        <v>9.3487248153000007</v>
      </c>
      <c r="H537">
        <v>9.0871710932000003</v>
      </c>
      <c r="I537">
        <v>8.6626858948999992</v>
      </c>
      <c r="J537">
        <v>7.9354969539000004</v>
      </c>
      <c r="K537">
        <v>6.9964376869000002</v>
      </c>
      <c r="L537">
        <v>6.6489100324999999</v>
      </c>
      <c r="M537">
        <v>6.4195961648999997</v>
      </c>
      <c r="N537">
        <v>6.2551406695000003</v>
      </c>
      <c r="O537">
        <v>6.1427138584999996</v>
      </c>
      <c r="P537">
        <v>6.3214282478000001</v>
      </c>
      <c r="Q537">
        <v>6.3857889131999999</v>
      </c>
      <c r="R537">
        <v>6.9771757118000002</v>
      </c>
      <c r="S537">
        <v>7.4383024304000003</v>
      </c>
      <c r="T537">
        <v>7.5408281840000004</v>
      </c>
      <c r="U537">
        <v>7.4934459293</v>
      </c>
      <c r="V537">
        <v>7.3211202448000003</v>
      </c>
      <c r="W537">
        <v>8.1223244038000004</v>
      </c>
      <c r="X537">
        <v>8.6685284494000001</v>
      </c>
      <c r="Y537">
        <v>9.4375850585999999</v>
      </c>
      <c r="Z537">
        <v>9.8051931254000007</v>
      </c>
      <c r="AA537">
        <v>10.5258539451</v>
      </c>
      <c r="AB537">
        <v>10.59835449</v>
      </c>
    </row>
    <row r="538" spans="1:28" hidden="1" x14ac:dyDescent="0.25">
      <c r="A538" t="s">
        <v>74</v>
      </c>
      <c r="B538" t="s">
        <v>79</v>
      </c>
      <c r="C538">
        <v>110</v>
      </c>
      <c r="D538" t="s">
        <v>4</v>
      </c>
      <c r="E538">
        <v>0.32946900000000001</v>
      </c>
      <c r="F538">
        <v>0.32273422499999999</v>
      </c>
      <c r="G538">
        <v>0.31554523499999998</v>
      </c>
      <c r="H538">
        <v>0.30943261500000002</v>
      </c>
      <c r="I538">
        <v>0.30322660499999998</v>
      </c>
      <c r="J538">
        <v>0.29278672500000003</v>
      </c>
      <c r="K538">
        <v>0.27813786000000001</v>
      </c>
      <c r="L538">
        <v>0.26838404999999999</v>
      </c>
      <c r="M538">
        <v>0.25819857000000002</v>
      </c>
      <c r="N538">
        <v>0.24812865000000001</v>
      </c>
      <c r="O538">
        <v>0.24436237499999999</v>
      </c>
      <c r="P538">
        <v>0.24967687499999999</v>
      </c>
      <c r="Q538">
        <v>0.25437321000000002</v>
      </c>
      <c r="R538">
        <v>0.26476785000000003</v>
      </c>
      <c r="S538">
        <v>0.27483057</v>
      </c>
      <c r="T538">
        <v>0.27682800000000002</v>
      </c>
      <c r="U538">
        <v>0.27672374999999999</v>
      </c>
      <c r="V538">
        <v>0.27612816000000001</v>
      </c>
      <c r="W538">
        <v>0.30762652499999998</v>
      </c>
      <c r="X538">
        <v>0.321700545</v>
      </c>
      <c r="Y538">
        <v>0.33813747</v>
      </c>
      <c r="Z538">
        <v>0.33793712999999997</v>
      </c>
      <c r="AA538">
        <v>0.34859212499999997</v>
      </c>
      <c r="AB538">
        <v>0.34609875000000001</v>
      </c>
    </row>
    <row r="539" spans="1:28" hidden="1" x14ac:dyDescent="0.25">
      <c r="A539" t="s">
        <v>74</v>
      </c>
      <c r="B539" t="s">
        <v>80</v>
      </c>
      <c r="C539">
        <v>115</v>
      </c>
      <c r="D539" t="s">
        <v>2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</row>
    <row r="540" spans="1:28" hidden="1" x14ac:dyDescent="0.25">
      <c r="A540" t="s">
        <v>74</v>
      </c>
      <c r="B540" t="s">
        <v>80</v>
      </c>
      <c r="C540">
        <v>115</v>
      </c>
      <c r="D540" t="s">
        <v>3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</row>
    <row r="541" spans="1:28" hidden="1" x14ac:dyDescent="0.25">
      <c r="A541" t="s">
        <v>74</v>
      </c>
      <c r="B541" t="s">
        <v>80</v>
      </c>
      <c r="C541">
        <v>115</v>
      </c>
      <c r="D541" t="s">
        <v>4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</row>
    <row r="542" spans="1:28" hidden="1" x14ac:dyDescent="0.25">
      <c r="A542" t="s">
        <v>74</v>
      </c>
      <c r="B542" t="s">
        <v>81</v>
      </c>
      <c r="C542">
        <v>110</v>
      </c>
      <c r="D542" t="s">
        <v>2</v>
      </c>
      <c r="E542">
        <v>42.800257430000002</v>
      </c>
      <c r="F542">
        <v>41.317029654999999</v>
      </c>
      <c r="G542">
        <v>39.912501409999997</v>
      </c>
      <c r="H542">
        <v>38.77211372</v>
      </c>
      <c r="I542">
        <v>37.595478030000002</v>
      </c>
      <c r="J542">
        <v>36.413997125000002</v>
      </c>
      <c r="K542">
        <v>34.353407660000002</v>
      </c>
      <c r="L542">
        <v>33.62141673</v>
      </c>
      <c r="M542">
        <v>34.41619944</v>
      </c>
      <c r="N542">
        <v>34.872924240000003</v>
      </c>
      <c r="O542">
        <v>35.686057499999997</v>
      </c>
      <c r="P542">
        <v>36.931918005</v>
      </c>
      <c r="Q542">
        <v>36.835567275000002</v>
      </c>
      <c r="R542">
        <v>37.803326820000002</v>
      </c>
      <c r="S542">
        <v>38.770288514999997</v>
      </c>
      <c r="T542">
        <v>39.571375224999997</v>
      </c>
      <c r="U542">
        <v>39.517234700000003</v>
      </c>
      <c r="V542">
        <v>38.604498239999998</v>
      </c>
      <c r="W542">
        <v>42.178162950000001</v>
      </c>
      <c r="X542">
        <v>43.652208555000001</v>
      </c>
      <c r="Y542">
        <v>44.644352759999997</v>
      </c>
      <c r="Z542">
        <v>43.651082700000003</v>
      </c>
      <c r="AA542">
        <v>44.37262475</v>
      </c>
      <c r="AB542">
        <v>43.441454999999998</v>
      </c>
    </row>
    <row r="543" spans="1:28" hidden="1" x14ac:dyDescent="0.25">
      <c r="A543" t="s">
        <v>74</v>
      </c>
      <c r="B543" t="s">
        <v>81</v>
      </c>
      <c r="C543">
        <v>110</v>
      </c>
      <c r="D543" t="s">
        <v>3</v>
      </c>
      <c r="E543">
        <v>11.6996557754</v>
      </c>
      <c r="F543">
        <v>11.625509162</v>
      </c>
      <c r="G543">
        <v>11.4966142495</v>
      </c>
      <c r="H543">
        <v>11.3715046693</v>
      </c>
      <c r="I543">
        <v>11.212365953400001</v>
      </c>
      <c r="J543">
        <v>11.1851840046</v>
      </c>
      <c r="K543">
        <v>11.733975725200001</v>
      </c>
      <c r="L543">
        <v>12.5718661513</v>
      </c>
      <c r="M543">
        <v>13.1294943767</v>
      </c>
      <c r="N543">
        <v>13.4767584665</v>
      </c>
      <c r="O543">
        <v>13.6826415973</v>
      </c>
      <c r="P543">
        <v>13.729065995399999</v>
      </c>
      <c r="Q543">
        <v>13.071645521400001</v>
      </c>
      <c r="R543">
        <v>13.5545890861</v>
      </c>
      <c r="S543">
        <v>14.1961287301</v>
      </c>
      <c r="T543">
        <v>14.3112385188</v>
      </c>
      <c r="U543">
        <v>13.953979240400001</v>
      </c>
      <c r="V543">
        <v>12.9363087199</v>
      </c>
      <c r="W543">
        <v>12.5195236473</v>
      </c>
      <c r="X543">
        <v>12.142804657899999</v>
      </c>
      <c r="Y543">
        <v>12.0390988717</v>
      </c>
      <c r="Z543">
        <v>11.3441891316</v>
      </c>
      <c r="AA543">
        <v>11.6535974138</v>
      </c>
      <c r="AB543">
        <v>11.903233289399999</v>
      </c>
    </row>
    <row r="544" spans="1:28" hidden="1" x14ac:dyDescent="0.25">
      <c r="A544" t="s">
        <v>74</v>
      </c>
      <c r="B544" t="s">
        <v>81</v>
      </c>
      <c r="C544">
        <v>110</v>
      </c>
      <c r="D544" t="s">
        <v>4</v>
      </c>
      <c r="E544">
        <v>0.65178057</v>
      </c>
      <c r="F544">
        <v>0.62919334500000001</v>
      </c>
      <c r="G544">
        <v>0.60780458999999998</v>
      </c>
      <c r="H544">
        <v>0.59043827999999998</v>
      </c>
      <c r="I544">
        <v>0.57251996999999999</v>
      </c>
      <c r="J544">
        <v>0.554527875</v>
      </c>
      <c r="K544">
        <v>0.52314833999999999</v>
      </c>
      <c r="L544">
        <v>0.51200126999999995</v>
      </c>
      <c r="M544">
        <v>0.52410456000000005</v>
      </c>
      <c r="N544">
        <v>0.53105975999999999</v>
      </c>
      <c r="O544">
        <v>0.54344250000000005</v>
      </c>
      <c r="P544">
        <v>0.56241499500000003</v>
      </c>
      <c r="Q544">
        <v>0.56094772500000001</v>
      </c>
      <c r="R544">
        <v>0.57568518000000002</v>
      </c>
      <c r="S544">
        <v>0.59041048500000004</v>
      </c>
      <c r="T544">
        <v>0.60260977500000001</v>
      </c>
      <c r="U544">
        <v>0.60178529999999997</v>
      </c>
      <c r="V544">
        <v>0.58788576000000003</v>
      </c>
      <c r="W544">
        <v>0.64230704999999999</v>
      </c>
      <c r="X544">
        <v>0.66475444500000003</v>
      </c>
      <c r="Y544">
        <v>0.67986323999999998</v>
      </c>
      <c r="Z544">
        <v>0.66473729999999998</v>
      </c>
      <c r="AA544">
        <v>0.67572525000000006</v>
      </c>
      <c r="AB544">
        <v>0.66154500000000005</v>
      </c>
    </row>
    <row r="545" spans="1:28" hidden="1" x14ac:dyDescent="0.25">
      <c r="A545" t="s">
        <v>74</v>
      </c>
      <c r="B545" t="s">
        <v>82</v>
      </c>
      <c r="C545">
        <v>110</v>
      </c>
      <c r="D545" t="s">
        <v>2</v>
      </c>
      <c r="E545">
        <v>68.210345770000004</v>
      </c>
      <c r="F545">
        <v>66.537648320000002</v>
      </c>
      <c r="G545">
        <v>65.362207435100004</v>
      </c>
      <c r="H545">
        <v>64.000259755000002</v>
      </c>
      <c r="I545">
        <v>62.670452625000003</v>
      </c>
      <c r="J545">
        <v>60.569817</v>
      </c>
      <c r="K545">
        <v>57.916758899999998</v>
      </c>
      <c r="L545">
        <v>57.206589659999999</v>
      </c>
      <c r="M545">
        <v>56.028753254999998</v>
      </c>
      <c r="N545">
        <v>54.618931619999998</v>
      </c>
      <c r="O545">
        <v>54.148380375000002</v>
      </c>
      <c r="P545">
        <v>54.951296229999997</v>
      </c>
      <c r="Q545">
        <v>54.890361175000002</v>
      </c>
      <c r="R545">
        <v>56.433023849999998</v>
      </c>
      <c r="S545">
        <v>58.15211283</v>
      </c>
      <c r="T545">
        <v>58.525001324999998</v>
      </c>
      <c r="U545">
        <v>58.368942850000003</v>
      </c>
      <c r="V545">
        <v>58.604659259999998</v>
      </c>
      <c r="W545">
        <v>65.613765599999994</v>
      </c>
      <c r="X545">
        <v>67.573955984999998</v>
      </c>
      <c r="Y545">
        <v>69.746983200000003</v>
      </c>
      <c r="Z545">
        <v>68.645707889999997</v>
      </c>
      <c r="AA545">
        <v>69.844380000000001</v>
      </c>
      <c r="AB545">
        <v>69.225430625000001</v>
      </c>
    </row>
    <row r="546" spans="1:28" hidden="1" x14ac:dyDescent="0.25">
      <c r="A546" t="s">
        <v>74</v>
      </c>
      <c r="B546" t="s">
        <v>82</v>
      </c>
      <c r="C546">
        <v>110</v>
      </c>
      <c r="D546" t="s">
        <v>3</v>
      </c>
      <c r="E546">
        <v>33.207527940399999</v>
      </c>
      <c r="F546">
        <v>32.274635765399999</v>
      </c>
      <c r="G546">
        <v>31.5377860764</v>
      </c>
      <c r="H546">
        <v>30.439876274500001</v>
      </c>
      <c r="I546">
        <v>29.318924475500001</v>
      </c>
      <c r="J546">
        <v>27.2637842237</v>
      </c>
      <c r="K546">
        <v>26.1899293755</v>
      </c>
      <c r="L546">
        <v>26.657375372499999</v>
      </c>
      <c r="M546">
        <v>27.094690656899999</v>
      </c>
      <c r="N546">
        <v>27.0275463109</v>
      </c>
      <c r="O546">
        <v>27.1781164374</v>
      </c>
      <c r="P546">
        <v>27.097859552399999</v>
      </c>
      <c r="Q546">
        <v>26.86073309</v>
      </c>
      <c r="R546">
        <v>29.842006452700002</v>
      </c>
      <c r="S546">
        <v>31.538843484400001</v>
      </c>
      <c r="T546">
        <v>31.620266869999998</v>
      </c>
      <c r="U546">
        <v>30.835365208799999</v>
      </c>
      <c r="V546">
        <v>28.679986962499999</v>
      </c>
      <c r="W546">
        <v>30.603343539299999</v>
      </c>
      <c r="X546">
        <v>32.399572199200001</v>
      </c>
      <c r="Y546">
        <v>34.236994796899999</v>
      </c>
      <c r="Z546">
        <v>34.412447638800003</v>
      </c>
      <c r="AA546">
        <v>35.888640326599997</v>
      </c>
      <c r="AB546">
        <v>35.738937183799997</v>
      </c>
    </row>
    <row r="547" spans="1:28" hidden="1" x14ac:dyDescent="0.25">
      <c r="A547" t="s">
        <v>74</v>
      </c>
      <c r="B547" t="s">
        <v>82</v>
      </c>
      <c r="C547">
        <v>110</v>
      </c>
      <c r="D547" t="s">
        <v>4</v>
      </c>
      <c r="E547">
        <v>1.03873623</v>
      </c>
      <c r="F547">
        <v>1.0132636800000001</v>
      </c>
      <c r="G547">
        <v>0.9953635649</v>
      </c>
      <c r="H547">
        <v>0.97462324499999997</v>
      </c>
      <c r="I547">
        <v>0.95437237500000005</v>
      </c>
      <c r="J547">
        <v>0.92238299999999995</v>
      </c>
      <c r="K547">
        <v>0.88198109999999996</v>
      </c>
      <c r="L547">
        <v>0.87116634000000004</v>
      </c>
      <c r="M547">
        <v>0.85322974500000004</v>
      </c>
      <c r="N547">
        <v>0.83176037999999997</v>
      </c>
      <c r="O547">
        <v>0.82459462500000003</v>
      </c>
      <c r="P547">
        <v>0.83682177000000002</v>
      </c>
      <c r="Q547">
        <v>0.83589382499999998</v>
      </c>
      <c r="R547">
        <v>0.85938614999999996</v>
      </c>
      <c r="S547">
        <v>0.88556517000000001</v>
      </c>
      <c r="T547">
        <v>0.89124367500000001</v>
      </c>
      <c r="U547">
        <v>0.88886715000000005</v>
      </c>
      <c r="V547">
        <v>0.89245673999999997</v>
      </c>
      <c r="W547">
        <v>0.99919440000000004</v>
      </c>
      <c r="X547">
        <v>1.0290450149999999</v>
      </c>
      <c r="Y547">
        <v>1.0621368</v>
      </c>
      <c r="Z547">
        <v>1.04536611</v>
      </c>
      <c r="AA547">
        <v>1.06362</v>
      </c>
      <c r="AB547">
        <v>1.054194375</v>
      </c>
    </row>
    <row r="548" spans="1:28" hidden="1" x14ac:dyDescent="0.25">
      <c r="A548" t="s">
        <v>74</v>
      </c>
      <c r="B548" t="s">
        <v>83</v>
      </c>
      <c r="C548">
        <v>34</v>
      </c>
      <c r="D548" t="s">
        <v>2</v>
      </c>
      <c r="E548">
        <v>23.96519636</v>
      </c>
      <c r="F548">
        <v>23.855687240000002</v>
      </c>
      <c r="G548">
        <v>23.577240979999999</v>
      </c>
      <c r="H548">
        <v>23.046535550000002</v>
      </c>
      <c r="I548">
        <v>22.75299609</v>
      </c>
      <c r="J548">
        <v>22.135395150000001</v>
      </c>
      <c r="K548">
        <v>21.318617320000001</v>
      </c>
      <c r="L548">
        <v>21.1659723</v>
      </c>
      <c r="M548">
        <v>21.580103130000001</v>
      </c>
      <c r="N548">
        <v>22.90449942</v>
      </c>
      <c r="O548">
        <v>23.048000250000001</v>
      </c>
      <c r="P548">
        <v>23.23760906</v>
      </c>
      <c r="Q548">
        <v>23.08893522</v>
      </c>
      <c r="R548">
        <v>23.402782599999998</v>
      </c>
      <c r="S548">
        <v>22.794152220000001</v>
      </c>
      <c r="T548">
        <v>22.284789700000001</v>
      </c>
      <c r="U548">
        <v>22.150153700000001</v>
      </c>
      <c r="V548">
        <v>22.137083919999998</v>
      </c>
      <c r="W548">
        <v>24.427282049999999</v>
      </c>
      <c r="X548">
        <v>24.659118840000001</v>
      </c>
      <c r="Y548">
        <v>24.828643799999998</v>
      </c>
      <c r="Z548">
        <v>23.60122908</v>
      </c>
      <c r="AA548">
        <v>23.598135750000001</v>
      </c>
      <c r="AB548">
        <v>23.431319999999999</v>
      </c>
    </row>
    <row r="549" spans="1:28" hidden="1" x14ac:dyDescent="0.25">
      <c r="A549" t="s">
        <v>74</v>
      </c>
      <c r="B549" t="s">
        <v>83</v>
      </c>
      <c r="C549">
        <v>34</v>
      </c>
      <c r="D549" t="s">
        <v>3</v>
      </c>
      <c r="E549">
        <v>10.7049437058</v>
      </c>
      <c r="F549">
        <v>10.7246764255</v>
      </c>
      <c r="G549">
        <v>10.6381700843</v>
      </c>
      <c r="H549">
        <v>10.5251338158</v>
      </c>
      <c r="I549">
        <v>10.4221661583</v>
      </c>
      <c r="J549">
        <v>10.389889093300001</v>
      </c>
      <c r="K549">
        <v>10.9366047206</v>
      </c>
      <c r="L549">
        <v>12.085397541500001</v>
      </c>
      <c r="M549">
        <v>13.1214108087</v>
      </c>
      <c r="N549">
        <v>13.4515971726</v>
      </c>
      <c r="O549">
        <v>13.691755913</v>
      </c>
      <c r="P549">
        <v>13.7058279063</v>
      </c>
      <c r="Q549">
        <v>12.5191679245</v>
      </c>
      <c r="R549">
        <v>13.8684108478</v>
      </c>
      <c r="S549">
        <v>14.457130556599999</v>
      </c>
      <c r="T549">
        <v>14.322352858</v>
      </c>
      <c r="U549">
        <v>13.5485628574</v>
      </c>
      <c r="V549">
        <v>11.955553714100001</v>
      </c>
      <c r="W549">
        <v>11.54690151</v>
      </c>
      <c r="X549">
        <v>11.348230832600001</v>
      </c>
      <c r="Y549">
        <v>11.148977178499999</v>
      </c>
      <c r="Z549">
        <v>10.684879245899999</v>
      </c>
      <c r="AA549">
        <v>10.8455930534</v>
      </c>
      <c r="AB549">
        <v>10.885519884900001</v>
      </c>
    </row>
    <row r="550" spans="1:28" hidden="1" x14ac:dyDescent="0.25">
      <c r="A550" t="s">
        <v>74</v>
      </c>
      <c r="B550" t="s">
        <v>83</v>
      </c>
      <c r="C550">
        <v>34</v>
      </c>
      <c r="D550" t="s">
        <v>4</v>
      </c>
      <c r="E550">
        <v>0.74119164000000004</v>
      </c>
      <c r="F550">
        <v>0.73780475999999995</v>
      </c>
      <c r="G550">
        <v>0.72919301999999997</v>
      </c>
      <c r="H550">
        <v>0.71277944999999998</v>
      </c>
      <c r="I550">
        <v>0.70370091000000001</v>
      </c>
      <c r="J550">
        <v>0.68459985000000001</v>
      </c>
      <c r="K550">
        <v>0.65933867999999995</v>
      </c>
      <c r="L550">
        <v>0.65461769999999997</v>
      </c>
      <c r="M550">
        <v>0.66742586999999998</v>
      </c>
      <c r="N550">
        <v>0.70838657999999999</v>
      </c>
      <c r="O550">
        <v>0.71282475000000001</v>
      </c>
      <c r="P550">
        <v>0.71868894000000005</v>
      </c>
      <c r="Q550">
        <v>0.71409078000000004</v>
      </c>
      <c r="R550">
        <v>0.72379740000000004</v>
      </c>
      <c r="S550">
        <v>0.70497377999999999</v>
      </c>
      <c r="T550">
        <v>0.68922030000000001</v>
      </c>
      <c r="U550">
        <v>0.68505629999999995</v>
      </c>
      <c r="V550">
        <v>0.68465208</v>
      </c>
      <c r="W550">
        <v>0.75548294999999999</v>
      </c>
      <c r="X550">
        <v>0.76265316000000005</v>
      </c>
      <c r="Y550">
        <v>0.76789620000000003</v>
      </c>
      <c r="Z550">
        <v>0.72993492000000004</v>
      </c>
      <c r="AA550">
        <v>0.72983925000000005</v>
      </c>
      <c r="AB550">
        <v>0.72467999999999999</v>
      </c>
    </row>
    <row r="551" spans="1:28" hidden="1" x14ac:dyDescent="0.25">
      <c r="A551" t="s">
        <v>74</v>
      </c>
      <c r="B551" t="s">
        <v>84</v>
      </c>
      <c r="C551">
        <v>34</v>
      </c>
      <c r="D551" t="s">
        <v>2</v>
      </c>
      <c r="E551">
        <v>9.3965316199999993</v>
      </c>
      <c r="F551">
        <v>9.2644835800000003</v>
      </c>
      <c r="G551">
        <v>9.1046353399999997</v>
      </c>
      <c r="H551">
        <v>9.3479743899999992</v>
      </c>
      <c r="I551">
        <v>9.3460557299999998</v>
      </c>
      <c r="J551">
        <v>9.1795077000000003</v>
      </c>
      <c r="K551">
        <v>8.8374915200000004</v>
      </c>
      <c r="L551">
        <v>8.5080659399999998</v>
      </c>
      <c r="M551">
        <v>8.49675768</v>
      </c>
      <c r="N551">
        <v>10.36567026</v>
      </c>
      <c r="O551">
        <v>10.736008500000001</v>
      </c>
      <c r="P551">
        <v>10.665435179999999</v>
      </c>
      <c r="Q551">
        <v>10.829543660000001</v>
      </c>
      <c r="R551">
        <v>10.53444056</v>
      </c>
      <c r="S551">
        <v>8.9646536700000006</v>
      </c>
      <c r="T551">
        <v>8.4045116499999999</v>
      </c>
      <c r="U551">
        <v>8.5172693000000006</v>
      </c>
      <c r="V551">
        <v>8.5812291599999995</v>
      </c>
      <c r="W551">
        <v>9.4326776999999993</v>
      </c>
      <c r="X551">
        <v>9.5074938000000007</v>
      </c>
      <c r="Y551">
        <v>9.3900229199999998</v>
      </c>
      <c r="Z551">
        <v>9.1374116399999998</v>
      </c>
      <c r="AA551">
        <v>9.3593117499999998</v>
      </c>
      <c r="AB551">
        <v>9.5041812500000002</v>
      </c>
    </row>
    <row r="552" spans="1:28" hidden="1" x14ac:dyDescent="0.25">
      <c r="A552" t="s">
        <v>74</v>
      </c>
      <c r="B552" t="s">
        <v>84</v>
      </c>
      <c r="C552">
        <v>34</v>
      </c>
      <c r="D552" t="s">
        <v>3</v>
      </c>
      <c r="E552">
        <v>4.2075285416000003</v>
      </c>
      <c r="F552">
        <v>4.3355071356000003</v>
      </c>
      <c r="G552">
        <v>4.2465522373000004</v>
      </c>
      <c r="H552">
        <v>4.2710346681000004</v>
      </c>
      <c r="I552">
        <v>4.2935058975000002</v>
      </c>
      <c r="J552">
        <v>4.4302272337000002</v>
      </c>
      <c r="K552">
        <v>4.9215554513999997</v>
      </c>
      <c r="L552">
        <v>5.5061113714000003</v>
      </c>
      <c r="M552">
        <v>6.0312185797</v>
      </c>
      <c r="N552">
        <v>6.4828491443000003</v>
      </c>
      <c r="O552">
        <v>6.5434093961000004</v>
      </c>
      <c r="P552">
        <v>6.4432934349000002</v>
      </c>
      <c r="Q552">
        <v>6.0026134676999998</v>
      </c>
      <c r="R552">
        <v>6.4447005809000002</v>
      </c>
      <c r="S552">
        <v>6.5282792476999996</v>
      </c>
      <c r="T552">
        <v>6.5094351131000003</v>
      </c>
      <c r="U552">
        <v>5.9523936821000003</v>
      </c>
      <c r="V552">
        <v>5.2725906896000003</v>
      </c>
      <c r="W552">
        <v>4.9882955198000003</v>
      </c>
      <c r="X552">
        <v>4.7374507655000002</v>
      </c>
      <c r="Y552">
        <v>4.5905285200000003</v>
      </c>
      <c r="Z552">
        <v>4.2222746487</v>
      </c>
      <c r="AA552">
        <v>4.1776550922000002</v>
      </c>
      <c r="AB552">
        <v>4.2378443534999999</v>
      </c>
    </row>
    <row r="553" spans="1:28" hidden="1" x14ac:dyDescent="0.25">
      <c r="A553" t="s">
        <v>74</v>
      </c>
      <c r="B553" t="s">
        <v>84</v>
      </c>
      <c r="C553">
        <v>34</v>
      </c>
      <c r="D553" t="s">
        <v>4</v>
      </c>
      <c r="E553">
        <v>0.29061438000000001</v>
      </c>
      <c r="F553">
        <v>0.28653042000000001</v>
      </c>
      <c r="G553">
        <v>0.28158665999999999</v>
      </c>
      <c r="H553">
        <v>0.28911260999999999</v>
      </c>
      <c r="I553">
        <v>0.28905326999999997</v>
      </c>
      <c r="J553">
        <v>0.2839023</v>
      </c>
      <c r="K553">
        <v>0.27332447999999998</v>
      </c>
      <c r="L553">
        <v>0.26313606</v>
      </c>
      <c r="M553">
        <v>0.26278632000000002</v>
      </c>
      <c r="N553">
        <v>0.32058774000000001</v>
      </c>
      <c r="O553">
        <v>0.33204149999999999</v>
      </c>
      <c r="P553">
        <v>0.32985882</v>
      </c>
      <c r="Q553">
        <v>0.33493434</v>
      </c>
      <c r="R553">
        <v>0.32580744</v>
      </c>
      <c r="S553">
        <v>0.27725733000000002</v>
      </c>
      <c r="T553">
        <v>0.25993335000000001</v>
      </c>
      <c r="U553">
        <v>0.26342070000000001</v>
      </c>
      <c r="V553">
        <v>0.26539884000000002</v>
      </c>
      <c r="W553">
        <v>0.2917323</v>
      </c>
      <c r="X553">
        <v>0.29404619999999998</v>
      </c>
      <c r="Y553">
        <v>0.29041307999999999</v>
      </c>
      <c r="Z553">
        <v>0.28260035999999999</v>
      </c>
      <c r="AA553">
        <v>0.28946325000000001</v>
      </c>
      <c r="AB553">
        <v>0.29394375</v>
      </c>
    </row>
    <row r="554" spans="1:28" hidden="1" x14ac:dyDescent="0.25">
      <c r="A554" t="s">
        <v>74</v>
      </c>
      <c r="B554" t="s">
        <v>85</v>
      </c>
      <c r="C554">
        <v>34</v>
      </c>
      <c r="D554" t="s">
        <v>2</v>
      </c>
      <c r="E554">
        <v>7.0161749000000002</v>
      </c>
      <c r="F554">
        <v>6.7514745100000004</v>
      </c>
      <c r="G554">
        <v>6.4833926999999996</v>
      </c>
      <c r="H554">
        <v>6.3046061800000004</v>
      </c>
      <c r="I554">
        <v>6.2619242399999999</v>
      </c>
      <c r="J554">
        <v>6.1067610999999999</v>
      </c>
      <c r="K554">
        <v>5.9445557600000001</v>
      </c>
      <c r="L554">
        <v>5.8943213999999999</v>
      </c>
      <c r="M554">
        <v>6.7819790700000002</v>
      </c>
      <c r="N554">
        <v>7.6447562400000004</v>
      </c>
      <c r="O554">
        <v>7.3425120000000001</v>
      </c>
      <c r="P554">
        <v>6.6489823699999997</v>
      </c>
      <c r="Q554">
        <v>6.2105132699999999</v>
      </c>
      <c r="R554">
        <v>6.4596781400000003</v>
      </c>
      <c r="S554">
        <v>6.4014558299999997</v>
      </c>
      <c r="T554">
        <v>6.1404928500000002</v>
      </c>
      <c r="U554">
        <v>5.6803685000000002</v>
      </c>
      <c r="V554">
        <v>5.7535472399999996</v>
      </c>
      <c r="W554">
        <v>6.7063860000000002</v>
      </c>
      <c r="X554">
        <v>7.0174358999999997</v>
      </c>
      <c r="Y554">
        <v>7.2320193000000002</v>
      </c>
      <c r="Z554">
        <v>7.0968730799999999</v>
      </c>
      <c r="AA554">
        <v>7.1722042500000001</v>
      </c>
      <c r="AB554">
        <v>7.0412299999999997</v>
      </c>
    </row>
    <row r="555" spans="1:28" hidden="1" x14ac:dyDescent="0.25">
      <c r="A555" t="s">
        <v>74</v>
      </c>
      <c r="B555" t="s">
        <v>85</v>
      </c>
      <c r="C555">
        <v>34</v>
      </c>
      <c r="D555" t="s">
        <v>3</v>
      </c>
      <c r="E555">
        <v>3.1129509069000001</v>
      </c>
      <c r="F555">
        <v>3.0607058798</v>
      </c>
      <c r="G555">
        <v>2.9488203365999999</v>
      </c>
      <c r="H555">
        <v>2.9171025249000002</v>
      </c>
      <c r="I555">
        <v>2.9087492176</v>
      </c>
      <c r="J555">
        <v>2.6819959511999998</v>
      </c>
      <c r="K555">
        <v>1.6633821248</v>
      </c>
      <c r="L555">
        <v>3.1340275325000002</v>
      </c>
      <c r="M555">
        <v>3.9729032849000001</v>
      </c>
      <c r="N555">
        <v>4.1108128181000003</v>
      </c>
      <c r="O555">
        <v>3.7555796097999998</v>
      </c>
      <c r="P555">
        <v>3.7912944550000001</v>
      </c>
      <c r="Q555">
        <v>3.2451319438000001</v>
      </c>
      <c r="R555">
        <v>3.7270059092999999</v>
      </c>
      <c r="S555">
        <v>3.6922184988</v>
      </c>
      <c r="T555">
        <v>2.8726878228000001</v>
      </c>
      <c r="U555">
        <v>2.3755977188999999</v>
      </c>
      <c r="V555">
        <v>1.0778909103000001</v>
      </c>
      <c r="W555">
        <v>1.8781641271</v>
      </c>
      <c r="X555">
        <v>3.2092862295</v>
      </c>
      <c r="Y555">
        <v>3.2772884543999998</v>
      </c>
      <c r="Z555">
        <v>3.1193638460000002</v>
      </c>
      <c r="AA555">
        <v>3.2294147696</v>
      </c>
      <c r="AB555">
        <v>3.3130897597</v>
      </c>
    </row>
    <row r="556" spans="1:28" hidden="1" x14ac:dyDescent="0.25">
      <c r="A556" t="s">
        <v>74</v>
      </c>
      <c r="B556" t="s">
        <v>85</v>
      </c>
      <c r="C556">
        <v>34</v>
      </c>
      <c r="D556" t="s">
        <v>4</v>
      </c>
      <c r="E556">
        <v>0.2169951</v>
      </c>
      <c r="F556">
        <v>0.20880849000000001</v>
      </c>
      <c r="G556">
        <v>0.20051730000000001</v>
      </c>
      <c r="H556">
        <v>0.19498782000000001</v>
      </c>
      <c r="I556">
        <v>0.19366775999999999</v>
      </c>
      <c r="J556">
        <v>0.18886890000000001</v>
      </c>
      <c r="K556">
        <v>0.18385224</v>
      </c>
      <c r="L556">
        <v>0.18229860000000001</v>
      </c>
      <c r="M556">
        <v>0.20975193</v>
      </c>
      <c r="N556">
        <v>0.23643575999999999</v>
      </c>
      <c r="O556">
        <v>0.22708800000000001</v>
      </c>
      <c r="P556">
        <v>0.20563862999999999</v>
      </c>
      <c r="Q556">
        <v>0.19207773</v>
      </c>
      <c r="R556">
        <v>0.19978386000000001</v>
      </c>
      <c r="S556">
        <v>0.19798317000000001</v>
      </c>
      <c r="T556">
        <v>0.18991215</v>
      </c>
      <c r="U556">
        <v>0.17568149999999999</v>
      </c>
      <c r="V556">
        <v>0.17794476000000001</v>
      </c>
      <c r="W556">
        <v>0.20741399999999999</v>
      </c>
      <c r="X556">
        <v>0.21703410000000001</v>
      </c>
      <c r="Y556">
        <v>0.2236707</v>
      </c>
      <c r="Z556">
        <v>0.21949092000000001</v>
      </c>
      <c r="AA556">
        <v>0.22182075000000001</v>
      </c>
      <c r="AB556">
        <v>0.21776999999999999</v>
      </c>
    </row>
    <row r="557" spans="1:28" hidden="1" x14ac:dyDescent="0.25">
      <c r="A557" t="s">
        <v>74</v>
      </c>
      <c r="B557" t="s">
        <v>86</v>
      </c>
      <c r="C557">
        <v>14</v>
      </c>
      <c r="D557" t="s">
        <v>2</v>
      </c>
      <c r="E557">
        <v>4.3819376999999999</v>
      </c>
      <c r="F557">
        <v>4.4175285000000004</v>
      </c>
      <c r="G557">
        <v>4.3765236500000002</v>
      </c>
      <c r="H557">
        <v>4.2742200500000003</v>
      </c>
      <c r="I557">
        <v>4.1409587999999999</v>
      </c>
      <c r="J557">
        <v>4.0462400000000001</v>
      </c>
      <c r="K557">
        <v>3.9271517999999999</v>
      </c>
      <c r="L557">
        <v>4.0467833999999998</v>
      </c>
      <c r="M557">
        <v>4.0678049999999999</v>
      </c>
      <c r="N557">
        <v>3.9126680999999999</v>
      </c>
      <c r="O557">
        <v>3.7966275</v>
      </c>
      <c r="P557">
        <v>3.78906455</v>
      </c>
      <c r="Q557">
        <v>3.7809895500000001</v>
      </c>
      <c r="R557">
        <v>3.9158031000000002</v>
      </c>
      <c r="S557">
        <v>3.9448332000000002</v>
      </c>
      <c r="T557">
        <v>3.8481127499999999</v>
      </c>
      <c r="U557">
        <v>3.8460369999999999</v>
      </c>
      <c r="V557">
        <v>3.8655917999999998</v>
      </c>
      <c r="W557">
        <v>4.1336257500000002</v>
      </c>
      <c r="X557">
        <v>4.2418886999999996</v>
      </c>
      <c r="Y557">
        <v>4.2724691999999997</v>
      </c>
      <c r="Z557">
        <v>3.8793744000000001</v>
      </c>
      <c r="AA557">
        <v>4.0255062500000003</v>
      </c>
      <c r="AB557">
        <v>4.2086187500000003</v>
      </c>
    </row>
    <row r="558" spans="1:28" hidden="1" x14ac:dyDescent="0.25">
      <c r="A558" t="s">
        <v>74</v>
      </c>
      <c r="B558" t="s">
        <v>86</v>
      </c>
      <c r="C558">
        <v>14</v>
      </c>
      <c r="D558" t="s">
        <v>3</v>
      </c>
      <c r="E558">
        <v>2.4284716081000002</v>
      </c>
      <c r="F558">
        <v>2.3993267435000001</v>
      </c>
      <c r="G558">
        <v>2.4208672181000002</v>
      </c>
      <c r="H558">
        <v>2.4649338277999999</v>
      </c>
      <c r="I558">
        <v>2.4043058028000002</v>
      </c>
      <c r="J558">
        <v>2.3214701419999999</v>
      </c>
      <c r="K558">
        <v>2.2613227374</v>
      </c>
      <c r="L558">
        <v>2.5287968955000002</v>
      </c>
      <c r="M558">
        <v>2.6325357049</v>
      </c>
      <c r="N558">
        <v>2.6580347394000001</v>
      </c>
      <c r="O558">
        <v>2.6555866332</v>
      </c>
      <c r="P558">
        <v>2.7529854257999999</v>
      </c>
      <c r="Q558">
        <v>2.6626258693999998</v>
      </c>
      <c r="R558">
        <v>2.6500809165999999</v>
      </c>
      <c r="S558">
        <v>2.7082983401999998</v>
      </c>
      <c r="T558">
        <v>2.7809849651</v>
      </c>
      <c r="U558">
        <v>2.8166767535999999</v>
      </c>
      <c r="V558">
        <v>2.6887578091000002</v>
      </c>
      <c r="W558">
        <v>2.6750245610999999</v>
      </c>
      <c r="X558">
        <v>2.7207024183000001</v>
      </c>
      <c r="Y558">
        <v>2.6109740264000001</v>
      </c>
      <c r="Z558">
        <v>2.3743233412999998</v>
      </c>
      <c r="AA558">
        <v>2.3889151184999999</v>
      </c>
      <c r="AB558">
        <v>2.3726072874000002</v>
      </c>
    </row>
    <row r="559" spans="1:28" hidden="1" x14ac:dyDescent="0.25">
      <c r="A559" t="s">
        <v>74</v>
      </c>
      <c r="B559" t="s">
        <v>86</v>
      </c>
      <c r="C559">
        <v>14</v>
      </c>
      <c r="D559" t="s">
        <v>4</v>
      </c>
      <c r="E559">
        <v>0.23062830000000001</v>
      </c>
      <c r="F559">
        <v>0.2325015</v>
      </c>
      <c r="G559">
        <v>0.23034335</v>
      </c>
      <c r="H559">
        <v>0.22495894999999999</v>
      </c>
      <c r="I559">
        <v>0.21794520000000001</v>
      </c>
      <c r="J559">
        <v>0.21296000000000001</v>
      </c>
      <c r="K559">
        <v>0.20669219999999999</v>
      </c>
      <c r="L559">
        <v>0.2129886</v>
      </c>
      <c r="M559">
        <v>0.21409500000000001</v>
      </c>
      <c r="N559">
        <v>0.2059299</v>
      </c>
      <c r="O559">
        <v>0.19982249999999999</v>
      </c>
      <c r="P559">
        <v>0.19942445</v>
      </c>
      <c r="Q559">
        <v>0.19899944999999999</v>
      </c>
      <c r="R559">
        <v>0.2060949</v>
      </c>
      <c r="S559">
        <v>0.2076228</v>
      </c>
      <c r="T559">
        <v>0.20253225</v>
      </c>
      <c r="U559">
        <v>0.20242299999999999</v>
      </c>
      <c r="V559">
        <v>0.2034522</v>
      </c>
      <c r="W559">
        <v>0.21755925000000001</v>
      </c>
      <c r="X559">
        <v>0.22325729999999999</v>
      </c>
      <c r="Y559">
        <v>0.22486680000000001</v>
      </c>
      <c r="Z559">
        <v>0.20417759999999999</v>
      </c>
      <c r="AA559">
        <v>0.21186874999999999</v>
      </c>
      <c r="AB559">
        <v>0.22150624999999999</v>
      </c>
    </row>
    <row r="560" spans="1:28" hidden="1" x14ac:dyDescent="0.25">
      <c r="A560" t="s">
        <v>74</v>
      </c>
      <c r="B560" t="s">
        <v>87</v>
      </c>
      <c r="C560">
        <v>34</v>
      </c>
      <c r="D560" t="s">
        <v>2</v>
      </c>
      <c r="E560">
        <v>45.807173300000002</v>
      </c>
      <c r="F560">
        <v>45.549184339999996</v>
      </c>
      <c r="G560">
        <v>43.843071709999997</v>
      </c>
      <c r="H560">
        <v>41.238660510000003</v>
      </c>
      <c r="I560">
        <v>41.846512949999997</v>
      </c>
      <c r="J560">
        <v>39.797232749999999</v>
      </c>
      <c r="K560">
        <v>36.22883264</v>
      </c>
      <c r="L560">
        <v>34.955112059999998</v>
      </c>
      <c r="M560">
        <v>34.710916500000003</v>
      </c>
      <c r="N560">
        <v>34.252556579999997</v>
      </c>
      <c r="O560">
        <v>34.188571500000002</v>
      </c>
      <c r="P560">
        <v>34.161376580000002</v>
      </c>
      <c r="Q560">
        <v>34.558802069999999</v>
      </c>
      <c r="R560">
        <v>32.91056158</v>
      </c>
      <c r="S560">
        <v>34.662019770000001</v>
      </c>
      <c r="T560">
        <v>35.987368600000003</v>
      </c>
      <c r="U560">
        <v>37.8713123</v>
      </c>
      <c r="V560">
        <v>39.679184720000002</v>
      </c>
      <c r="W560">
        <v>44.058040200000001</v>
      </c>
      <c r="X560">
        <v>45.017228580000001</v>
      </c>
      <c r="Y560">
        <v>46.377740879999998</v>
      </c>
      <c r="Z560">
        <v>45.19192752</v>
      </c>
      <c r="AA560">
        <v>44.7225775</v>
      </c>
      <c r="AB560">
        <v>43.8893475</v>
      </c>
    </row>
    <row r="561" spans="1:28" hidden="1" x14ac:dyDescent="0.25">
      <c r="A561" t="s">
        <v>74</v>
      </c>
      <c r="B561" t="s">
        <v>87</v>
      </c>
      <c r="C561">
        <v>34</v>
      </c>
      <c r="D561" t="s">
        <v>3</v>
      </c>
      <c r="E561">
        <v>12.8889157166</v>
      </c>
      <c r="F561">
        <v>12.5713033591</v>
      </c>
      <c r="G561">
        <v>12.395551108699999</v>
      </c>
      <c r="H561">
        <v>12.063061551100001</v>
      </c>
      <c r="I561">
        <v>11.965032387300001</v>
      </c>
      <c r="J561">
        <v>11.989855715899999</v>
      </c>
      <c r="K561">
        <v>12.10340809</v>
      </c>
      <c r="L561">
        <v>13.0432476123</v>
      </c>
      <c r="M561">
        <v>13.6650678751</v>
      </c>
      <c r="N561">
        <v>14.024757618500001</v>
      </c>
      <c r="O561">
        <v>14.3199208588</v>
      </c>
      <c r="P561">
        <v>14.5547450753</v>
      </c>
      <c r="Q561">
        <v>14.421312053599999</v>
      </c>
      <c r="R561">
        <v>15.1293585219</v>
      </c>
      <c r="S561">
        <v>15.577741358200001</v>
      </c>
      <c r="T561">
        <v>15.3424860274</v>
      </c>
      <c r="U561">
        <v>14.677720842599999</v>
      </c>
      <c r="V561">
        <v>13.9292475966</v>
      </c>
      <c r="W561">
        <v>14.5389424262</v>
      </c>
      <c r="X561">
        <v>14.684324136500001</v>
      </c>
      <c r="Y561">
        <v>14.910234496799999</v>
      </c>
      <c r="Z561">
        <v>14.1888819027</v>
      </c>
      <c r="AA561">
        <v>14.0677449717</v>
      </c>
      <c r="AB561">
        <v>13.857015265099999</v>
      </c>
    </row>
    <row r="562" spans="1:28" hidden="1" x14ac:dyDescent="0.25">
      <c r="A562" t="s">
        <v>74</v>
      </c>
      <c r="B562" t="s">
        <v>87</v>
      </c>
      <c r="C562">
        <v>34</v>
      </c>
      <c r="D562" t="s">
        <v>4</v>
      </c>
      <c r="E562">
        <v>1.4167167000000001</v>
      </c>
      <c r="F562">
        <v>1.4087376599999999</v>
      </c>
      <c r="G562">
        <v>1.3559712900000001</v>
      </c>
      <c r="H562">
        <v>1.27542249</v>
      </c>
      <c r="I562">
        <v>1.2942220499999999</v>
      </c>
      <c r="J562">
        <v>1.23084225</v>
      </c>
      <c r="K562">
        <v>1.12047936</v>
      </c>
      <c r="L562">
        <v>1.0810859399999999</v>
      </c>
      <c r="M562">
        <v>1.0735334999999999</v>
      </c>
      <c r="N562">
        <v>1.05935742</v>
      </c>
      <c r="O562">
        <v>1.0573785</v>
      </c>
      <c r="P562">
        <v>1.0565374199999999</v>
      </c>
      <c r="Q562">
        <v>1.06882893</v>
      </c>
      <c r="R562">
        <v>1.0178524200000001</v>
      </c>
      <c r="S562">
        <v>1.07202123</v>
      </c>
      <c r="T562">
        <v>1.1130114</v>
      </c>
      <c r="U562">
        <v>1.1712777000000001</v>
      </c>
      <c r="V562">
        <v>1.22719128</v>
      </c>
      <c r="W562">
        <v>1.3626198</v>
      </c>
      <c r="X562">
        <v>1.3922854200000001</v>
      </c>
      <c r="Y562">
        <v>1.43436312</v>
      </c>
      <c r="Z562">
        <v>1.39768848</v>
      </c>
      <c r="AA562">
        <v>1.3831724999999999</v>
      </c>
      <c r="AB562">
        <v>1.3574025000000001</v>
      </c>
    </row>
    <row r="563" spans="1:28" hidden="1" x14ac:dyDescent="0.25">
      <c r="A563" t="s">
        <v>74</v>
      </c>
      <c r="B563" t="s">
        <v>88</v>
      </c>
      <c r="C563">
        <v>34</v>
      </c>
      <c r="D563" t="s">
        <v>2</v>
      </c>
      <c r="E563">
        <v>21.592186420000001</v>
      </c>
      <c r="F563">
        <v>20.934582679999998</v>
      </c>
      <c r="G563">
        <v>20.349487409999998</v>
      </c>
      <c r="H563">
        <v>19.989550479999998</v>
      </c>
      <c r="I563">
        <v>19.48823217</v>
      </c>
      <c r="J563">
        <v>18.778613150000002</v>
      </c>
      <c r="K563">
        <v>17.589537679999999</v>
      </c>
      <c r="L563">
        <v>16.694623440000001</v>
      </c>
      <c r="M563">
        <v>16.880779050000001</v>
      </c>
      <c r="N563">
        <v>16.867285379999998</v>
      </c>
      <c r="O563">
        <v>16.888985250000001</v>
      </c>
      <c r="P563">
        <v>17.314417550000002</v>
      </c>
      <c r="Q563">
        <v>17.338459969999999</v>
      </c>
      <c r="R563">
        <v>17.96976604</v>
      </c>
      <c r="S563">
        <v>18.49818033</v>
      </c>
      <c r="T563">
        <v>18.2306165</v>
      </c>
      <c r="U563">
        <v>18.5383587</v>
      </c>
      <c r="V563">
        <v>18.609027080000001</v>
      </c>
      <c r="W563">
        <v>21.008483099999999</v>
      </c>
      <c r="X563">
        <v>22.108695900000001</v>
      </c>
      <c r="Y563">
        <v>22.732518420000002</v>
      </c>
      <c r="Z563">
        <v>22.12333902</v>
      </c>
      <c r="AA563">
        <v>22.406539250000002</v>
      </c>
      <c r="AB563">
        <v>22.196146250000002</v>
      </c>
    </row>
    <row r="564" spans="1:28" hidden="1" x14ac:dyDescent="0.25">
      <c r="A564" t="s">
        <v>74</v>
      </c>
      <c r="B564" t="s">
        <v>88</v>
      </c>
      <c r="C564">
        <v>34</v>
      </c>
      <c r="D564" t="s">
        <v>3</v>
      </c>
      <c r="E564">
        <v>8.3099065246000006</v>
      </c>
      <c r="F564">
        <v>8.2091902851</v>
      </c>
      <c r="G564">
        <v>8.0451923234000002</v>
      </c>
      <c r="H564">
        <v>7.7613061538999997</v>
      </c>
      <c r="I564">
        <v>7.5232120809999996</v>
      </c>
      <c r="J564">
        <v>7.1560366079</v>
      </c>
      <c r="K564">
        <v>6.7435645621000004</v>
      </c>
      <c r="L564">
        <v>6.6985155885000003</v>
      </c>
      <c r="M564">
        <v>6.6302153286000003</v>
      </c>
      <c r="N564">
        <v>6.6030587878000002</v>
      </c>
      <c r="O564">
        <v>6.5526217245999998</v>
      </c>
      <c r="P564">
        <v>6.6513937160000003</v>
      </c>
      <c r="Q564">
        <v>6.7627995443</v>
      </c>
      <c r="R564">
        <v>7.3122586308999997</v>
      </c>
      <c r="S564">
        <v>7.6932827668000003</v>
      </c>
      <c r="T564">
        <v>7.7530140997999997</v>
      </c>
      <c r="U564">
        <v>7.6196597642999997</v>
      </c>
      <c r="V564">
        <v>7.3278017203000001</v>
      </c>
      <c r="W564">
        <v>7.9827892149000004</v>
      </c>
      <c r="X564">
        <v>8.3837412672999996</v>
      </c>
      <c r="Y564">
        <v>8.6868713853999999</v>
      </c>
      <c r="Z564">
        <v>8.5221009312000007</v>
      </c>
      <c r="AA564">
        <v>8.8210543128999994</v>
      </c>
      <c r="AB564">
        <v>8.8289253025000001</v>
      </c>
    </row>
    <row r="565" spans="1:28" hidden="1" x14ac:dyDescent="0.25">
      <c r="A565" t="s">
        <v>74</v>
      </c>
      <c r="B565" t="s">
        <v>88</v>
      </c>
      <c r="C565">
        <v>34</v>
      </c>
      <c r="D565" t="s">
        <v>4</v>
      </c>
      <c r="E565">
        <v>0.66779957999999995</v>
      </c>
      <c r="F565">
        <v>0.64746132000000001</v>
      </c>
      <c r="G565">
        <v>0.62936559000000003</v>
      </c>
      <c r="H565">
        <v>0.61823351999999998</v>
      </c>
      <c r="I565">
        <v>0.60272882999999999</v>
      </c>
      <c r="J565">
        <v>0.58078185000000004</v>
      </c>
      <c r="K565">
        <v>0.54400632000000004</v>
      </c>
      <c r="L565">
        <v>0.51632856000000005</v>
      </c>
      <c r="M565">
        <v>0.52208595000000002</v>
      </c>
      <c r="N565">
        <v>0.52166862000000003</v>
      </c>
      <c r="O565">
        <v>0.52233974999999999</v>
      </c>
      <c r="P565">
        <v>0.53549745000000004</v>
      </c>
      <c r="Q565">
        <v>0.53624103000000001</v>
      </c>
      <c r="R565">
        <v>0.55576596</v>
      </c>
      <c r="S565">
        <v>0.57210866999999999</v>
      </c>
      <c r="T565">
        <v>0.56383349999999999</v>
      </c>
      <c r="U565">
        <v>0.57335130000000001</v>
      </c>
      <c r="V565">
        <v>0.57553692000000001</v>
      </c>
      <c r="W565">
        <v>0.64974690000000002</v>
      </c>
      <c r="X565">
        <v>0.68377410000000005</v>
      </c>
      <c r="Y565">
        <v>0.70306758000000003</v>
      </c>
      <c r="Z565">
        <v>0.68422698000000004</v>
      </c>
      <c r="AA565">
        <v>0.69298574999999996</v>
      </c>
      <c r="AB565">
        <v>0.68647875000000003</v>
      </c>
    </row>
    <row r="566" spans="1:28" hidden="1" x14ac:dyDescent="0.25">
      <c r="A566" t="s">
        <v>74</v>
      </c>
      <c r="B566" t="s">
        <v>89</v>
      </c>
      <c r="C566">
        <v>110</v>
      </c>
      <c r="D566" t="s">
        <v>2</v>
      </c>
      <c r="E566">
        <v>57.101825060000003</v>
      </c>
      <c r="F566">
        <v>56.221113905000003</v>
      </c>
      <c r="G566">
        <v>54.934553200000003</v>
      </c>
      <c r="H566">
        <v>53.926977000000001</v>
      </c>
      <c r="I566">
        <v>52.792638195000002</v>
      </c>
      <c r="J566">
        <v>50.507623375000001</v>
      </c>
      <c r="K566">
        <v>47.814638299999999</v>
      </c>
      <c r="L566">
        <v>46.045802879999997</v>
      </c>
      <c r="M566">
        <v>43.713152475000001</v>
      </c>
      <c r="N566">
        <v>42.176407679999997</v>
      </c>
      <c r="O566">
        <v>41.848340624999999</v>
      </c>
      <c r="P566">
        <v>43.633752610000002</v>
      </c>
      <c r="Q566">
        <v>45.818774169999998</v>
      </c>
      <c r="R566">
        <v>48.733785140000002</v>
      </c>
      <c r="S566">
        <v>49.506982559999997</v>
      </c>
      <c r="T566">
        <v>49.756610125000002</v>
      </c>
      <c r="U566">
        <v>49.59326265</v>
      </c>
      <c r="V566">
        <v>50.063546959999996</v>
      </c>
      <c r="W566">
        <v>57.463860824999998</v>
      </c>
      <c r="X566">
        <v>59.934627929999998</v>
      </c>
      <c r="Y566">
        <v>61.492019310000003</v>
      </c>
      <c r="Z566">
        <v>59.732659589999997</v>
      </c>
      <c r="AA566">
        <v>60.110585374999999</v>
      </c>
      <c r="AB566">
        <v>59.198746249999999</v>
      </c>
    </row>
    <row r="567" spans="1:28" hidden="1" x14ac:dyDescent="0.25">
      <c r="A567" t="s">
        <v>74</v>
      </c>
      <c r="B567" t="s">
        <v>89</v>
      </c>
      <c r="C567">
        <v>110</v>
      </c>
      <c r="D567" t="s">
        <v>3</v>
      </c>
      <c r="E567">
        <v>20.199920358699998</v>
      </c>
      <c r="F567">
        <v>19.994396007500001</v>
      </c>
      <c r="G567">
        <v>19.7374673823</v>
      </c>
      <c r="H567">
        <v>19.258172534500002</v>
      </c>
      <c r="I567">
        <v>18.469952127599999</v>
      </c>
      <c r="J567">
        <v>17.2865895676</v>
      </c>
      <c r="K567">
        <v>17.2988252709</v>
      </c>
      <c r="L567">
        <v>18.092546944599999</v>
      </c>
      <c r="M567">
        <v>18.230739051099999</v>
      </c>
      <c r="N567">
        <v>18.346378681000001</v>
      </c>
      <c r="O567">
        <v>18.512976990599999</v>
      </c>
      <c r="P567">
        <v>18.7597893314</v>
      </c>
      <c r="Q567">
        <v>18.496880988899999</v>
      </c>
      <c r="R567">
        <v>20.205515587600001</v>
      </c>
      <c r="S567">
        <v>21.140595895800001</v>
      </c>
      <c r="T567">
        <v>21.051965299900001</v>
      </c>
      <c r="U567">
        <v>20.301446133700001</v>
      </c>
      <c r="V567">
        <v>19.340839389500001</v>
      </c>
      <c r="W567">
        <v>20.333806567100002</v>
      </c>
      <c r="X567">
        <v>21.204053307799999</v>
      </c>
      <c r="Y567">
        <v>21.7529630875</v>
      </c>
      <c r="Z567">
        <v>20.706544972700001</v>
      </c>
      <c r="AA567">
        <v>21.172887204199998</v>
      </c>
      <c r="AB567">
        <v>21.255711214400002</v>
      </c>
    </row>
    <row r="568" spans="1:28" hidden="1" x14ac:dyDescent="0.25">
      <c r="A568" t="s">
        <v>74</v>
      </c>
      <c r="B568" t="s">
        <v>89</v>
      </c>
      <c r="C568">
        <v>110</v>
      </c>
      <c r="D568" t="s">
        <v>4</v>
      </c>
      <c r="E568">
        <v>0.86957094000000001</v>
      </c>
      <c r="F568">
        <v>0.85615909499999998</v>
      </c>
      <c r="G568">
        <v>0.83656680000000005</v>
      </c>
      <c r="H568">
        <v>0.82122300000000004</v>
      </c>
      <c r="I568">
        <v>0.80394880499999999</v>
      </c>
      <c r="J568">
        <v>0.76915162500000001</v>
      </c>
      <c r="K568">
        <v>0.7281417</v>
      </c>
      <c r="L568">
        <v>0.70120512000000002</v>
      </c>
      <c r="M568">
        <v>0.66568252500000002</v>
      </c>
      <c r="N568">
        <v>0.64228032000000002</v>
      </c>
      <c r="O568">
        <v>0.63728437500000001</v>
      </c>
      <c r="P568">
        <v>0.66447339000000005</v>
      </c>
      <c r="Q568">
        <v>0.69774782999999996</v>
      </c>
      <c r="R568">
        <v>0.74213885999999996</v>
      </c>
      <c r="S568">
        <v>0.75391344000000005</v>
      </c>
      <c r="T568">
        <v>0.75771487500000001</v>
      </c>
      <c r="U568">
        <v>0.75522734999999996</v>
      </c>
      <c r="V568">
        <v>0.76238903999999996</v>
      </c>
      <c r="W568">
        <v>0.87508417500000002</v>
      </c>
      <c r="X568">
        <v>0.91271007000000004</v>
      </c>
      <c r="Y568">
        <v>0.93642669000000001</v>
      </c>
      <c r="Z568">
        <v>0.90963441</v>
      </c>
      <c r="AA568">
        <v>0.91538962499999998</v>
      </c>
      <c r="AB568">
        <v>0.90150375000000005</v>
      </c>
    </row>
    <row r="569" spans="1:28" hidden="1" x14ac:dyDescent="0.25">
      <c r="A569" t="s">
        <v>74</v>
      </c>
      <c r="B569" t="s">
        <v>90</v>
      </c>
      <c r="C569">
        <v>14</v>
      </c>
      <c r="D569" t="s">
        <v>2</v>
      </c>
      <c r="E569">
        <v>16.570775900000001</v>
      </c>
      <c r="F569">
        <v>16.085413299999999</v>
      </c>
      <c r="G569">
        <v>15.532903749999999</v>
      </c>
      <c r="H569">
        <v>15.0164486</v>
      </c>
      <c r="I569">
        <v>14.3885214</v>
      </c>
      <c r="J569">
        <v>13.630770999999999</v>
      </c>
      <c r="K569">
        <v>12.821522999999999</v>
      </c>
      <c r="L569">
        <v>12.6709803</v>
      </c>
      <c r="M569">
        <v>12.592762049999999</v>
      </c>
      <c r="N569">
        <v>12.5776827</v>
      </c>
      <c r="O569">
        <v>12.637683750000001</v>
      </c>
      <c r="P569">
        <v>12.752702149999999</v>
      </c>
      <c r="Q569">
        <v>12.70680385</v>
      </c>
      <c r="R569">
        <v>13.1338659</v>
      </c>
      <c r="S569">
        <v>13.717260899999999</v>
      </c>
      <c r="T569">
        <v>14.064626499999999</v>
      </c>
      <c r="U569">
        <v>14.007807</v>
      </c>
      <c r="V569">
        <v>13.8597172</v>
      </c>
      <c r="W569">
        <v>15.542147249999999</v>
      </c>
      <c r="X569">
        <v>16.598052299999999</v>
      </c>
      <c r="Y569">
        <v>17.680750199999999</v>
      </c>
      <c r="Z569">
        <v>17.662909200000001</v>
      </c>
      <c r="AA569">
        <v>17.889497500000001</v>
      </c>
      <c r="AB569">
        <v>17.356024999999999</v>
      </c>
    </row>
    <row r="570" spans="1:28" hidden="1" x14ac:dyDescent="0.25">
      <c r="A570" t="s">
        <v>74</v>
      </c>
      <c r="B570" t="s">
        <v>90</v>
      </c>
      <c r="C570">
        <v>14</v>
      </c>
      <c r="D570" t="s">
        <v>3</v>
      </c>
      <c r="E570">
        <v>3.0650841757</v>
      </c>
      <c r="F570">
        <v>3.0252353052999998</v>
      </c>
      <c r="G570">
        <v>2.9438675766000002</v>
      </c>
      <c r="H570">
        <v>2.8659733223999999</v>
      </c>
      <c r="I570">
        <v>2.8075625474999999</v>
      </c>
      <c r="J570">
        <v>2.7348648363999999</v>
      </c>
      <c r="K570">
        <v>2.7629464735</v>
      </c>
      <c r="L570">
        <v>2.8588304500000001</v>
      </c>
      <c r="M570">
        <v>2.9401343244999998</v>
      </c>
      <c r="N570">
        <v>2.9482613617000002</v>
      </c>
      <c r="O570">
        <v>2.9476907458000001</v>
      </c>
      <c r="P570">
        <v>2.9668143374999998</v>
      </c>
      <c r="Q570">
        <v>2.9312198923000001</v>
      </c>
      <c r="R570">
        <v>3.0780259272000001</v>
      </c>
      <c r="S570">
        <v>3.1726594629</v>
      </c>
      <c r="T570">
        <v>3.1692337291000001</v>
      </c>
      <c r="U570">
        <v>3.1308973884000002</v>
      </c>
      <c r="V570">
        <v>2.9783981629</v>
      </c>
      <c r="W570">
        <v>2.8985921471</v>
      </c>
      <c r="X570">
        <v>2.904705554</v>
      </c>
      <c r="Y570">
        <v>2.9461199981999999</v>
      </c>
      <c r="Z570">
        <v>2.9008982866999999</v>
      </c>
      <c r="AA570">
        <v>3.06047161</v>
      </c>
      <c r="AB570">
        <v>3.1122628896000002</v>
      </c>
    </row>
    <row r="571" spans="1:28" hidden="1" x14ac:dyDescent="0.25">
      <c r="A571" t="s">
        <v>74</v>
      </c>
      <c r="B571" t="s">
        <v>90</v>
      </c>
      <c r="C571">
        <v>14</v>
      </c>
      <c r="D571" t="s">
        <v>4</v>
      </c>
      <c r="E571">
        <v>0.87214610000000004</v>
      </c>
      <c r="F571">
        <v>0.84660069999999998</v>
      </c>
      <c r="G571">
        <v>0.81752124999999998</v>
      </c>
      <c r="H571">
        <v>0.79033940000000003</v>
      </c>
      <c r="I571">
        <v>0.75729060000000004</v>
      </c>
      <c r="J571">
        <v>0.71740899999999996</v>
      </c>
      <c r="K571">
        <v>0.674817</v>
      </c>
      <c r="L571">
        <v>0.66689370000000003</v>
      </c>
      <c r="M571">
        <v>0.66277695000000003</v>
      </c>
      <c r="N571">
        <v>0.66198330000000005</v>
      </c>
      <c r="O571">
        <v>0.66514125000000002</v>
      </c>
      <c r="P571">
        <v>0.67119485000000001</v>
      </c>
      <c r="Q571">
        <v>0.66877914999999999</v>
      </c>
      <c r="R571">
        <v>0.69125610000000004</v>
      </c>
      <c r="S571">
        <v>0.72196110000000002</v>
      </c>
      <c r="T571">
        <v>0.74024350000000005</v>
      </c>
      <c r="U571">
        <v>0.73725300000000005</v>
      </c>
      <c r="V571">
        <v>0.72945879999999996</v>
      </c>
      <c r="W571">
        <v>0.81800775000000003</v>
      </c>
      <c r="X571">
        <v>0.87358170000000002</v>
      </c>
      <c r="Y571">
        <v>0.9305658</v>
      </c>
      <c r="Z571">
        <v>0.92962679999999998</v>
      </c>
      <c r="AA571">
        <v>0.94155250000000001</v>
      </c>
      <c r="AB571">
        <v>0.91347500000000004</v>
      </c>
    </row>
    <row r="572" spans="1:28" hidden="1" x14ac:dyDescent="0.25">
      <c r="A572" t="s">
        <v>74</v>
      </c>
      <c r="B572" t="s">
        <v>91</v>
      </c>
      <c r="C572">
        <v>110</v>
      </c>
      <c r="D572" t="s">
        <v>2</v>
      </c>
      <c r="E572">
        <v>11.235347340000001</v>
      </c>
      <c r="F572">
        <v>10.94904921</v>
      </c>
      <c r="G572">
        <v>10.597554915</v>
      </c>
      <c r="H572">
        <v>10.287607919999999</v>
      </c>
      <c r="I572">
        <v>10.074827235000001</v>
      </c>
      <c r="J572">
        <v>9.7934314499999999</v>
      </c>
      <c r="K572">
        <v>9.2964300000000009</v>
      </c>
      <c r="L572">
        <v>10.417137390000001</v>
      </c>
      <c r="M572">
        <v>10.52007777</v>
      </c>
      <c r="N572">
        <v>10.68920424</v>
      </c>
      <c r="O572">
        <v>11.227005374999999</v>
      </c>
      <c r="P572">
        <v>11.448707205</v>
      </c>
      <c r="Q572">
        <v>11.47678857</v>
      </c>
      <c r="R572">
        <v>12.484551919999999</v>
      </c>
      <c r="S572">
        <v>13.073933565000001</v>
      </c>
      <c r="T572">
        <v>13.734027375</v>
      </c>
      <c r="U572">
        <v>13.45026365</v>
      </c>
      <c r="V572">
        <v>13.00774846</v>
      </c>
      <c r="W572">
        <v>14.493654449999999</v>
      </c>
      <c r="X572">
        <v>13.953075614999999</v>
      </c>
      <c r="Y572">
        <v>13.05399618</v>
      </c>
      <c r="Z572">
        <v>12.16593003</v>
      </c>
      <c r="AA572">
        <v>11.625413249999999</v>
      </c>
      <c r="AB572">
        <v>10.965512500000001</v>
      </c>
    </row>
    <row r="573" spans="1:28" hidden="1" x14ac:dyDescent="0.25">
      <c r="A573" t="s">
        <v>74</v>
      </c>
      <c r="B573" t="s">
        <v>91</v>
      </c>
      <c r="C573">
        <v>110</v>
      </c>
      <c r="D573" t="s">
        <v>3</v>
      </c>
      <c r="E573">
        <v>1.9159221166</v>
      </c>
      <c r="F573">
        <v>1.8677707568999999</v>
      </c>
      <c r="G573">
        <v>1.7737921428000001</v>
      </c>
      <c r="H573">
        <v>1.7025950048</v>
      </c>
      <c r="I573">
        <v>1.6762335639999999</v>
      </c>
      <c r="J573">
        <v>1.6519618508</v>
      </c>
      <c r="K573">
        <v>2.2432197941999998</v>
      </c>
      <c r="L573">
        <v>2.8403491906</v>
      </c>
      <c r="M573">
        <v>3.2282846530999998</v>
      </c>
      <c r="N573">
        <v>3.4094803617</v>
      </c>
      <c r="O573">
        <v>3.6017358266000001</v>
      </c>
      <c r="P573">
        <v>3.6996579443000002</v>
      </c>
      <c r="Q573">
        <v>3.6323176841999998</v>
      </c>
      <c r="R573">
        <v>3.7960788295999999</v>
      </c>
      <c r="S573">
        <v>4.0256196549999999</v>
      </c>
      <c r="T573">
        <v>3.9951025852000002</v>
      </c>
      <c r="U573">
        <v>3.6821729602</v>
      </c>
      <c r="V573">
        <v>3.273107193</v>
      </c>
      <c r="W573">
        <v>2.9964799045000001</v>
      </c>
      <c r="X573">
        <v>2.9183222673999998</v>
      </c>
      <c r="Y573">
        <v>2.7055544281000001</v>
      </c>
      <c r="Z573">
        <v>2.3252964933000002</v>
      </c>
      <c r="AA573">
        <v>2.1250909761000001</v>
      </c>
      <c r="AB573">
        <v>1.9012191941000001</v>
      </c>
    </row>
    <row r="574" spans="1:28" hidden="1" x14ac:dyDescent="0.25">
      <c r="A574" t="s">
        <v>74</v>
      </c>
      <c r="B574" t="s">
        <v>91</v>
      </c>
      <c r="C574">
        <v>110</v>
      </c>
      <c r="D574" t="s">
        <v>4</v>
      </c>
      <c r="E574">
        <v>0.17109666000000001</v>
      </c>
      <c r="F574">
        <v>0.16673679</v>
      </c>
      <c r="G574">
        <v>0.16138408500000001</v>
      </c>
      <c r="H574">
        <v>0.15666408000000001</v>
      </c>
      <c r="I574">
        <v>0.15342376499999999</v>
      </c>
      <c r="J574">
        <v>0.14913855000000001</v>
      </c>
      <c r="K574">
        <v>0.14157</v>
      </c>
      <c r="L574">
        <v>0.15863661000000001</v>
      </c>
      <c r="M574">
        <v>0.16020423</v>
      </c>
      <c r="N574">
        <v>0.16277976</v>
      </c>
      <c r="O574">
        <v>0.17096962499999999</v>
      </c>
      <c r="P574">
        <v>0.174345795</v>
      </c>
      <c r="Q574">
        <v>0.17477343000000001</v>
      </c>
      <c r="R574">
        <v>0.19012008</v>
      </c>
      <c r="S574">
        <v>0.19909543499999999</v>
      </c>
      <c r="T574">
        <v>0.209147625</v>
      </c>
      <c r="U574">
        <v>0.20482634999999999</v>
      </c>
      <c r="V574">
        <v>0.19808754000000001</v>
      </c>
      <c r="W574">
        <v>0.22071555000000001</v>
      </c>
      <c r="X574">
        <v>0.212483385</v>
      </c>
      <c r="Y574">
        <v>0.19879182000000001</v>
      </c>
      <c r="Z574">
        <v>0.18526797</v>
      </c>
      <c r="AA574">
        <v>0.17703674999999999</v>
      </c>
      <c r="AB574">
        <v>0.16698750000000001</v>
      </c>
    </row>
    <row r="575" spans="1:28" hidden="1" x14ac:dyDescent="0.25">
      <c r="A575" t="s">
        <v>74</v>
      </c>
      <c r="B575" t="s">
        <v>92</v>
      </c>
      <c r="C575">
        <v>110</v>
      </c>
      <c r="D575" t="s">
        <v>2</v>
      </c>
      <c r="E575">
        <v>4.23004113</v>
      </c>
      <c r="F575">
        <v>3.8241699100000002</v>
      </c>
      <c r="G575">
        <v>3.6741022050000001</v>
      </c>
      <c r="H575">
        <v>3.5951317999999999</v>
      </c>
      <c r="I575">
        <v>3.5598175799999998</v>
      </c>
      <c r="J575">
        <v>3.5135738000000001</v>
      </c>
      <c r="K575">
        <v>3.4830624399999999</v>
      </c>
      <c r="L575">
        <v>3.98426787</v>
      </c>
      <c r="M575">
        <v>4.4285550750000002</v>
      </c>
      <c r="N575">
        <v>4.7158253999999999</v>
      </c>
      <c r="O575">
        <v>5.0585906249999999</v>
      </c>
      <c r="P575">
        <v>5.6150506150000004</v>
      </c>
      <c r="Q575">
        <v>5.84571299</v>
      </c>
      <c r="R575">
        <v>6.1127681599999999</v>
      </c>
      <c r="S575">
        <v>6.2016525900000001</v>
      </c>
      <c r="T575">
        <v>6.4025295499999997</v>
      </c>
      <c r="U575">
        <v>6.5417494500000002</v>
      </c>
      <c r="V575">
        <v>6.5005508399999998</v>
      </c>
      <c r="W575">
        <v>6.9951498750000001</v>
      </c>
      <c r="X575">
        <v>6.5895909000000001</v>
      </c>
      <c r="Y575">
        <v>6.1656961499999996</v>
      </c>
      <c r="Z575">
        <v>5.2716490800000004</v>
      </c>
      <c r="AA575">
        <v>4.7635092500000003</v>
      </c>
      <c r="AB575">
        <v>4.1834181250000002</v>
      </c>
    </row>
    <row r="576" spans="1:28" hidden="1" x14ac:dyDescent="0.25">
      <c r="A576" t="s">
        <v>74</v>
      </c>
      <c r="B576" t="s">
        <v>92</v>
      </c>
      <c r="C576">
        <v>110</v>
      </c>
      <c r="D576" t="s">
        <v>3</v>
      </c>
      <c r="E576">
        <v>0.28550454219999999</v>
      </c>
      <c r="F576">
        <v>0.2563932807</v>
      </c>
      <c r="G576">
        <v>0.2479817184</v>
      </c>
      <c r="H576">
        <v>0.25925342950000002</v>
      </c>
      <c r="I576">
        <v>0.4141627564</v>
      </c>
      <c r="J576">
        <v>0.56808767680000005</v>
      </c>
      <c r="K576">
        <v>1.0246380335</v>
      </c>
      <c r="L576">
        <v>1.6652974681999999</v>
      </c>
      <c r="M576">
        <v>2.2912140201</v>
      </c>
      <c r="N576">
        <v>2.4307268426999999</v>
      </c>
      <c r="O576">
        <v>2.6173168188</v>
      </c>
      <c r="P576">
        <v>2.6837672357</v>
      </c>
      <c r="Q576">
        <v>2.4948428545999999</v>
      </c>
      <c r="R576">
        <v>2.4870300222999999</v>
      </c>
      <c r="S576">
        <v>2.7061642139000002</v>
      </c>
      <c r="T576">
        <v>2.7199331674999998</v>
      </c>
      <c r="U576">
        <v>2.6930204939000002</v>
      </c>
      <c r="V576">
        <v>2.3325463843000001</v>
      </c>
      <c r="W576">
        <v>1.9943128104000001</v>
      </c>
      <c r="X576">
        <v>1.7647428454</v>
      </c>
      <c r="Y576">
        <v>1.3356916805000001</v>
      </c>
      <c r="Z576">
        <v>0.77632027429999995</v>
      </c>
      <c r="AA576">
        <v>0.56002427850000003</v>
      </c>
      <c r="AB576">
        <v>0.39012059339999999</v>
      </c>
    </row>
    <row r="577" spans="1:28" hidden="1" x14ac:dyDescent="0.25">
      <c r="A577" t="s">
        <v>74</v>
      </c>
      <c r="B577" t="s">
        <v>92</v>
      </c>
      <c r="C577">
        <v>110</v>
      </c>
      <c r="D577" t="s">
        <v>4</v>
      </c>
      <c r="E577">
        <v>6.4416870000000001E-2</v>
      </c>
      <c r="F577">
        <v>5.8236089999999997E-2</v>
      </c>
      <c r="G577">
        <v>5.5950794999999998E-2</v>
      </c>
      <c r="H577">
        <v>5.4748199999999997E-2</v>
      </c>
      <c r="I577">
        <v>5.4210420000000002E-2</v>
      </c>
      <c r="J577">
        <v>5.3506199999999997E-2</v>
      </c>
      <c r="K577">
        <v>5.3041560000000001E-2</v>
      </c>
      <c r="L577">
        <v>6.067413E-2</v>
      </c>
      <c r="M577">
        <v>6.7439924999999998E-2</v>
      </c>
      <c r="N577">
        <v>7.1814600000000006E-2</v>
      </c>
      <c r="O577">
        <v>7.7034375000000002E-2</v>
      </c>
      <c r="P577">
        <v>8.5508385000000006E-2</v>
      </c>
      <c r="Q577">
        <v>8.9021009999999998E-2</v>
      </c>
      <c r="R577">
        <v>9.3087840000000005E-2</v>
      </c>
      <c r="S577">
        <v>9.4441410000000003E-2</v>
      </c>
      <c r="T577">
        <v>9.7500450000000002E-2</v>
      </c>
      <c r="U577">
        <v>9.9620550000000002E-2</v>
      </c>
      <c r="V577">
        <v>9.8993159999999997E-2</v>
      </c>
      <c r="W577">
        <v>0.106525125</v>
      </c>
      <c r="X577">
        <v>0.1003491</v>
      </c>
      <c r="Y577">
        <v>9.3893850000000001E-2</v>
      </c>
      <c r="Z577">
        <v>8.0278920000000004E-2</v>
      </c>
      <c r="AA577">
        <v>7.2540750000000001E-2</v>
      </c>
      <c r="AB577">
        <v>6.3706874999999996E-2</v>
      </c>
    </row>
    <row r="578" spans="1:28" hidden="1" x14ac:dyDescent="0.25">
      <c r="A578" t="s">
        <v>74</v>
      </c>
      <c r="B578" t="s">
        <v>93</v>
      </c>
      <c r="C578">
        <v>110</v>
      </c>
      <c r="D578" t="s">
        <v>2</v>
      </c>
      <c r="E578">
        <v>16.345714489999999</v>
      </c>
      <c r="F578">
        <v>15.667464174999999</v>
      </c>
      <c r="G578">
        <v>14.915863865</v>
      </c>
      <c r="H578">
        <v>14.262994044999999</v>
      </c>
      <c r="I578">
        <v>13.593883545000001</v>
      </c>
      <c r="J578">
        <v>12.86125335</v>
      </c>
      <c r="K578">
        <v>12.265089980000001</v>
      </c>
      <c r="L578">
        <v>10.93104144</v>
      </c>
      <c r="M578">
        <v>11.357586825</v>
      </c>
      <c r="N578">
        <v>10.979408879999999</v>
      </c>
      <c r="O578">
        <v>10.761001875</v>
      </c>
      <c r="P578">
        <v>10.811626935</v>
      </c>
      <c r="Q578">
        <v>11.04751375</v>
      </c>
      <c r="R578">
        <v>12.937829219999999</v>
      </c>
      <c r="S578">
        <v>13.698082755</v>
      </c>
      <c r="T578">
        <v>15.190970425</v>
      </c>
      <c r="U578">
        <v>15.050691649999999</v>
      </c>
      <c r="V578">
        <v>14.39692548</v>
      </c>
      <c r="W578">
        <v>16.440452775000001</v>
      </c>
      <c r="X578">
        <v>17.922154785</v>
      </c>
      <c r="Y578">
        <v>19.36107135</v>
      </c>
      <c r="Z578">
        <v>19.684886160000001</v>
      </c>
      <c r="AA578">
        <v>20.041967374999999</v>
      </c>
      <c r="AB578">
        <v>19.332348750000001</v>
      </c>
    </row>
    <row r="579" spans="1:28" hidden="1" x14ac:dyDescent="0.25">
      <c r="A579" t="s">
        <v>74</v>
      </c>
      <c r="B579" t="s">
        <v>93</v>
      </c>
      <c r="C579">
        <v>110</v>
      </c>
      <c r="D579" t="s">
        <v>3</v>
      </c>
      <c r="E579">
        <v>1.7743282411000001</v>
      </c>
      <c r="F579">
        <v>1.6560710676999999</v>
      </c>
      <c r="G579">
        <v>1.5447475201</v>
      </c>
      <c r="H579">
        <v>1.4229936646000001</v>
      </c>
      <c r="I579">
        <v>1.3040951650999999</v>
      </c>
      <c r="J579">
        <v>1.176801295</v>
      </c>
      <c r="K579">
        <v>1.1504120378</v>
      </c>
      <c r="L579">
        <v>1.2592371581999999</v>
      </c>
      <c r="M579">
        <v>1.4082973835999999</v>
      </c>
      <c r="N579">
        <v>1.5005135891000001</v>
      </c>
      <c r="O579">
        <v>1.5387990482</v>
      </c>
      <c r="P579">
        <v>1.5730939732</v>
      </c>
      <c r="Q579">
        <v>1.5573208073</v>
      </c>
      <c r="R579">
        <v>1.5827527104000001</v>
      </c>
      <c r="S579">
        <v>1.679190285</v>
      </c>
      <c r="T579">
        <v>1.7269626088000001</v>
      </c>
      <c r="U579">
        <v>1.7431176197</v>
      </c>
      <c r="V579">
        <v>1.7137065311999999</v>
      </c>
      <c r="W579">
        <v>1.4599953028999999</v>
      </c>
      <c r="X579">
        <v>1.4838680134</v>
      </c>
      <c r="Y579">
        <v>1.6171179335999999</v>
      </c>
      <c r="Z579">
        <v>1.7164363612</v>
      </c>
      <c r="AA579">
        <v>1.8470960024</v>
      </c>
      <c r="AB579">
        <v>1.8829922888999999</v>
      </c>
    </row>
    <row r="580" spans="1:28" hidden="1" x14ac:dyDescent="0.25">
      <c r="A580" t="s">
        <v>74</v>
      </c>
      <c r="B580" t="s">
        <v>93</v>
      </c>
      <c r="C580">
        <v>110</v>
      </c>
      <c r="D580" t="s">
        <v>4</v>
      </c>
      <c r="E580">
        <v>0.24891951000000001</v>
      </c>
      <c r="F580">
        <v>0.23859082500000001</v>
      </c>
      <c r="G580">
        <v>0.227145135</v>
      </c>
      <c r="H580">
        <v>0.217202955</v>
      </c>
      <c r="I580">
        <v>0.20701345500000001</v>
      </c>
      <c r="J580">
        <v>0.19585664999999999</v>
      </c>
      <c r="K580">
        <v>0.18677801999999999</v>
      </c>
      <c r="L580">
        <v>0.16646256000000001</v>
      </c>
      <c r="M580">
        <v>0.17295817499999999</v>
      </c>
      <c r="N580">
        <v>0.16719912000000001</v>
      </c>
      <c r="O580">
        <v>0.16387312500000001</v>
      </c>
      <c r="P580">
        <v>0.16464406500000001</v>
      </c>
      <c r="Q580">
        <v>0.16823625</v>
      </c>
      <c r="R580">
        <v>0.19702278000000001</v>
      </c>
      <c r="S580">
        <v>0.20860024499999999</v>
      </c>
      <c r="T580">
        <v>0.23133457499999999</v>
      </c>
      <c r="U580">
        <v>0.22919835</v>
      </c>
      <c r="V580">
        <v>0.21924252</v>
      </c>
      <c r="W580">
        <v>0.25036222499999999</v>
      </c>
      <c r="X580">
        <v>0.27292621500000003</v>
      </c>
      <c r="Y580">
        <v>0.29483864999999998</v>
      </c>
      <c r="Z580">
        <v>0.29976984000000001</v>
      </c>
      <c r="AA580">
        <v>0.30520762499999998</v>
      </c>
      <c r="AB580">
        <v>0.29440125</v>
      </c>
    </row>
    <row r="581" spans="1:28" hidden="1" x14ac:dyDescent="0.25">
      <c r="A581" t="s">
        <v>74</v>
      </c>
      <c r="B581" t="s">
        <v>94</v>
      </c>
      <c r="C581">
        <v>110</v>
      </c>
      <c r="D581" t="s">
        <v>2</v>
      </c>
      <c r="E581">
        <v>37.480999359999998</v>
      </c>
      <c r="F581">
        <v>36.605884975000002</v>
      </c>
      <c r="G581">
        <v>35.636667629999998</v>
      </c>
      <c r="H581">
        <v>34.492524134999996</v>
      </c>
      <c r="I581">
        <v>33.845441190000003</v>
      </c>
      <c r="J581">
        <v>33.083968225</v>
      </c>
      <c r="K581">
        <v>32.196635899999997</v>
      </c>
      <c r="L581">
        <v>33.391671389999999</v>
      </c>
      <c r="M581">
        <v>34.530679095000004</v>
      </c>
      <c r="N581">
        <v>34.588765530000003</v>
      </c>
      <c r="O581">
        <v>35.526635249999998</v>
      </c>
      <c r="P581">
        <v>36.276100079999999</v>
      </c>
      <c r="Q581">
        <v>36.538862620000003</v>
      </c>
      <c r="R581">
        <v>37.045706189999997</v>
      </c>
      <c r="S581">
        <v>36.559206809999999</v>
      </c>
      <c r="T581">
        <v>36.5171414</v>
      </c>
      <c r="U581">
        <v>36.383063200000002</v>
      </c>
      <c r="V581">
        <v>35.560273000000002</v>
      </c>
      <c r="W581">
        <v>38.972977874999998</v>
      </c>
      <c r="X581">
        <v>39.989621984999999</v>
      </c>
      <c r="Y581">
        <v>40.44225411</v>
      </c>
      <c r="Z581">
        <v>37.792848390000003</v>
      </c>
      <c r="AA581">
        <v>37.120143624999997</v>
      </c>
      <c r="AB581">
        <v>35.735553750000001</v>
      </c>
    </row>
    <row r="582" spans="1:28" hidden="1" x14ac:dyDescent="0.25">
      <c r="A582" t="s">
        <v>74</v>
      </c>
      <c r="B582" t="s">
        <v>94</v>
      </c>
      <c r="C582">
        <v>110</v>
      </c>
      <c r="D582" t="s">
        <v>3</v>
      </c>
      <c r="E582">
        <v>9.2965324989999996</v>
      </c>
      <c r="F582">
        <v>9.2984372425000004</v>
      </c>
      <c r="G582">
        <v>9.3577705521999999</v>
      </c>
      <c r="H582">
        <v>9.3426275545999999</v>
      </c>
      <c r="I582">
        <v>9.2614661852999998</v>
      </c>
      <c r="J582">
        <v>9.2997142045000007</v>
      </c>
      <c r="K582">
        <v>10.7822793988</v>
      </c>
      <c r="L582">
        <v>13.0073468114</v>
      </c>
      <c r="M582">
        <v>15.151001045499999</v>
      </c>
      <c r="N582">
        <v>15.8637125221</v>
      </c>
      <c r="O582">
        <v>16.303136554600002</v>
      </c>
      <c r="P582">
        <v>16.128224343100001</v>
      </c>
      <c r="Q582">
        <v>15.572098709400001</v>
      </c>
      <c r="R582">
        <v>16.235820289900001</v>
      </c>
      <c r="S582">
        <v>16.967476362700001</v>
      </c>
      <c r="T582">
        <v>16.926861659299998</v>
      </c>
      <c r="U582">
        <v>16.6062717097</v>
      </c>
      <c r="V582">
        <v>14.663003331400001</v>
      </c>
      <c r="W582">
        <v>13.6297278082</v>
      </c>
      <c r="X582">
        <v>12.944206617100001</v>
      </c>
      <c r="Y582">
        <v>12.337910367799999</v>
      </c>
      <c r="Z582">
        <v>11.114888778699999</v>
      </c>
      <c r="AA582">
        <v>10.6355300265</v>
      </c>
      <c r="AB582">
        <v>10.403468219400001</v>
      </c>
    </row>
    <row r="583" spans="1:28" hidden="1" x14ac:dyDescent="0.25">
      <c r="A583" t="s">
        <v>74</v>
      </c>
      <c r="B583" t="s">
        <v>94</v>
      </c>
      <c r="C583">
        <v>110</v>
      </c>
      <c r="D583" t="s">
        <v>4</v>
      </c>
      <c r="E583">
        <v>0.57077663999999995</v>
      </c>
      <c r="F583">
        <v>0.55745002499999996</v>
      </c>
      <c r="G583">
        <v>0.54269036999999998</v>
      </c>
      <c r="H583">
        <v>0.52526686499999997</v>
      </c>
      <c r="I583">
        <v>0.51541281000000005</v>
      </c>
      <c r="J583">
        <v>0.50381677499999999</v>
      </c>
      <c r="K583">
        <v>0.49030410000000002</v>
      </c>
      <c r="L583">
        <v>0.50850260999999997</v>
      </c>
      <c r="M583">
        <v>0.525847905</v>
      </c>
      <c r="N583">
        <v>0.52673247000000001</v>
      </c>
      <c r="O583">
        <v>0.54101474999999999</v>
      </c>
      <c r="P583">
        <v>0.55242791999999996</v>
      </c>
      <c r="Q583">
        <v>0.55642937999999997</v>
      </c>
      <c r="R583">
        <v>0.56414781000000003</v>
      </c>
      <c r="S583">
        <v>0.55673919000000005</v>
      </c>
      <c r="T583">
        <v>0.5560986</v>
      </c>
      <c r="U583">
        <v>0.55405680000000002</v>
      </c>
      <c r="V583">
        <v>0.54152699999999998</v>
      </c>
      <c r="W583">
        <v>0.59349712499999996</v>
      </c>
      <c r="X583">
        <v>0.60897901499999996</v>
      </c>
      <c r="Y583">
        <v>0.61587188999999998</v>
      </c>
      <c r="Z583">
        <v>0.57552561000000002</v>
      </c>
      <c r="AA583">
        <v>0.56528137499999997</v>
      </c>
      <c r="AB583">
        <v>0.54419625000000005</v>
      </c>
    </row>
    <row r="584" spans="1:28" hidden="1" x14ac:dyDescent="0.25">
      <c r="A584" t="s">
        <v>74</v>
      </c>
      <c r="B584" t="s">
        <v>95</v>
      </c>
      <c r="C584">
        <v>34</v>
      </c>
      <c r="D584" t="s">
        <v>2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</row>
    <row r="585" spans="1:28" hidden="1" x14ac:dyDescent="0.25">
      <c r="A585" t="s">
        <v>74</v>
      </c>
      <c r="B585" t="s">
        <v>95</v>
      </c>
      <c r="C585">
        <v>34</v>
      </c>
      <c r="D585" t="s">
        <v>3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</row>
    <row r="586" spans="1:28" hidden="1" x14ac:dyDescent="0.25">
      <c r="A586" t="s">
        <v>74</v>
      </c>
      <c r="B586" t="s">
        <v>95</v>
      </c>
      <c r="C586">
        <v>34</v>
      </c>
      <c r="D586" t="s">
        <v>4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</row>
    <row r="587" spans="1:28" hidden="1" x14ac:dyDescent="0.25">
      <c r="A587" t="s">
        <v>74</v>
      </c>
      <c r="B587" t="s">
        <v>96</v>
      </c>
      <c r="C587">
        <v>34</v>
      </c>
      <c r="D587" t="s">
        <v>2</v>
      </c>
      <c r="E587">
        <v>34.09640598</v>
      </c>
      <c r="F587">
        <v>32.812309310000003</v>
      </c>
      <c r="G587">
        <v>31.712853110000001</v>
      </c>
      <c r="H587">
        <v>30.631126569999999</v>
      </c>
      <c r="I587">
        <v>29.469846449999999</v>
      </c>
      <c r="J587">
        <v>28.00976365</v>
      </c>
      <c r="K587">
        <v>27.635470720000001</v>
      </c>
      <c r="L587">
        <v>29.072698379999999</v>
      </c>
      <c r="M587">
        <v>30.112461750000001</v>
      </c>
      <c r="N587">
        <v>30.94816428</v>
      </c>
      <c r="O587">
        <v>32.038954500000003</v>
      </c>
      <c r="P587">
        <v>33.257213389999997</v>
      </c>
      <c r="Q587">
        <v>34.366083439999997</v>
      </c>
      <c r="R587">
        <v>35.040406099999998</v>
      </c>
      <c r="S587">
        <v>36.440565210000003</v>
      </c>
      <c r="T587">
        <v>37.415543249999999</v>
      </c>
      <c r="U587">
        <v>37.904146799999999</v>
      </c>
      <c r="V587">
        <v>37.74824452</v>
      </c>
      <c r="W587">
        <v>41.579593199999998</v>
      </c>
      <c r="X587">
        <v>42.595081350000001</v>
      </c>
      <c r="Y587">
        <v>41.605381620000003</v>
      </c>
      <c r="Z587">
        <v>38.230090079999997</v>
      </c>
      <c r="AA587">
        <v>36.592571</v>
      </c>
      <c r="AB587">
        <v>34.599657499999999</v>
      </c>
    </row>
    <row r="588" spans="1:28" hidden="1" x14ac:dyDescent="0.25">
      <c r="A588" t="s">
        <v>74</v>
      </c>
      <c r="B588" t="s">
        <v>96</v>
      </c>
      <c r="C588">
        <v>34</v>
      </c>
      <c r="D588" t="s">
        <v>3</v>
      </c>
      <c r="E588">
        <v>7.4032418545000001</v>
      </c>
      <c r="F588">
        <v>7.2114144623999996</v>
      </c>
      <c r="G588">
        <v>7.0114873208999997</v>
      </c>
      <c r="H588">
        <v>6.8345864790000004</v>
      </c>
      <c r="I588">
        <v>6.7050801390999997</v>
      </c>
      <c r="J588">
        <v>6.9498217143999996</v>
      </c>
      <c r="K588">
        <v>8.2176770097999992</v>
      </c>
      <c r="L588">
        <v>10.024368254600001</v>
      </c>
      <c r="M588">
        <v>12.0098438184</v>
      </c>
      <c r="N588">
        <v>13.002187571</v>
      </c>
      <c r="O588">
        <v>13.7603296153</v>
      </c>
      <c r="P588">
        <v>14.1324002514</v>
      </c>
      <c r="Q588">
        <v>13.9810607174</v>
      </c>
      <c r="R588">
        <v>14.1739780026</v>
      </c>
      <c r="S588">
        <v>14.769731377599999</v>
      </c>
      <c r="T588">
        <v>14.7380874292</v>
      </c>
      <c r="U588">
        <v>14.454025286</v>
      </c>
      <c r="V588">
        <v>13.4754296884</v>
      </c>
      <c r="W588">
        <v>12.835305887700001</v>
      </c>
      <c r="X588">
        <v>12.103461804</v>
      </c>
      <c r="Y588">
        <v>11.095622974499999</v>
      </c>
      <c r="Z588">
        <v>9.2936594512999999</v>
      </c>
      <c r="AA588">
        <v>8.5537428369999997</v>
      </c>
      <c r="AB588">
        <v>8.0187023602000007</v>
      </c>
    </row>
    <row r="589" spans="1:28" hidden="1" x14ac:dyDescent="0.25">
      <c r="A589" t="s">
        <v>74</v>
      </c>
      <c r="B589" t="s">
        <v>96</v>
      </c>
      <c r="C589">
        <v>34</v>
      </c>
      <c r="D589" t="s">
        <v>4</v>
      </c>
      <c r="E589">
        <v>1.05452802</v>
      </c>
      <c r="F589">
        <v>1.01481369</v>
      </c>
      <c r="G589">
        <v>0.98080988999999996</v>
      </c>
      <c r="H589">
        <v>0.94735442999999997</v>
      </c>
      <c r="I589">
        <v>0.91143854999999996</v>
      </c>
      <c r="J589">
        <v>0.86628134999999995</v>
      </c>
      <c r="K589">
        <v>0.85470528000000001</v>
      </c>
      <c r="L589">
        <v>0.89915562000000004</v>
      </c>
      <c r="M589">
        <v>0.93131324999999998</v>
      </c>
      <c r="N589">
        <v>0.95715972000000005</v>
      </c>
      <c r="O589">
        <v>0.99089550000000004</v>
      </c>
      <c r="P589">
        <v>1.02857361</v>
      </c>
      <c r="Q589">
        <v>1.0628685600000001</v>
      </c>
      <c r="R589">
        <v>1.0837239000000001</v>
      </c>
      <c r="S589">
        <v>1.1270277900000001</v>
      </c>
      <c r="T589">
        <v>1.1571817499999999</v>
      </c>
      <c r="U589">
        <v>1.1722931999999999</v>
      </c>
      <c r="V589">
        <v>1.1674714799999999</v>
      </c>
      <c r="W589">
        <v>1.2859668</v>
      </c>
      <c r="X589">
        <v>1.31737365</v>
      </c>
      <c r="Y589">
        <v>1.2867643799999999</v>
      </c>
      <c r="Z589">
        <v>1.1823739200000001</v>
      </c>
      <c r="AA589">
        <v>1.131729</v>
      </c>
      <c r="AB589">
        <v>1.0700924999999999</v>
      </c>
    </row>
    <row r="590" spans="1:28" hidden="1" x14ac:dyDescent="0.25">
      <c r="A590" t="s">
        <v>74</v>
      </c>
      <c r="B590" t="s">
        <v>97</v>
      </c>
      <c r="C590">
        <v>14</v>
      </c>
      <c r="D590" t="s">
        <v>2</v>
      </c>
      <c r="E590">
        <v>24.0107161</v>
      </c>
      <c r="F590">
        <v>23.6723432</v>
      </c>
      <c r="G590">
        <v>23.480288349999999</v>
      </c>
      <c r="H590">
        <v>23.10479325</v>
      </c>
      <c r="I590">
        <v>22.7752734</v>
      </c>
      <c r="J590">
        <v>21.9129185</v>
      </c>
      <c r="K590">
        <v>19.683578199999999</v>
      </c>
      <c r="L590">
        <v>18.140552100000001</v>
      </c>
      <c r="M590">
        <v>18.56662425</v>
      </c>
      <c r="N590">
        <v>22.018233599999999</v>
      </c>
      <c r="O590">
        <v>25.263539999999999</v>
      </c>
      <c r="P590">
        <v>24.119895799999998</v>
      </c>
      <c r="Q590">
        <v>24.4516168</v>
      </c>
      <c r="R590">
        <v>21.102868699999998</v>
      </c>
      <c r="S590">
        <v>22.983776550000002</v>
      </c>
      <c r="T590">
        <v>20.22031775</v>
      </c>
      <c r="U590">
        <v>18.934335999999998</v>
      </c>
      <c r="V590">
        <v>19.8472176</v>
      </c>
      <c r="W590">
        <v>23.309651250000002</v>
      </c>
      <c r="X590">
        <v>25.022709299999999</v>
      </c>
      <c r="Y590">
        <v>25.725718799999999</v>
      </c>
      <c r="Z590">
        <v>24.6281496</v>
      </c>
      <c r="AA590">
        <v>24.788254999999999</v>
      </c>
      <c r="AB590">
        <v>24.418681249999999</v>
      </c>
    </row>
    <row r="591" spans="1:28" hidden="1" x14ac:dyDescent="0.25">
      <c r="A591" t="s">
        <v>74</v>
      </c>
      <c r="B591" t="s">
        <v>97</v>
      </c>
      <c r="C591">
        <v>14</v>
      </c>
      <c r="D591" t="s">
        <v>3</v>
      </c>
      <c r="E591">
        <v>12.664741752099999</v>
      </c>
      <c r="F591">
        <v>12.842569022199999</v>
      </c>
      <c r="G591">
        <v>12.618379060200001</v>
      </c>
      <c r="H591">
        <v>12.5001583955</v>
      </c>
      <c r="I591">
        <v>12.2457020216</v>
      </c>
      <c r="J591">
        <v>11.8951937251</v>
      </c>
      <c r="K591">
        <v>14.232247903699999</v>
      </c>
      <c r="L591">
        <v>15.891795055899999</v>
      </c>
      <c r="M591">
        <v>15.681929546499999</v>
      </c>
      <c r="N591">
        <v>16.427683880299998</v>
      </c>
      <c r="O591">
        <v>17.1901466234</v>
      </c>
      <c r="P591">
        <v>17.388535164499999</v>
      </c>
      <c r="Q591">
        <v>17.991277222099999</v>
      </c>
      <c r="R591">
        <v>16.411809762699999</v>
      </c>
      <c r="S591">
        <v>15.918546531600001</v>
      </c>
      <c r="T591">
        <v>14.8479512571</v>
      </c>
      <c r="U591">
        <v>14.039090234</v>
      </c>
      <c r="V591">
        <v>13.655895423900001</v>
      </c>
      <c r="W591">
        <v>13.538915642599999</v>
      </c>
      <c r="X591">
        <v>13.6416695095</v>
      </c>
      <c r="Y591">
        <v>14.4047437156</v>
      </c>
      <c r="Z591">
        <v>14.1030589395</v>
      </c>
      <c r="AA591">
        <v>14.263588327000001</v>
      </c>
      <c r="AB591">
        <v>14.020289996200001</v>
      </c>
    </row>
    <row r="592" spans="1:28" hidden="1" x14ac:dyDescent="0.25">
      <c r="A592" t="s">
        <v>74</v>
      </c>
      <c r="B592" t="s">
        <v>97</v>
      </c>
      <c r="C592">
        <v>14</v>
      </c>
      <c r="D592" t="s">
        <v>4</v>
      </c>
      <c r="E592">
        <v>1.2637219</v>
      </c>
      <c r="F592">
        <v>1.2459127999999999</v>
      </c>
      <c r="G592">
        <v>1.2358046499999999</v>
      </c>
      <c r="H592">
        <v>1.21604175</v>
      </c>
      <c r="I592">
        <v>1.1986985999999999</v>
      </c>
      <c r="J592">
        <v>1.1533115</v>
      </c>
      <c r="K592">
        <v>1.0359777999999999</v>
      </c>
      <c r="L592">
        <v>0.95476589999999995</v>
      </c>
      <c r="M592">
        <v>0.97719075</v>
      </c>
      <c r="N592">
        <v>1.1588544000000001</v>
      </c>
      <c r="O592">
        <v>1.3296600000000001</v>
      </c>
      <c r="P592">
        <v>1.2694681999999999</v>
      </c>
      <c r="Q592">
        <v>1.2869272</v>
      </c>
      <c r="R592">
        <v>1.1106773000000001</v>
      </c>
      <c r="S592">
        <v>1.20967245</v>
      </c>
      <c r="T592">
        <v>1.0642272500000001</v>
      </c>
      <c r="U592">
        <v>0.99654399999999999</v>
      </c>
      <c r="V592">
        <v>1.0445903999999999</v>
      </c>
      <c r="W592">
        <v>1.2268237500000001</v>
      </c>
      <c r="X592">
        <v>1.3169846999999999</v>
      </c>
      <c r="Y592">
        <v>1.3539852000000001</v>
      </c>
      <c r="Z592">
        <v>1.2962184000000001</v>
      </c>
      <c r="AA592">
        <v>1.3046450000000001</v>
      </c>
      <c r="AB592">
        <v>1.2851937499999999</v>
      </c>
    </row>
    <row r="593" spans="1:28" hidden="1" x14ac:dyDescent="0.25">
      <c r="A593" t="s">
        <v>74</v>
      </c>
      <c r="B593" t="s">
        <v>98</v>
      </c>
      <c r="C593">
        <v>34</v>
      </c>
      <c r="D593" t="s">
        <v>2</v>
      </c>
      <c r="E593">
        <v>15.648641400000001</v>
      </c>
      <c r="F593">
        <v>15.25704367</v>
      </c>
      <c r="G593">
        <v>14.849060700000001</v>
      </c>
      <c r="H593">
        <v>14.597273919999999</v>
      </c>
      <c r="I593">
        <v>14.35024305</v>
      </c>
      <c r="J593">
        <v>13.8531811</v>
      </c>
      <c r="K593">
        <v>13.06703684</v>
      </c>
      <c r="L593">
        <v>12.830568299999999</v>
      </c>
      <c r="M593">
        <v>12.55526484</v>
      </c>
      <c r="N593">
        <v>12.491198280000001</v>
      </c>
      <c r="O593">
        <v>12.613904249999999</v>
      </c>
      <c r="P593">
        <v>13.02118009</v>
      </c>
      <c r="Q593">
        <v>13.50273756</v>
      </c>
      <c r="R593">
        <v>14.29674076</v>
      </c>
      <c r="S593">
        <v>14.574918329999999</v>
      </c>
      <c r="T593">
        <v>14.4528642</v>
      </c>
      <c r="U593">
        <v>14.177937099999999</v>
      </c>
      <c r="V593">
        <v>13.1893034</v>
      </c>
      <c r="W593">
        <v>15.05292075</v>
      </c>
      <c r="X593">
        <v>15.80809485</v>
      </c>
      <c r="Y593">
        <v>16.366794479999999</v>
      </c>
      <c r="Z593">
        <v>15.96421344</v>
      </c>
      <c r="AA593">
        <v>16.041302250000001</v>
      </c>
      <c r="AB593">
        <v>15.687446250000001</v>
      </c>
    </row>
    <row r="594" spans="1:28" hidden="1" x14ac:dyDescent="0.25">
      <c r="A594" t="s">
        <v>74</v>
      </c>
      <c r="B594" t="s">
        <v>98</v>
      </c>
      <c r="C594">
        <v>34</v>
      </c>
      <c r="D594" t="s">
        <v>3</v>
      </c>
      <c r="E594">
        <v>5.2815407006999999</v>
      </c>
      <c r="F594">
        <v>5.2465292799999999</v>
      </c>
      <c r="G594">
        <v>5.1960792272000003</v>
      </c>
      <c r="H594">
        <v>5.1431122556000002</v>
      </c>
      <c r="I594">
        <v>5.0715931823</v>
      </c>
      <c r="J594">
        <v>4.8419428730999998</v>
      </c>
      <c r="K594">
        <v>4.6304293138999997</v>
      </c>
      <c r="L594">
        <v>4.5828582235999997</v>
      </c>
      <c r="M594">
        <v>4.4958787578999999</v>
      </c>
      <c r="N594">
        <v>4.4963069751999996</v>
      </c>
      <c r="O594">
        <v>4.5240494342000002</v>
      </c>
      <c r="P594">
        <v>4.6040797038000001</v>
      </c>
      <c r="Q594">
        <v>4.6900032372</v>
      </c>
      <c r="R594">
        <v>4.9398642649999998</v>
      </c>
      <c r="S594">
        <v>5.1204301913999997</v>
      </c>
      <c r="T594">
        <v>5.1297856812999996</v>
      </c>
      <c r="U594">
        <v>5.0140472236000004</v>
      </c>
      <c r="V594">
        <v>4.8428688538999998</v>
      </c>
      <c r="W594">
        <v>5.0684104454999996</v>
      </c>
      <c r="X594">
        <v>5.1231442595000001</v>
      </c>
      <c r="Y594">
        <v>5.2577192130999997</v>
      </c>
      <c r="Z594">
        <v>5.1393253741000002</v>
      </c>
      <c r="AA594">
        <v>5.3922444741</v>
      </c>
      <c r="AB594">
        <v>5.4643571569000002</v>
      </c>
    </row>
    <row r="595" spans="1:28" hidden="1" x14ac:dyDescent="0.25">
      <c r="A595" t="s">
        <v>74</v>
      </c>
      <c r="B595" t="s">
        <v>98</v>
      </c>
      <c r="C595">
        <v>34</v>
      </c>
      <c r="D595" t="s">
        <v>4</v>
      </c>
      <c r="E595">
        <v>0.48397859999999998</v>
      </c>
      <c r="F595">
        <v>0.47186732999999997</v>
      </c>
      <c r="G595">
        <v>0.45924930000000003</v>
      </c>
      <c r="H595">
        <v>0.45146207999999999</v>
      </c>
      <c r="I595">
        <v>0.44382195000000002</v>
      </c>
      <c r="J595">
        <v>0.42844890000000002</v>
      </c>
      <c r="K595">
        <v>0.40413515999999999</v>
      </c>
      <c r="L595">
        <v>0.3968217</v>
      </c>
      <c r="M595">
        <v>0.38830715999999998</v>
      </c>
      <c r="N595">
        <v>0.38632571999999998</v>
      </c>
      <c r="O595">
        <v>0.39012075000000002</v>
      </c>
      <c r="P595">
        <v>0.40271690999999998</v>
      </c>
      <c r="Q595">
        <v>0.41761044000000003</v>
      </c>
      <c r="R595">
        <v>0.44216724000000002</v>
      </c>
      <c r="S595">
        <v>0.45077066999999998</v>
      </c>
      <c r="T595">
        <v>0.4469958</v>
      </c>
      <c r="U595">
        <v>0.43849290000000002</v>
      </c>
      <c r="V595">
        <v>0.40791660000000002</v>
      </c>
      <c r="W595">
        <v>0.46555425</v>
      </c>
      <c r="X595">
        <v>0.48891014999999999</v>
      </c>
      <c r="Y595">
        <v>0.50618951999999995</v>
      </c>
      <c r="Z595">
        <v>0.49373855999999999</v>
      </c>
      <c r="AA595">
        <v>0.49612275</v>
      </c>
      <c r="AB595">
        <v>0.48517874999999999</v>
      </c>
    </row>
    <row r="596" spans="1:28" hidden="1" x14ac:dyDescent="0.25">
      <c r="A596" t="s">
        <v>74</v>
      </c>
      <c r="B596" t="s">
        <v>99</v>
      </c>
      <c r="C596">
        <v>110</v>
      </c>
      <c r="D596" t="s">
        <v>2</v>
      </c>
      <c r="E596">
        <v>17.7557282</v>
      </c>
      <c r="F596">
        <v>17.375981150000001</v>
      </c>
      <c r="G596">
        <v>17.011305584999999</v>
      </c>
      <c r="H596">
        <v>16.765758875</v>
      </c>
      <c r="I596">
        <v>16.650978795</v>
      </c>
      <c r="J596">
        <v>16.237168475000001</v>
      </c>
      <c r="K596">
        <v>15.401085699999999</v>
      </c>
      <c r="L596">
        <v>14.661380250000001</v>
      </c>
      <c r="M596">
        <v>13.400144879999999</v>
      </c>
      <c r="N596">
        <v>12.96851985</v>
      </c>
      <c r="O596">
        <v>13.777761375000001</v>
      </c>
      <c r="P596">
        <v>14.759026255</v>
      </c>
      <c r="Q596">
        <v>15.239256109999999</v>
      </c>
      <c r="R596">
        <v>16.648227689999999</v>
      </c>
      <c r="S596">
        <v>16.832108474999998</v>
      </c>
      <c r="T596">
        <v>16.788261200000001</v>
      </c>
      <c r="U596">
        <v>16.21100195</v>
      </c>
      <c r="V596">
        <v>15.958918779999999</v>
      </c>
      <c r="W596">
        <v>18.276216975000001</v>
      </c>
      <c r="X596">
        <v>19.347345375</v>
      </c>
      <c r="Y596">
        <v>19.97371377</v>
      </c>
      <c r="Z596">
        <v>18.953559120000001</v>
      </c>
      <c r="AA596">
        <v>18.525609124999999</v>
      </c>
      <c r="AB596">
        <v>18.048031875</v>
      </c>
    </row>
    <row r="597" spans="1:28" hidden="1" x14ac:dyDescent="0.25">
      <c r="A597" t="s">
        <v>74</v>
      </c>
      <c r="B597" t="s">
        <v>99</v>
      </c>
      <c r="C597">
        <v>110</v>
      </c>
      <c r="D597" t="s">
        <v>3</v>
      </c>
      <c r="E597">
        <v>8.9198695042999994</v>
      </c>
      <c r="F597">
        <v>8.7218251011000003</v>
      </c>
      <c r="G597">
        <v>8.5359285886999992</v>
      </c>
      <c r="H597">
        <v>8.3151565502999993</v>
      </c>
      <c r="I597">
        <v>8.1547697424999992</v>
      </c>
      <c r="J597">
        <v>7.5802974122000002</v>
      </c>
      <c r="K597">
        <v>6.7190700747000003</v>
      </c>
      <c r="L597">
        <v>6.4551359546000002</v>
      </c>
      <c r="M597">
        <v>6.2955178610000004</v>
      </c>
      <c r="N597">
        <v>6.2441636364999997</v>
      </c>
      <c r="O597">
        <v>6.4634298076999999</v>
      </c>
      <c r="P597">
        <v>6.8693923764000004</v>
      </c>
      <c r="Q597">
        <v>7.2937301656000004</v>
      </c>
      <c r="R597">
        <v>8.0767740595999999</v>
      </c>
      <c r="S597">
        <v>8.4704270597000004</v>
      </c>
      <c r="T597">
        <v>8.3362009066000002</v>
      </c>
      <c r="U597">
        <v>7.9497999734000002</v>
      </c>
      <c r="V597">
        <v>7.7175011479000002</v>
      </c>
      <c r="W597">
        <v>8.9455731344</v>
      </c>
      <c r="X597">
        <v>9.4633060352000005</v>
      </c>
      <c r="Y597">
        <v>10.009579329199999</v>
      </c>
      <c r="Z597">
        <v>9.5892077473999997</v>
      </c>
      <c r="AA597">
        <v>9.4452579939000003</v>
      </c>
      <c r="AB597">
        <v>9.2971995098000004</v>
      </c>
    </row>
    <row r="598" spans="1:28" hidden="1" x14ac:dyDescent="0.25">
      <c r="A598" t="s">
        <v>74</v>
      </c>
      <c r="B598" t="s">
        <v>99</v>
      </c>
      <c r="C598">
        <v>110</v>
      </c>
      <c r="D598" t="s">
        <v>4</v>
      </c>
      <c r="E598">
        <v>0.27039180000000002</v>
      </c>
      <c r="F598">
        <v>0.26460885000000001</v>
      </c>
      <c r="G598">
        <v>0.25905541500000001</v>
      </c>
      <c r="H598">
        <v>0.255316125</v>
      </c>
      <c r="I598">
        <v>0.25356820499999999</v>
      </c>
      <c r="J598">
        <v>0.24726652499999999</v>
      </c>
      <c r="K598">
        <v>0.2345343</v>
      </c>
      <c r="L598">
        <v>0.22326974999999999</v>
      </c>
      <c r="M598">
        <v>0.20406311999999999</v>
      </c>
      <c r="N598">
        <v>0.19749015</v>
      </c>
      <c r="O598">
        <v>0.209813625</v>
      </c>
      <c r="P598">
        <v>0.22475674500000001</v>
      </c>
      <c r="Q598">
        <v>0.23206989</v>
      </c>
      <c r="R598">
        <v>0.25352630999999998</v>
      </c>
      <c r="S598">
        <v>0.25632652500000003</v>
      </c>
      <c r="T598">
        <v>0.25565880000000002</v>
      </c>
      <c r="U598">
        <v>0.24686805000000001</v>
      </c>
      <c r="V598">
        <v>0.24302921999999999</v>
      </c>
      <c r="W598">
        <v>0.27831802500000002</v>
      </c>
      <c r="X598">
        <v>0.29462962500000001</v>
      </c>
      <c r="Y598">
        <v>0.30416822999999998</v>
      </c>
      <c r="Z598">
        <v>0.28863287999999998</v>
      </c>
      <c r="AA598">
        <v>0.28211587500000002</v>
      </c>
      <c r="AB598">
        <v>0.27484312500000002</v>
      </c>
    </row>
    <row r="599" spans="1:28" hidden="1" x14ac:dyDescent="0.25">
      <c r="A599" t="s">
        <v>74</v>
      </c>
      <c r="B599" t="s">
        <v>100</v>
      </c>
      <c r="C599">
        <v>34</v>
      </c>
      <c r="D599" t="s">
        <v>2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</row>
    <row r="600" spans="1:28" hidden="1" x14ac:dyDescent="0.25">
      <c r="A600" t="s">
        <v>74</v>
      </c>
      <c r="B600" t="s">
        <v>100</v>
      </c>
      <c r="C600">
        <v>34</v>
      </c>
      <c r="D600" t="s">
        <v>3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</row>
    <row r="601" spans="1:28" hidden="1" x14ac:dyDescent="0.25">
      <c r="A601" t="s">
        <v>74</v>
      </c>
      <c r="B601" t="s">
        <v>100</v>
      </c>
      <c r="C601">
        <v>34</v>
      </c>
      <c r="D601" t="s">
        <v>4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</row>
    <row r="602" spans="1:28" hidden="1" x14ac:dyDescent="0.25">
      <c r="A602" t="s">
        <v>74</v>
      </c>
      <c r="B602" t="s">
        <v>101</v>
      </c>
      <c r="C602">
        <v>34</v>
      </c>
      <c r="D602" t="s">
        <v>2</v>
      </c>
      <c r="E602">
        <v>52.94824346</v>
      </c>
      <c r="F602">
        <v>51.298319050000003</v>
      </c>
      <c r="G602">
        <v>49.587497069999998</v>
      </c>
      <c r="H602">
        <v>48.2036844</v>
      </c>
      <c r="I602">
        <v>46.951051620000001</v>
      </c>
      <c r="J602">
        <v>45.568315650000002</v>
      </c>
      <c r="K602">
        <v>43.705301640000002</v>
      </c>
      <c r="L602">
        <v>43.439362559999999</v>
      </c>
      <c r="M602">
        <v>43.142405789999998</v>
      </c>
      <c r="N602">
        <v>43.379823960000003</v>
      </c>
      <c r="O602">
        <v>44.320754999999998</v>
      </c>
      <c r="P602">
        <v>45.183556420000002</v>
      </c>
      <c r="Q602">
        <v>44.953174629999999</v>
      </c>
      <c r="R602">
        <v>46.435711959999999</v>
      </c>
      <c r="S602">
        <v>47.844180090000002</v>
      </c>
      <c r="T602">
        <v>48.781707400000002</v>
      </c>
      <c r="U602">
        <v>48.693563500000003</v>
      </c>
      <c r="V602">
        <v>48.090229319999999</v>
      </c>
      <c r="W602">
        <v>52.083834750000001</v>
      </c>
      <c r="X602">
        <v>54.411537930000001</v>
      </c>
      <c r="Y602">
        <v>56.084889779999997</v>
      </c>
      <c r="Z602">
        <v>54.561900540000003</v>
      </c>
      <c r="AA602">
        <v>55.627948000000004</v>
      </c>
      <c r="AB602">
        <v>54.591721249999999</v>
      </c>
    </row>
    <row r="603" spans="1:28" hidden="1" x14ac:dyDescent="0.25">
      <c r="A603" t="s">
        <v>74</v>
      </c>
      <c r="B603" t="s">
        <v>101</v>
      </c>
      <c r="C603">
        <v>34</v>
      </c>
      <c r="D603" t="s">
        <v>3</v>
      </c>
      <c r="E603">
        <v>11.691038129400001</v>
      </c>
      <c r="F603">
        <v>11.354151382</v>
      </c>
      <c r="G603">
        <v>11.3503178341</v>
      </c>
      <c r="H603">
        <v>11.187265394700001</v>
      </c>
      <c r="I603">
        <v>11.053182767499999</v>
      </c>
      <c r="J603">
        <v>10.8425729863</v>
      </c>
      <c r="K603">
        <v>10.667710165700001</v>
      </c>
      <c r="L603">
        <v>10.845084075500001</v>
      </c>
      <c r="M603">
        <v>10.936406274699999</v>
      </c>
      <c r="N603">
        <v>11.056580092700001</v>
      </c>
      <c r="O603">
        <v>11.198592161000001</v>
      </c>
      <c r="P603">
        <v>11.345778560299999</v>
      </c>
      <c r="Q603">
        <v>11.484704084000001</v>
      </c>
      <c r="R603">
        <v>11.8254455997</v>
      </c>
      <c r="S603">
        <v>12.270585064400001</v>
      </c>
      <c r="T603">
        <v>12.3765051039</v>
      </c>
      <c r="U603">
        <v>12.316158635500001</v>
      </c>
      <c r="V603">
        <v>11.921611567199999</v>
      </c>
      <c r="W603">
        <v>11.776018415699999</v>
      </c>
      <c r="X603">
        <v>11.643965229000001</v>
      </c>
      <c r="Y603">
        <v>11.5286243413</v>
      </c>
      <c r="Z603">
        <v>10.831293414099999</v>
      </c>
      <c r="AA603">
        <v>11.2986469669</v>
      </c>
      <c r="AB603">
        <v>11.6907063335</v>
      </c>
    </row>
    <row r="604" spans="1:28" hidden="1" x14ac:dyDescent="0.25">
      <c r="A604" t="s">
        <v>74</v>
      </c>
      <c r="B604" t="s">
        <v>101</v>
      </c>
      <c r="C604">
        <v>34</v>
      </c>
      <c r="D604" t="s">
        <v>4</v>
      </c>
      <c r="E604">
        <v>1.6375745399999999</v>
      </c>
      <c r="F604">
        <v>1.5865459500000001</v>
      </c>
      <c r="G604">
        <v>1.5336339299999999</v>
      </c>
      <c r="H604">
        <v>1.4908356</v>
      </c>
      <c r="I604">
        <v>1.4520943799999999</v>
      </c>
      <c r="J604">
        <v>1.4093293499999999</v>
      </c>
      <c r="K604">
        <v>1.35171036</v>
      </c>
      <c r="L604">
        <v>1.34348544</v>
      </c>
      <c r="M604">
        <v>1.33430121</v>
      </c>
      <c r="N604">
        <v>1.34164404</v>
      </c>
      <c r="O604">
        <v>1.3707450000000001</v>
      </c>
      <c r="P604">
        <v>1.3974295800000001</v>
      </c>
      <c r="Q604">
        <v>1.39030437</v>
      </c>
      <c r="R604">
        <v>1.43615604</v>
      </c>
      <c r="S604">
        <v>1.4797169100000001</v>
      </c>
      <c r="T604">
        <v>1.5087126</v>
      </c>
      <c r="U604">
        <v>1.5059864999999999</v>
      </c>
      <c r="V604">
        <v>1.48732668</v>
      </c>
      <c r="W604">
        <v>1.6108402500000001</v>
      </c>
      <c r="X604">
        <v>1.68283107</v>
      </c>
      <c r="Y604">
        <v>1.7345842199999999</v>
      </c>
      <c r="Z604">
        <v>1.6874814600000001</v>
      </c>
      <c r="AA604">
        <v>1.7204520000000001</v>
      </c>
      <c r="AB604">
        <v>1.68840375</v>
      </c>
    </row>
    <row r="605" spans="1:28" hidden="1" x14ac:dyDescent="0.25">
      <c r="A605" t="s">
        <v>74</v>
      </c>
      <c r="B605" t="s">
        <v>102</v>
      </c>
      <c r="C605">
        <v>110</v>
      </c>
      <c r="D605" t="s">
        <v>2</v>
      </c>
      <c r="E605">
        <v>12.07091102</v>
      </c>
      <c r="F605">
        <v>12.02505139</v>
      </c>
      <c r="G605">
        <v>12.0346315</v>
      </c>
      <c r="H605">
        <v>11.899310665</v>
      </c>
      <c r="I605">
        <v>12.003799465</v>
      </c>
      <c r="J605">
        <v>12.445499075000001</v>
      </c>
      <c r="K605">
        <v>8.9925904400000007</v>
      </c>
      <c r="L605">
        <v>5.2841428199999996</v>
      </c>
      <c r="M605">
        <v>4.9648018799999996</v>
      </c>
      <c r="N605">
        <v>4.8306980700000004</v>
      </c>
      <c r="O605">
        <v>4.74587775</v>
      </c>
      <c r="P605">
        <v>4.7093972900000001</v>
      </c>
      <c r="Q605">
        <v>4.6841458300000003</v>
      </c>
      <c r="R605">
        <v>4.7464608699999999</v>
      </c>
      <c r="S605">
        <v>4.7674374300000002</v>
      </c>
      <c r="T605">
        <v>4.7785058749999996</v>
      </c>
      <c r="U605">
        <v>4.5545513499999997</v>
      </c>
      <c r="V605">
        <v>4.5929249800000003</v>
      </c>
      <c r="W605">
        <v>4.8262833000000001</v>
      </c>
      <c r="X605">
        <v>4.8962192849999999</v>
      </c>
      <c r="Y605">
        <v>4.76761473</v>
      </c>
      <c r="Z605">
        <v>4.2279844500000001</v>
      </c>
      <c r="AA605">
        <v>4.2121062499999997</v>
      </c>
      <c r="AB605">
        <v>4.1383543749999996</v>
      </c>
    </row>
    <row r="606" spans="1:28" hidden="1" x14ac:dyDescent="0.25">
      <c r="A606" t="s">
        <v>74</v>
      </c>
      <c r="B606" t="s">
        <v>102</v>
      </c>
      <c r="C606">
        <v>110</v>
      </c>
      <c r="D606" t="s">
        <v>3</v>
      </c>
      <c r="E606">
        <v>7.1490221975999999</v>
      </c>
      <c r="F606">
        <v>7.1562684314</v>
      </c>
      <c r="G606">
        <v>7.1622883932999999</v>
      </c>
      <c r="H606">
        <v>7.0218326066000003</v>
      </c>
      <c r="I606">
        <v>7.4575756492999998</v>
      </c>
      <c r="J606">
        <v>7.8648437417999997</v>
      </c>
      <c r="K606">
        <v>7.9527233956999996</v>
      </c>
      <c r="L606">
        <v>7.9222977462999999</v>
      </c>
      <c r="M606">
        <v>7.6925661414000004</v>
      </c>
      <c r="N606">
        <v>7.4728667645</v>
      </c>
      <c r="O606">
        <v>7.2929390065000002</v>
      </c>
      <c r="P606">
        <v>7.2624271241000002</v>
      </c>
      <c r="Q606">
        <v>7.2155704314999998</v>
      </c>
      <c r="R606">
        <v>7.3020254586000002</v>
      </c>
      <c r="S606">
        <v>7.3790516569999998</v>
      </c>
      <c r="T606">
        <v>7.4234783991000004</v>
      </c>
      <c r="U606">
        <v>7.4692167245999999</v>
      </c>
      <c r="V606">
        <v>7.4465902169999998</v>
      </c>
      <c r="W606">
        <v>7.9461992278000002</v>
      </c>
      <c r="X606">
        <v>7.9285227724</v>
      </c>
      <c r="Y606">
        <v>7.8194531785999999</v>
      </c>
      <c r="Z606">
        <v>7.2620840202999997</v>
      </c>
      <c r="AA606">
        <v>7.0865376068000003</v>
      </c>
      <c r="AB606">
        <v>7.1518064923000004</v>
      </c>
    </row>
    <row r="607" spans="1:28" hidden="1" x14ac:dyDescent="0.25">
      <c r="A607" t="s">
        <v>74</v>
      </c>
      <c r="B607" t="s">
        <v>102</v>
      </c>
      <c r="C607">
        <v>110</v>
      </c>
      <c r="D607" t="s">
        <v>4</v>
      </c>
      <c r="E607">
        <v>0.18382097999999999</v>
      </c>
      <c r="F607">
        <v>0.18312260999999999</v>
      </c>
      <c r="G607">
        <v>0.1832685</v>
      </c>
      <c r="H607">
        <v>0.18120777660000001</v>
      </c>
      <c r="I607">
        <v>0.1827989766</v>
      </c>
      <c r="J607">
        <v>0.18952536659999999</v>
      </c>
      <c r="K607">
        <v>0.1369430016</v>
      </c>
      <c r="L607">
        <v>8.0469180000000001E-2</v>
      </c>
      <c r="M607">
        <v>7.5606119999999999E-2</v>
      </c>
      <c r="N607">
        <v>7.356393E-2</v>
      </c>
      <c r="O607">
        <v>7.2272249999999996E-2</v>
      </c>
      <c r="P607">
        <v>7.1716710000000003E-2</v>
      </c>
      <c r="Q607">
        <v>7.133217E-2</v>
      </c>
      <c r="R607">
        <v>7.2281129999999999E-2</v>
      </c>
      <c r="S607">
        <v>7.2600570000000003E-2</v>
      </c>
      <c r="T607">
        <v>7.2769125000000004E-2</v>
      </c>
      <c r="U607">
        <v>6.9358649999999994E-2</v>
      </c>
      <c r="V607">
        <v>6.9943019999999995E-2</v>
      </c>
      <c r="W607">
        <v>7.3496699999999998E-2</v>
      </c>
      <c r="X607">
        <v>7.4561715000000001E-2</v>
      </c>
      <c r="Y607">
        <v>7.2603269999999998E-2</v>
      </c>
      <c r="Z607">
        <v>6.438555E-2</v>
      </c>
      <c r="AA607">
        <v>6.4143749999999999E-2</v>
      </c>
      <c r="AB607">
        <v>6.3020624999999997E-2</v>
      </c>
    </row>
    <row r="608" spans="1:28" hidden="1" x14ac:dyDescent="0.25">
      <c r="A608" t="s">
        <v>74</v>
      </c>
      <c r="B608" t="s">
        <v>103</v>
      </c>
      <c r="C608">
        <v>110</v>
      </c>
      <c r="D608" t="s">
        <v>2</v>
      </c>
      <c r="E608">
        <v>23.321179140000002</v>
      </c>
      <c r="F608">
        <v>22.661478344999999</v>
      </c>
      <c r="G608">
        <v>21.88887094</v>
      </c>
      <c r="H608">
        <v>21.28041477</v>
      </c>
      <c r="I608">
        <v>20.611615530000002</v>
      </c>
      <c r="J608">
        <v>19.685190524999999</v>
      </c>
      <c r="K608">
        <v>18.59905762</v>
      </c>
      <c r="L608">
        <v>18.434040570000001</v>
      </c>
      <c r="M608">
        <v>18.539678864999999</v>
      </c>
      <c r="N608">
        <v>18.41590278</v>
      </c>
      <c r="O608">
        <v>18.4684545</v>
      </c>
      <c r="P608">
        <v>18.800113849999999</v>
      </c>
      <c r="Q608">
        <v>18.91334354</v>
      </c>
      <c r="R608">
        <v>19.652808650000001</v>
      </c>
      <c r="S608">
        <v>20.377807064999999</v>
      </c>
      <c r="T608">
        <v>20.4239356</v>
      </c>
      <c r="U608">
        <v>20.372114750000001</v>
      </c>
      <c r="V608">
        <v>20.1397434</v>
      </c>
      <c r="W608">
        <v>22.414088700000001</v>
      </c>
      <c r="X608">
        <v>23.347073805000001</v>
      </c>
      <c r="Y608">
        <v>24.686347770000001</v>
      </c>
      <c r="Z608">
        <v>24.705141569999999</v>
      </c>
      <c r="AA608">
        <v>25.203712124999999</v>
      </c>
      <c r="AB608">
        <v>24.61982875</v>
      </c>
    </row>
    <row r="609" spans="1:28" hidden="1" x14ac:dyDescent="0.25">
      <c r="A609" t="s">
        <v>74</v>
      </c>
      <c r="B609" t="s">
        <v>103</v>
      </c>
      <c r="C609">
        <v>110</v>
      </c>
      <c r="D609" t="s">
        <v>3</v>
      </c>
      <c r="E609">
        <v>9.7759051289999999</v>
      </c>
      <c r="F609">
        <v>9.3929021840000004</v>
      </c>
      <c r="G609">
        <v>8.9745655729999996</v>
      </c>
      <c r="H609">
        <v>8.6172511028999992</v>
      </c>
      <c r="I609">
        <v>8.2225272317999991</v>
      </c>
      <c r="J609">
        <v>7.6005018238000002</v>
      </c>
      <c r="K609">
        <v>7.1645173505999997</v>
      </c>
      <c r="L609">
        <v>7.2437770825000003</v>
      </c>
      <c r="M609">
        <v>7.4058318573999999</v>
      </c>
      <c r="N609">
        <v>7.3994888975000004</v>
      </c>
      <c r="O609">
        <v>7.4315308435</v>
      </c>
      <c r="P609">
        <v>7.6117165080999998</v>
      </c>
      <c r="Q609">
        <v>7.7283497742999998</v>
      </c>
      <c r="R609">
        <v>8.1277912177000005</v>
      </c>
      <c r="S609">
        <v>8.6292241821999998</v>
      </c>
      <c r="T609">
        <v>8.7337738008999999</v>
      </c>
      <c r="U609">
        <v>8.5403188751000005</v>
      </c>
      <c r="V609">
        <v>8.0336546064000007</v>
      </c>
      <c r="W609">
        <v>8.4452104086999995</v>
      </c>
      <c r="X609">
        <v>8.9434348243000006</v>
      </c>
      <c r="Y609">
        <v>9.5629313581000002</v>
      </c>
      <c r="Z609">
        <v>9.5568344311000004</v>
      </c>
      <c r="AA609">
        <v>10.019710440600001</v>
      </c>
      <c r="AB609">
        <v>9.9588146933000008</v>
      </c>
    </row>
    <row r="610" spans="1:28" hidden="1" x14ac:dyDescent="0.25">
      <c r="A610" t="s">
        <v>74</v>
      </c>
      <c r="B610" t="s">
        <v>103</v>
      </c>
      <c r="C610">
        <v>110</v>
      </c>
      <c r="D610" t="s">
        <v>4</v>
      </c>
      <c r="E610">
        <v>0.35514486000000001</v>
      </c>
      <c r="F610">
        <v>0.34509865499999998</v>
      </c>
      <c r="G610">
        <v>0.33333306000000001</v>
      </c>
      <c r="H610">
        <v>0.32406722999999998</v>
      </c>
      <c r="I610">
        <v>0.31388247000000002</v>
      </c>
      <c r="J610">
        <v>0.29977447499999998</v>
      </c>
      <c r="K610">
        <v>0.28323438000000001</v>
      </c>
      <c r="L610">
        <v>0.28072142999999999</v>
      </c>
      <c r="M610">
        <v>0.28233013499999998</v>
      </c>
      <c r="N610">
        <v>0.28044522</v>
      </c>
      <c r="O610">
        <v>0.28124549999999998</v>
      </c>
      <c r="P610">
        <v>0.28629615000000003</v>
      </c>
      <c r="Q610">
        <v>0.28802045999999998</v>
      </c>
      <c r="R610">
        <v>0.29928135</v>
      </c>
      <c r="S610">
        <v>0.31032193499999999</v>
      </c>
      <c r="T610">
        <v>0.31102439999999998</v>
      </c>
      <c r="U610">
        <v>0.31023525000000002</v>
      </c>
      <c r="V610">
        <v>0.30669659999999999</v>
      </c>
      <c r="W610">
        <v>0.3413313</v>
      </c>
      <c r="X610">
        <v>0.35553919499999997</v>
      </c>
      <c r="Y610">
        <v>0.37593422999999998</v>
      </c>
      <c r="Z610">
        <v>0.37622042999999999</v>
      </c>
      <c r="AA610">
        <v>0.383812875</v>
      </c>
      <c r="AB610">
        <v>0.37492124999999998</v>
      </c>
    </row>
    <row r="611" spans="1:28" hidden="1" x14ac:dyDescent="0.25">
      <c r="A611" t="s">
        <v>74</v>
      </c>
      <c r="B611" t="s">
        <v>104</v>
      </c>
      <c r="C611">
        <v>110</v>
      </c>
      <c r="D611" t="s">
        <v>2</v>
      </c>
      <c r="E611">
        <v>22.78403106</v>
      </c>
      <c r="F611">
        <v>22.210720675000001</v>
      </c>
      <c r="G611">
        <v>21.584465555000001</v>
      </c>
      <c r="H611">
        <v>21.079917035000001</v>
      </c>
      <c r="I611">
        <v>20.523299444999999</v>
      </c>
      <c r="J611">
        <v>19.462314575000001</v>
      </c>
      <c r="K611">
        <v>18.159026600000001</v>
      </c>
      <c r="L611">
        <v>16.8076854</v>
      </c>
      <c r="M611">
        <v>17.2322007</v>
      </c>
      <c r="N611">
        <v>17.430416189999999</v>
      </c>
      <c r="O611">
        <v>17.413815</v>
      </c>
      <c r="P611">
        <v>17.569674504999998</v>
      </c>
      <c r="Q611">
        <v>17.732837785000001</v>
      </c>
      <c r="R611">
        <v>18.305927530000002</v>
      </c>
      <c r="S611">
        <v>18.93695202</v>
      </c>
      <c r="T611">
        <v>19.334569925</v>
      </c>
      <c r="U611">
        <v>19.411857950000002</v>
      </c>
      <c r="V611">
        <v>19.282308780000001</v>
      </c>
      <c r="W611">
        <v>21.503608875000001</v>
      </c>
      <c r="X611">
        <v>22.289674335000001</v>
      </c>
      <c r="Y611">
        <v>23.19401367</v>
      </c>
      <c r="Z611">
        <v>22.724464170000001</v>
      </c>
      <c r="AA611">
        <v>22.959808249999998</v>
      </c>
      <c r="AB611">
        <v>22.742172499999999</v>
      </c>
    </row>
    <row r="612" spans="1:28" hidden="1" x14ac:dyDescent="0.25">
      <c r="A612" t="s">
        <v>74</v>
      </c>
      <c r="B612" t="s">
        <v>104</v>
      </c>
      <c r="C612">
        <v>110</v>
      </c>
      <c r="D612" t="s">
        <v>3</v>
      </c>
      <c r="E612">
        <v>10.0758913642</v>
      </c>
      <c r="F612">
        <v>9.7730482408999997</v>
      </c>
      <c r="G612">
        <v>9.4648337818999995</v>
      </c>
      <c r="H612">
        <v>9.2673545918000002</v>
      </c>
      <c r="I612">
        <v>8.9543619263000007</v>
      </c>
      <c r="J612">
        <v>8.3430404924000001</v>
      </c>
      <c r="K612">
        <v>7.9546825029999999</v>
      </c>
      <c r="L612">
        <v>8.0544491663999995</v>
      </c>
      <c r="M612">
        <v>8.3112519821999999</v>
      </c>
      <c r="N612">
        <v>8.3389772781999998</v>
      </c>
      <c r="O612">
        <v>8.4678975899999998</v>
      </c>
      <c r="P612">
        <v>8.6457654126999994</v>
      </c>
      <c r="Q612">
        <v>8.6666039445000003</v>
      </c>
      <c r="R612">
        <v>9.5174088351999995</v>
      </c>
      <c r="S612">
        <v>10.023782715699999</v>
      </c>
      <c r="T612">
        <v>10.113372393600001</v>
      </c>
      <c r="U612">
        <v>9.9293984720000008</v>
      </c>
      <c r="V612">
        <v>9.4255117752000004</v>
      </c>
      <c r="W612">
        <v>10.100134265299999</v>
      </c>
      <c r="X612">
        <v>10.517292550600001</v>
      </c>
      <c r="Y612">
        <v>10.996443301899999</v>
      </c>
      <c r="Z612">
        <v>10.962156376399999</v>
      </c>
      <c r="AA612">
        <v>11.2677909535</v>
      </c>
      <c r="AB612">
        <v>11.103915494200001</v>
      </c>
    </row>
    <row r="613" spans="1:28" hidden="1" x14ac:dyDescent="0.25">
      <c r="A613" t="s">
        <v>74</v>
      </c>
      <c r="B613" t="s">
        <v>104</v>
      </c>
      <c r="C613">
        <v>110</v>
      </c>
      <c r="D613" t="s">
        <v>4</v>
      </c>
      <c r="E613">
        <v>0.34696494</v>
      </c>
      <c r="F613">
        <v>0.338234325</v>
      </c>
      <c r="G613">
        <v>0.32869744499999998</v>
      </c>
      <c r="H613">
        <v>0.32101396500000001</v>
      </c>
      <c r="I613">
        <v>0.31253755500000002</v>
      </c>
      <c r="J613">
        <v>0.296380425</v>
      </c>
      <c r="K613">
        <v>0.27653339999999998</v>
      </c>
      <c r="L613">
        <v>0.25595459999999998</v>
      </c>
      <c r="M613">
        <v>0.26241930000000002</v>
      </c>
      <c r="N613">
        <v>0.26543781</v>
      </c>
      <c r="O613">
        <v>0.265185</v>
      </c>
      <c r="P613">
        <v>0.26755849500000001</v>
      </c>
      <c r="Q613">
        <v>0.270043215</v>
      </c>
      <c r="R613">
        <v>0.27877046999999999</v>
      </c>
      <c r="S613">
        <v>0.28837997999999998</v>
      </c>
      <c r="T613">
        <v>0.29443507499999999</v>
      </c>
      <c r="U613">
        <v>0.29561205000000002</v>
      </c>
      <c r="V613">
        <v>0.29363921999999998</v>
      </c>
      <c r="W613">
        <v>0.327466125</v>
      </c>
      <c r="X613">
        <v>0.33943666500000003</v>
      </c>
      <c r="Y613">
        <v>0.35320833000000001</v>
      </c>
      <c r="Z613">
        <v>0.34605783000000001</v>
      </c>
      <c r="AA613">
        <v>0.34964174999999997</v>
      </c>
      <c r="AB613">
        <v>0.34632750000000001</v>
      </c>
    </row>
    <row r="614" spans="1:28" hidden="1" x14ac:dyDescent="0.25">
      <c r="A614" t="s">
        <v>74</v>
      </c>
      <c r="B614" t="s">
        <v>105</v>
      </c>
      <c r="C614">
        <v>110</v>
      </c>
      <c r="D614" t="s">
        <v>2</v>
      </c>
      <c r="E614">
        <v>13.78680072</v>
      </c>
      <c r="F614">
        <v>13.40640554</v>
      </c>
      <c r="G614">
        <v>13.01156041</v>
      </c>
      <c r="H614">
        <v>12.645184735000001</v>
      </c>
      <c r="I614">
        <v>12.275935815</v>
      </c>
      <c r="J614">
        <v>11.753428775</v>
      </c>
      <c r="K614">
        <v>11.16191362</v>
      </c>
      <c r="L614">
        <v>11.263567589999999</v>
      </c>
      <c r="M614">
        <v>11.586546135000001</v>
      </c>
      <c r="N614">
        <v>12.23696232</v>
      </c>
      <c r="O614">
        <v>12.968386875</v>
      </c>
      <c r="P614">
        <v>13.272505625000001</v>
      </c>
      <c r="Q614">
        <v>13.313832285</v>
      </c>
      <c r="R614">
        <v>13.850859209999999</v>
      </c>
      <c r="S614">
        <v>14.42183022</v>
      </c>
      <c r="T614">
        <v>14.656312424999999</v>
      </c>
      <c r="U614">
        <v>14.710600700000001</v>
      </c>
      <c r="V614">
        <v>14.61626922</v>
      </c>
      <c r="W614">
        <v>15.959304899999999</v>
      </c>
      <c r="X614">
        <v>16.320730950000002</v>
      </c>
      <c r="Y614">
        <v>16.195752179999999</v>
      </c>
      <c r="Z614">
        <v>15.25121598</v>
      </c>
      <c r="AA614">
        <v>15.010415</v>
      </c>
      <c r="AB614">
        <v>14.668250625000001</v>
      </c>
    </row>
    <row r="615" spans="1:28" hidden="1" x14ac:dyDescent="0.25">
      <c r="A615" t="s">
        <v>74</v>
      </c>
      <c r="B615" t="s">
        <v>105</v>
      </c>
      <c r="C615">
        <v>110</v>
      </c>
      <c r="D615" t="s">
        <v>3</v>
      </c>
      <c r="E615">
        <v>4.5646842874000004</v>
      </c>
      <c r="F615">
        <v>4.4098017569000003</v>
      </c>
      <c r="G615">
        <v>4.2896074687999999</v>
      </c>
      <c r="H615">
        <v>4.1279332771000004</v>
      </c>
      <c r="I615">
        <v>3.9235972544000002</v>
      </c>
      <c r="J615">
        <v>3.6190205232000001</v>
      </c>
      <c r="K615">
        <v>3.3131324775</v>
      </c>
      <c r="L615">
        <v>3.3035008709000002</v>
      </c>
      <c r="M615">
        <v>3.4382878707</v>
      </c>
      <c r="N615">
        <v>3.4930914193999998</v>
      </c>
      <c r="O615">
        <v>3.7069864190000001</v>
      </c>
      <c r="P615">
        <v>3.8762882887000001</v>
      </c>
      <c r="Q615">
        <v>3.9914363129999999</v>
      </c>
      <c r="R615">
        <v>4.2622673487</v>
      </c>
      <c r="S615">
        <v>4.5142463407999998</v>
      </c>
      <c r="T615">
        <v>4.5698402585000002</v>
      </c>
      <c r="U615">
        <v>4.5372260542999996</v>
      </c>
      <c r="V615">
        <v>4.4062589304999999</v>
      </c>
      <c r="W615">
        <v>4.6893334843999996</v>
      </c>
      <c r="X615">
        <v>4.9299522952999997</v>
      </c>
      <c r="Y615">
        <v>4.9766139397</v>
      </c>
      <c r="Z615">
        <v>4.6863778353000001</v>
      </c>
      <c r="AA615">
        <v>4.7490417770000004</v>
      </c>
      <c r="AB615">
        <v>4.7041328747</v>
      </c>
    </row>
    <row r="616" spans="1:28" hidden="1" x14ac:dyDescent="0.25">
      <c r="A616" t="s">
        <v>74</v>
      </c>
      <c r="B616" t="s">
        <v>105</v>
      </c>
      <c r="C616">
        <v>110</v>
      </c>
      <c r="D616" t="s">
        <v>4</v>
      </c>
      <c r="E616">
        <v>0.20995127999999999</v>
      </c>
      <c r="F616">
        <v>0.20415846000000001</v>
      </c>
      <c r="G616">
        <v>0.19814559000000001</v>
      </c>
      <c r="H616">
        <v>0.19256626499999999</v>
      </c>
      <c r="I616">
        <v>0.18694318500000001</v>
      </c>
      <c r="J616">
        <v>0.178986225</v>
      </c>
      <c r="K616">
        <v>0.16997838000000001</v>
      </c>
      <c r="L616">
        <v>0.17152640999999999</v>
      </c>
      <c r="M616">
        <v>0.17644486500000001</v>
      </c>
      <c r="N616">
        <v>0.18634967999999999</v>
      </c>
      <c r="O616">
        <v>0.19748812499999999</v>
      </c>
      <c r="P616">
        <v>0.20211937499999999</v>
      </c>
      <c r="Q616">
        <v>0.202748715</v>
      </c>
      <c r="R616">
        <v>0.21092679</v>
      </c>
      <c r="S616">
        <v>0.21962177999999999</v>
      </c>
      <c r="T616">
        <v>0.223192575</v>
      </c>
      <c r="U616">
        <v>0.2240193</v>
      </c>
      <c r="V616">
        <v>0.22258278000000001</v>
      </c>
      <c r="W616">
        <v>0.2430351</v>
      </c>
      <c r="X616">
        <v>0.24853905000000001</v>
      </c>
      <c r="Y616">
        <v>0.24663582000000001</v>
      </c>
      <c r="Z616">
        <v>0.23225202</v>
      </c>
      <c r="AA616">
        <v>0.22858500000000001</v>
      </c>
      <c r="AB616">
        <v>0.22337437499999999</v>
      </c>
    </row>
    <row r="617" spans="1:28" hidden="1" x14ac:dyDescent="0.25">
      <c r="A617" t="s">
        <v>74</v>
      </c>
      <c r="B617" t="s">
        <v>106</v>
      </c>
      <c r="C617">
        <v>115</v>
      </c>
      <c r="D617" t="s">
        <v>2</v>
      </c>
      <c r="E617">
        <v>32.892859510000001</v>
      </c>
      <c r="F617">
        <v>31.662091175</v>
      </c>
      <c r="G617">
        <v>30.893606980000001</v>
      </c>
      <c r="H617">
        <v>30.94578834</v>
      </c>
      <c r="I617">
        <v>30.469049325</v>
      </c>
      <c r="J617">
        <v>29.393404700000001</v>
      </c>
      <c r="K617">
        <v>28.106206700000001</v>
      </c>
      <c r="L617">
        <v>26.73510246</v>
      </c>
      <c r="M617">
        <v>26.450825550000001</v>
      </c>
      <c r="N617">
        <v>25.876580400000002</v>
      </c>
      <c r="O617">
        <v>25.740561750000001</v>
      </c>
      <c r="P617">
        <v>26.170258149999999</v>
      </c>
      <c r="Q617">
        <v>26.583474514999999</v>
      </c>
      <c r="R617">
        <v>27.80532466</v>
      </c>
      <c r="S617">
        <v>29.082696299999999</v>
      </c>
      <c r="T617">
        <v>29.713618350000001</v>
      </c>
      <c r="U617">
        <v>29.461212100000001</v>
      </c>
      <c r="V617">
        <v>29.126189960000001</v>
      </c>
      <c r="W617">
        <v>32.340539475</v>
      </c>
      <c r="X617">
        <v>33.714185999999998</v>
      </c>
      <c r="Y617">
        <v>34.936326719999997</v>
      </c>
      <c r="Z617">
        <v>34.471404749999998</v>
      </c>
      <c r="AA617">
        <v>34.646488499999997</v>
      </c>
      <c r="AB617">
        <v>34.165833124999999</v>
      </c>
    </row>
    <row r="618" spans="1:28" hidden="1" x14ac:dyDescent="0.25">
      <c r="A618" t="s">
        <v>74</v>
      </c>
      <c r="B618" t="s">
        <v>106</v>
      </c>
      <c r="C618">
        <v>115</v>
      </c>
      <c r="D618" t="s">
        <v>3</v>
      </c>
      <c r="E618">
        <v>10.423529825899999</v>
      </c>
      <c r="F618">
        <v>10.4034551355</v>
      </c>
      <c r="G618">
        <v>10.265626919400001</v>
      </c>
      <c r="H618">
        <v>10.1483097835</v>
      </c>
      <c r="I618">
        <v>9.8734267807999991</v>
      </c>
      <c r="J618">
        <v>9.2048917678999995</v>
      </c>
      <c r="K618">
        <v>8.7997250343999998</v>
      </c>
      <c r="L618">
        <v>8.8205638944999993</v>
      </c>
      <c r="M618">
        <v>8.6977199027999994</v>
      </c>
      <c r="N618">
        <v>8.5354845772000001</v>
      </c>
      <c r="O618">
        <v>8.5106466092000002</v>
      </c>
      <c r="P618">
        <v>8.5431001406</v>
      </c>
      <c r="Q618">
        <v>8.6028745465000007</v>
      </c>
      <c r="R618">
        <v>8.9372815897999995</v>
      </c>
      <c r="S618">
        <v>9.4564600270000003</v>
      </c>
      <c r="T618">
        <v>9.6083787724</v>
      </c>
      <c r="U618">
        <v>9.5563407782999992</v>
      </c>
      <c r="V618">
        <v>9.3607884213000006</v>
      </c>
      <c r="W618">
        <v>9.8638586537999995</v>
      </c>
      <c r="X618">
        <v>10.140611740100001</v>
      </c>
      <c r="Y618">
        <v>10.4046577907</v>
      </c>
      <c r="Z618">
        <v>10.1353963904</v>
      </c>
      <c r="AA618">
        <v>10.5606809083</v>
      </c>
      <c r="AB618">
        <v>10.7733142673</v>
      </c>
    </row>
    <row r="619" spans="1:28" hidden="1" x14ac:dyDescent="0.25">
      <c r="A619" t="s">
        <v>74</v>
      </c>
      <c r="B619" t="s">
        <v>106</v>
      </c>
      <c r="C619">
        <v>115</v>
      </c>
      <c r="D619" t="s">
        <v>4</v>
      </c>
      <c r="E619">
        <v>0.50090648999999998</v>
      </c>
      <c r="F619">
        <v>0.48216382499999999</v>
      </c>
      <c r="G619">
        <v>0.47046102000000001</v>
      </c>
      <c r="H619">
        <v>0.47125566000000002</v>
      </c>
      <c r="I619">
        <v>0.463995675</v>
      </c>
      <c r="J619">
        <v>0.44761529999999999</v>
      </c>
      <c r="K619">
        <v>0.42801329999999999</v>
      </c>
      <c r="L619">
        <v>0.40713354000000002</v>
      </c>
      <c r="M619">
        <v>0.40280444999999998</v>
      </c>
      <c r="N619">
        <v>0.39405960000000001</v>
      </c>
      <c r="O619">
        <v>0.39198824999999998</v>
      </c>
      <c r="P619">
        <v>0.39853185000000002</v>
      </c>
      <c r="Q619">
        <v>0.40482448500000001</v>
      </c>
      <c r="R619">
        <v>0.42343133999999999</v>
      </c>
      <c r="S619">
        <v>0.44288369999999999</v>
      </c>
      <c r="T619">
        <v>0.45249165000000002</v>
      </c>
      <c r="U619">
        <v>0.44864789999999999</v>
      </c>
      <c r="V619">
        <v>0.44354603999999997</v>
      </c>
      <c r="W619">
        <v>0.49249552499999999</v>
      </c>
      <c r="X619">
        <v>0.51341400000000004</v>
      </c>
      <c r="Y619">
        <v>0.53202528000000004</v>
      </c>
      <c r="Z619">
        <v>0.52494525000000003</v>
      </c>
      <c r="AA619">
        <v>0.52761150000000001</v>
      </c>
      <c r="AB619">
        <v>0.52029187499999996</v>
      </c>
    </row>
    <row r="620" spans="1:28" hidden="1" x14ac:dyDescent="0.25">
      <c r="A620" t="s">
        <v>74</v>
      </c>
      <c r="B620" t="s">
        <v>107</v>
      </c>
      <c r="C620">
        <v>110</v>
      </c>
      <c r="D620" t="s">
        <v>2</v>
      </c>
      <c r="E620">
        <v>32.340790650000002</v>
      </c>
      <c r="F620">
        <v>31.560307184999999</v>
      </c>
      <c r="G620">
        <v>30.752023080000001</v>
      </c>
      <c r="H620">
        <v>30.178365974999998</v>
      </c>
      <c r="I620">
        <v>29.504365934999999</v>
      </c>
      <c r="J620">
        <v>28.069259349999999</v>
      </c>
      <c r="K620">
        <v>26.463837399999999</v>
      </c>
      <c r="L620">
        <v>25.918901909999999</v>
      </c>
      <c r="M620">
        <v>25.275902774999999</v>
      </c>
      <c r="N620">
        <v>24.340914179999999</v>
      </c>
      <c r="O620">
        <v>24.508105125</v>
      </c>
      <c r="P620">
        <v>25.102211815</v>
      </c>
      <c r="Q620">
        <v>25.491348869999999</v>
      </c>
      <c r="R620">
        <v>26.46491893</v>
      </c>
      <c r="S620">
        <v>27.462564359999998</v>
      </c>
      <c r="T620">
        <v>27.788849549999998</v>
      </c>
      <c r="U620">
        <v>27.527361599999999</v>
      </c>
      <c r="V620">
        <v>27.437907840000001</v>
      </c>
      <c r="W620">
        <v>30.593602574999998</v>
      </c>
      <c r="X620">
        <v>32.296657725000003</v>
      </c>
      <c r="Y620">
        <v>33.758168220000002</v>
      </c>
      <c r="Z620">
        <v>33.861965550000001</v>
      </c>
      <c r="AA620">
        <v>34.715413875000003</v>
      </c>
      <c r="AB620">
        <v>34.240939375000004</v>
      </c>
    </row>
    <row r="621" spans="1:28" hidden="1" x14ac:dyDescent="0.25">
      <c r="A621" t="s">
        <v>74</v>
      </c>
      <c r="B621" t="s">
        <v>107</v>
      </c>
      <c r="C621">
        <v>110</v>
      </c>
      <c r="D621" t="s">
        <v>3</v>
      </c>
      <c r="E621">
        <v>10.124335051799999</v>
      </c>
      <c r="F621">
        <v>9.9644146778000007</v>
      </c>
      <c r="G621">
        <v>9.7204457043999994</v>
      </c>
      <c r="H621">
        <v>9.4229607302999998</v>
      </c>
      <c r="I621">
        <v>8.9600740583</v>
      </c>
      <c r="J621">
        <v>8.0235394122999999</v>
      </c>
      <c r="K621">
        <v>7.2124185927999998</v>
      </c>
      <c r="L621">
        <v>6.8722833580999998</v>
      </c>
      <c r="M621">
        <v>6.6328988624000003</v>
      </c>
      <c r="N621">
        <v>6.5428488722999996</v>
      </c>
      <c r="O621">
        <v>6.6954115792</v>
      </c>
      <c r="P621">
        <v>6.8587400193999999</v>
      </c>
      <c r="Q621">
        <v>6.9640256364999997</v>
      </c>
      <c r="R621">
        <v>7.5231888768999999</v>
      </c>
      <c r="S621">
        <v>7.8943360337000001</v>
      </c>
      <c r="T621">
        <v>7.9957495563999998</v>
      </c>
      <c r="U621">
        <v>7.9334382149999998</v>
      </c>
      <c r="V621">
        <v>7.6764690476000004</v>
      </c>
      <c r="W621">
        <v>8.2765144747000008</v>
      </c>
      <c r="X621">
        <v>8.7199759402999995</v>
      </c>
      <c r="Y621">
        <v>9.2100561351000003</v>
      </c>
      <c r="Z621">
        <v>9.3648614676000008</v>
      </c>
      <c r="AA621">
        <v>10.1078282649</v>
      </c>
      <c r="AB621">
        <v>10.3029375816</v>
      </c>
    </row>
    <row r="622" spans="1:28" hidden="1" x14ac:dyDescent="0.25">
      <c r="A622" t="s">
        <v>74</v>
      </c>
      <c r="B622" t="s">
        <v>107</v>
      </c>
      <c r="C622">
        <v>110</v>
      </c>
      <c r="D622" t="s">
        <v>4</v>
      </c>
      <c r="E622">
        <v>0.49249935</v>
      </c>
      <c r="F622">
        <v>0.480613815</v>
      </c>
      <c r="G622">
        <v>0.46830492000000001</v>
      </c>
      <c r="H622">
        <v>0.45956902500000002</v>
      </c>
      <c r="I622">
        <v>0.449305065</v>
      </c>
      <c r="J622">
        <v>0.42745064999999999</v>
      </c>
      <c r="K622">
        <v>0.40300259999999999</v>
      </c>
      <c r="L622">
        <v>0.39470409000000001</v>
      </c>
      <c r="M622">
        <v>0.384912225</v>
      </c>
      <c r="N622">
        <v>0.37067381999999999</v>
      </c>
      <c r="O622">
        <v>0.37321987499999998</v>
      </c>
      <c r="P622">
        <v>0.38226718500000001</v>
      </c>
      <c r="Q622">
        <v>0.38819313</v>
      </c>
      <c r="R622">
        <v>0.40301906999999998</v>
      </c>
      <c r="S622">
        <v>0.41821164</v>
      </c>
      <c r="T622">
        <v>0.42318044999999999</v>
      </c>
      <c r="U622">
        <v>0.41919840000000003</v>
      </c>
      <c r="V622">
        <v>0.41783616000000001</v>
      </c>
      <c r="W622">
        <v>0.465892425</v>
      </c>
      <c r="X622">
        <v>0.49182727500000001</v>
      </c>
      <c r="Y622">
        <v>0.51408377999999999</v>
      </c>
      <c r="Z622">
        <v>0.51566445000000005</v>
      </c>
      <c r="AA622">
        <v>0.52866112499999995</v>
      </c>
      <c r="AB622">
        <v>0.52143562499999996</v>
      </c>
    </row>
    <row r="623" spans="1:28" hidden="1" x14ac:dyDescent="0.25">
      <c r="A623" t="s">
        <v>74</v>
      </c>
      <c r="B623" t="s">
        <v>108</v>
      </c>
      <c r="C623">
        <v>110</v>
      </c>
      <c r="D623" t="s">
        <v>2</v>
      </c>
      <c r="E623">
        <v>31.10236591</v>
      </c>
      <c r="F623">
        <v>30.309818164999999</v>
      </c>
      <c r="G623">
        <v>29.541480735</v>
      </c>
      <c r="H623">
        <v>28.98229328</v>
      </c>
      <c r="I623">
        <v>28.451366459999999</v>
      </c>
      <c r="J623">
        <v>27.564510875</v>
      </c>
      <c r="K623">
        <v>26.253118319999999</v>
      </c>
      <c r="L623">
        <v>25.779845519999999</v>
      </c>
      <c r="M623">
        <v>25.275902774999999</v>
      </c>
      <c r="N623">
        <v>24.745991490000002</v>
      </c>
      <c r="O623">
        <v>25.335874499999999</v>
      </c>
      <c r="P623">
        <v>25.914176865000002</v>
      </c>
      <c r="Q623">
        <v>26.23626694</v>
      </c>
      <c r="R623">
        <v>26.957048570000001</v>
      </c>
      <c r="S623">
        <v>27.82111815</v>
      </c>
      <c r="T623">
        <v>28.136377249999999</v>
      </c>
      <c r="U623">
        <v>27.880789450000002</v>
      </c>
      <c r="V623">
        <v>27.624017680000001</v>
      </c>
      <c r="W623">
        <v>30.549188924999999</v>
      </c>
      <c r="X623">
        <v>31.813931879999998</v>
      </c>
      <c r="Y623">
        <v>32.839204590000001</v>
      </c>
      <c r="Z623">
        <v>32.361221520000001</v>
      </c>
      <c r="AA623">
        <v>33.107155124999998</v>
      </c>
      <c r="AB623">
        <v>32.716282499999998</v>
      </c>
    </row>
    <row r="624" spans="1:28" hidden="1" x14ac:dyDescent="0.25">
      <c r="A624" t="s">
        <v>74</v>
      </c>
      <c r="B624" t="s">
        <v>108</v>
      </c>
      <c r="C624">
        <v>110</v>
      </c>
      <c r="D624" t="s">
        <v>3</v>
      </c>
      <c r="E624">
        <v>9.4020351553000001</v>
      </c>
      <c r="F624">
        <v>9.2909620313999994</v>
      </c>
      <c r="G624">
        <v>9.1236188327000001</v>
      </c>
      <c r="H624">
        <v>8.9724166462999992</v>
      </c>
      <c r="I624">
        <v>8.7721519544</v>
      </c>
      <c r="J624">
        <v>8.2049941236000006</v>
      </c>
      <c r="K624">
        <v>7.6092280742999998</v>
      </c>
      <c r="L624">
        <v>7.5021232933000004</v>
      </c>
      <c r="M624">
        <v>7.3829069366000004</v>
      </c>
      <c r="N624">
        <v>7.2443938440000002</v>
      </c>
      <c r="O624">
        <v>7.3107610136999996</v>
      </c>
      <c r="P624">
        <v>7.4451770307</v>
      </c>
      <c r="Q624">
        <v>7.4799431309999997</v>
      </c>
      <c r="R624">
        <v>7.9104149859000001</v>
      </c>
      <c r="S624">
        <v>8.3068253200999997</v>
      </c>
      <c r="T624">
        <v>8.4426509620000001</v>
      </c>
      <c r="U624">
        <v>8.3405515216000001</v>
      </c>
      <c r="V624">
        <v>8.0901383821999993</v>
      </c>
      <c r="W624">
        <v>8.4301581964000007</v>
      </c>
      <c r="X624">
        <v>8.6926000531999996</v>
      </c>
      <c r="Y624">
        <v>8.8759189194000001</v>
      </c>
      <c r="Z624">
        <v>8.8658626224999999</v>
      </c>
      <c r="AA624">
        <v>9.4662172639000008</v>
      </c>
      <c r="AB624">
        <v>9.6608640133999995</v>
      </c>
    </row>
    <row r="625" spans="1:28" hidden="1" x14ac:dyDescent="0.25">
      <c r="A625" t="s">
        <v>74</v>
      </c>
      <c r="B625" t="s">
        <v>108</v>
      </c>
      <c r="C625">
        <v>110</v>
      </c>
      <c r="D625" t="s">
        <v>4</v>
      </c>
      <c r="E625">
        <v>0.47364009000000001</v>
      </c>
      <c r="F625">
        <v>0.46157083500000001</v>
      </c>
      <c r="G625">
        <v>0.44987026499999999</v>
      </c>
      <c r="H625">
        <v>0.44135471999999998</v>
      </c>
      <c r="I625">
        <v>0.43326954000000001</v>
      </c>
      <c r="J625">
        <v>0.41976412499999999</v>
      </c>
      <c r="K625">
        <v>0.39979367999999998</v>
      </c>
      <c r="L625">
        <v>0.39258648000000002</v>
      </c>
      <c r="M625">
        <v>0.384912225</v>
      </c>
      <c r="N625">
        <v>0.37684251000000002</v>
      </c>
      <c r="O625">
        <v>0.38582549999999999</v>
      </c>
      <c r="P625">
        <v>0.394632135</v>
      </c>
      <c r="Q625">
        <v>0.39953706</v>
      </c>
      <c r="R625">
        <v>0.41051343000000001</v>
      </c>
      <c r="S625">
        <v>0.42367185000000002</v>
      </c>
      <c r="T625">
        <v>0.42847275000000001</v>
      </c>
      <c r="U625">
        <v>0.42458055</v>
      </c>
      <c r="V625">
        <v>0.42067031999999999</v>
      </c>
      <c r="W625">
        <v>0.46521607500000001</v>
      </c>
      <c r="X625">
        <v>0.48447612000000001</v>
      </c>
      <c r="Y625">
        <v>0.50008940999999996</v>
      </c>
      <c r="Z625">
        <v>0.49281048</v>
      </c>
      <c r="AA625">
        <v>0.50416987499999999</v>
      </c>
      <c r="AB625">
        <v>0.49821749999999998</v>
      </c>
    </row>
    <row r="626" spans="1:28" hidden="1" x14ac:dyDescent="0.25">
      <c r="A626" t="s">
        <v>109</v>
      </c>
      <c r="B626" t="s">
        <v>110</v>
      </c>
      <c r="C626">
        <v>115</v>
      </c>
      <c r="D626" t="s">
        <v>2</v>
      </c>
      <c r="E626">
        <v>4.8440280749999998</v>
      </c>
      <c r="F626">
        <v>4.5889248949999999</v>
      </c>
      <c r="G626">
        <v>4.2592099350000003</v>
      </c>
      <c r="H626">
        <v>4.0260939249999996</v>
      </c>
      <c r="I626">
        <v>3.8314589099999998</v>
      </c>
      <c r="J626">
        <v>3.4471158499999999</v>
      </c>
      <c r="K626">
        <v>3.6433879349999998</v>
      </c>
      <c r="L626">
        <v>4.17618724</v>
      </c>
      <c r="M626">
        <v>4.9100004200000003</v>
      </c>
      <c r="N626">
        <v>5.5176626799999999</v>
      </c>
      <c r="O626">
        <v>5.8064282350000003</v>
      </c>
      <c r="P626">
        <v>6.255068155</v>
      </c>
      <c r="Q626">
        <v>6.3623218499999998</v>
      </c>
      <c r="R626">
        <v>5.9430940300000001</v>
      </c>
      <c r="S626">
        <v>6.1822608949999998</v>
      </c>
      <c r="T626">
        <v>6.3082660349999999</v>
      </c>
      <c r="U626">
        <v>6.0124971299999999</v>
      </c>
      <c r="V626">
        <v>6.01590326</v>
      </c>
      <c r="W626">
        <v>7.0318293049999996</v>
      </c>
      <c r="X626">
        <v>7.5905410050000004</v>
      </c>
      <c r="Y626">
        <v>7.2516783499999997</v>
      </c>
      <c r="Z626">
        <v>6.6481639250000004</v>
      </c>
      <c r="AA626">
        <v>5.97941886</v>
      </c>
      <c r="AB626">
        <v>5.1920492600000001</v>
      </c>
    </row>
    <row r="627" spans="1:28" hidden="1" x14ac:dyDescent="0.25">
      <c r="A627" t="s">
        <v>109</v>
      </c>
      <c r="B627" t="s">
        <v>110</v>
      </c>
      <c r="C627">
        <v>115</v>
      </c>
      <c r="D627" t="s">
        <v>3</v>
      </c>
      <c r="E627">
        <v>2.1862169092000001</v>
      </c>
      <c r="F627">
        <v>2.128438702</v>
      </c>
      <c r="G627">
        <v>2.0228510132999999</v>
      </c>
      <c r="H627">
        <v>1.9459334583000001</v>
      </c>
      <c r="I627">
        <v>1.7828596642000001</v>
      </c>
      <c r="J627">
        <v>1.5739641794999999</v>
      </c>
      <c r="K627">
        <v>1.8180996807000001</v>
      </c>
      <c r="L627">
        <v>1.9439915679999999</v>
      </c>
      <c r="M627">
        <v>2.2828871198999998</v>
      </c>
      <c r="N627">
        <v>2.3306751650000002</v>
      </c>
      <c r="O627">
        <v>2.8338539705999999</v>
      </c>
      <c r="P627">
        <v>2.8495288687000002</v>
      </c>
      <c r="Q627">
        <v>2.9731704992000001</v>
      </c>
      <c r="R627">
        <v>2.9151353488999998</v>
      </c>
      <c r="S627">
        <v>3.0588732152000002</v>
      </c>
      <c r="T627">
        <v>3.0548753405000002</v>
      </c>
      <c r="U627">
        <v>2.9362936935000001</v>
      </c>
      <c r="V627">
        <v>2.6806756399</v>
      </c>
      <c r="W627">
        <v>2.6925168887000002</v>
      </c>
      <c r="X627">
        <v>2.8254243091000002</v>
      </c>
      <c r="Y627">
        <v>2.6921832667999999</v>
      </c>
      <c r="Z627">
        <v>2.5353645772000002</v>
      </c>
      <c r="AA627">
        <v>2.4434880364999998</v>
      </c>
      <c r="AB627">
        <v>2.1525167359999999</v>
      </c>
    </row>
    <row r="628" spans="1:28" hidden="1" x14ac:dyDescent="0.25">
      <c r="A628" t="s">
        <v>109</v>
      </c>
      <c r="B628" t="s">
        <v>110</v>
      </c>
      <c r="C628">
        <v>115</v>
      </c>
      <c r="D628" t="s">
        <v>4</v>
      </c>
      <c r="E628">
        <v>7.3766924999999997E-2</v>
      </c>
      <c r="F628">
        <v>6.9882105E-2</v>
      </c>
      <c r="G628">
        <v>6.4861064999999996E-2</v>
      </c>
      <c r="H628">
        <v>6.1311075E-2</v>
      </c>
      <c r="I628">
        <v>5.8347089999999997E-2</v>
      </c>
      <c r="J628">
        <v>5.2494150000000003E-2</v>
      </c>
      <c r="K628">
        <v>5.5483064999999998E-2</v>
      </c>
      <c r="L628">
        <v>6.3596760000000002E-2</v>
      </c>
      <c r="M628">
        <v>7.4771580000000004E-2</v>
      </c>
      <c r="N628">
        <v>8.4025320000000001E-2</v>
      </c>
      <c r="O628">
        <v>8.8422765E-2</v>
      </c>
      <c r="P628">
        <v>9.5254845000000005E-2</v>
      </c>
      <c r="Q628">
        <v>9.6888150000000006E-2</v>
      </c>
      <c r="R628">
        <v>9.0503970000000003E-2</v>
      </c>
      <c r="S628">
        <v>9.4146104999999994E-2</v>
      </c>
      <c r="T628">
        <v>9.6064965000000002E-2</v>
      </c>
      <c r="U628">
        <v>9.1560870000000003E-2</v>
      </c>
      <c r="V628">
        <v>9.1612739999999998E-2</v>
      </c>
      <c r="W628">
        <v>0.10708369500000001</v>
      </c>
      <c r="X628">
        <v>0.115591995</v>
      </c>
      <c r="Y628">
        <v>0.11043165000000001</v>
      </c>
      <c r="Z628">
        <v>0.101241075</v>
      </c>
      <c r="AA628">
        <v>9.1057139999999995E-2</v>
      </c>
      <c r="AB628">
        <v>7.9066739999999996E-2</v>
      </c>
    </row>
    <row r="629" spans="1:28" hidden="1" x14ac:dyDescent="0.25">
      <c r="A629" t="s">
        <v>109</v>
      </c>
      <c r="B629" t="s">
        <v>111</v>
      </c>
      <c r="C629">
        <v>115</v>
      </c>
      <c r="D629" t="s">
        <v>2</v>
      </c>
      <c r="E629">
        <v>4.2744853149999997</v>
      </c>
      <c r="F629">
        <v>4.0467749849999999</v>
      </c>
      <c r="G629">
        <v>3.9017593449999999</v>
      </c>
      <c r="H629">
        <v>3.8237256749999999</v>
      </c>
      <c r="I629">
        <v>3.8425096249999999</v>
      </c>
      <c r="J629">
        <v>4.2866983300000001</v>
      </c>
      <c r="K629">
        <v>4.3157784850000001</v>
      </c>
      <c r="L629">
        <v>4.7290234150000003</v>
      </c>
      <c r="M629">
        <v>5.2777787350000001</v>
      </c>
      <c r="N629">
        <v>5.6614253999999997</v>
      </c>
      <c r="O629">
        <v>6.0111082800000002</v>
      </c>
      <c r="P629">
        <v>6.2866738499999997</v>
      </c>
      <c r="Q629">
        <v>6.3957478249999999</v>
      </c>
      <c r="R629">
        <v>6.076755575</v>
      </c>
      <c r="S629">
        <v>6.1689210399999999</v>
      </c>
      <c r="T629">
        <v>6.5178444850000004</v>
      </c>
      <c r="U629">
        <v>6.7528901100000001</v>
      </c>
      <c r="V629">
        <v>6.8661158599999998</v>
      </c>
      <c r="W629">
        <v>8.1764012749999999</v>
      </c>
      <c r="X629">
        <v>8.6528585800000002</v>
      </c>
      <c r="Y629">
        <v>7.7964197950000003</v>
      </c>
      <c r="Z629">
        <v>6.6945968249999996</v>
      </c>
      <c r="AA629">
        <v>5.8217548350000001</v>
      </c>
      <c r="AB629">
        <v>4.8296638200000004</v>
      </c>
    </row>
    <row r="630" spans="1:28" hidden="1" x14ac:dyDescent="0.25">
      <c r="A630" t="s">
        <v>109</v>
      </c>
      <c r="B630" t="s">
        <v>111</v>
      </c>
      <c r="C630">
        <v>115</v>
      </c>
      <c r="D630" t="s">
        <v>3</v>
      </c>
      <c r="E630">
        <v>3.1379016380000002</v>
      </c>
      <c r="F630">
        <v>2.9928436763000001</v>
      </c>
      <c r="G630">
        <v>2.8600218981999999</v>
      </c>
      <c r="H630">
        <v>3.1141677859999999</v>
      </c>
      <c r="I630">
        <v>2.8187895853999998</v>
      </c>
      <c r="J630">
        <v>2.3717587485</v>
      </c>
      <c r="K630">
        <v>2.6389187257</v>
      </c>
      <c r="L630">
        <v>2.8578116287999999</v>
      </c>
      <c r="M630">
        <v>3.1135990448999999</v>
      </c>
      <c r="N630">
        <v>3.3756345779000001</v>
      </c>
      <c r="O630">
        <v>3.4473390857999999</v>
      </c>
      <c r="P630">
        <v>3.5050798488999999</v>
      </c>
      <c r="Q630">
        <v>3.6940432724000001</v>
      </c>
      <c r="R630">
        <v>3.4929389407999998</v>
      </c>
      <c r="S630">
        <v>3.4553589451</v>
      </c>
      <c r="T630">
        <v>3.5856231583999998</v>
      </c>
      <c r="U630">
        <v>3.7198539475999999</v>
      </c>
      <c r="V630">
        <v>3.4625086638</v>
      </c>
      <c r="W630">
        <v>3.2438521323999998</v>
      </c>
      <c r="X630">
        <v>3.3218101094999999</v>
      </c>
      <c r="Y630">
        <v>3.2643528364000001</v>
      </c>
      <c r="Z630">
        <v>2.944730335</v>
      </c>
      <c r="AA630">
        <v>3.0519132340000001</v>
      </c>
      <c r="AB630">
        <v>2.9742391382000002</v>
      </c>
    </row>
    <row r="631" spans="1:28" hidden="1" x14ac:dyDescent="0.25">
      <c r="A631" t="s">
        <v>109</v>
      </c>
      <c r="B631" t="s">
        <v>111</v>
      </c>
      <c r="C631">
        <v>115</v>
      </c>
      <c r="D631" t="s">
        <v>4</v>
      </c>
      <c r="E631">
        <v>6.5093684999999998E-2</v>
      </c>
      <c r="F631">
        <v>6.1626014999999999E-2</v>
      </c>
      <c r="G631">
        <v>5.9417655E-2</v>
      </c>
      <c r="H631">
        <v>5.8229324999999998E-2</v>
      </c>
      <c r="I631">
        <v>5.8515375000000001E-2</v>
      </c>
      <c r="J631">
        <v>6.5279669999999998E-2</v>
      </c>
      <c r="K631">
        <v>6.5722514999999995E-2</v>
      </c>
      <c r="L631">
        <v>7.2015584999999993E-2</v>
      </c>
      <c r="M631">
        <v>8.0372264999999998E-2</v>
      </c>
      <c r="N631">
        <v>8.6214600000000002E-2</v>
      </c>
      <c r="O631">
        <v>9.1539720000000005E-2</v>
      </c>
      <c r="P631">
        <v>9.5736150000000006E-2</v>
      </c>
      <c r="Q631">
        <v>9.7397175000000002E-2</v>
      </c>
      <c r="R631">
        <v>9.2539424999999995E-2</v>
      </c>
      <c r="S631">
        <v>9.3942960000000006E-2</v>
      </c>
      <c r="T631">
        <v>9.9256515000000003E-2</v>
      </c>
      <c r="U631">
        <v>0.10283589</v>
      </c>
      <c r="V631">
        <v>0.10456014</v>
      </c>
      <c r="W631">
        <v>0.12451372500000001</v>
      </c>
      <c r="X631">
        <v>0.13176942</v>
      </c>
      <c r="Y631">
        <v>0.118727205</v>
      </c>
      <c r="Z631">
        <v>0.101948175</v>
      </c>
      <c r="AA631">
        <v>8.8656164999999995E-2</v>
      </c>
      <c r="AB631">
        <v>7.3548180000000005E-2</v>
      </c>
    </row>
    <row r="632" spans="1:28" hidden="1" x14ac:dyDescent="0.25">
      <c r="A632" t="s">
        <v>0</v>
      </c>
      <c r="B632" t="s">
        <v>1</v>
      </c>
      <c r="C632">
        <v>115</v>
      </c>
      <c r="D632" t="s">
        <v>2</v>
      </c>
      <c r="E632">
        <v>11.302210125</v>
      </c>
      <c r="F632">
        <v>10.790328280000001</v>
      </c>
      <c r="G632">
        <v>10.602277004999999</v>
      </c>
      <c r="H632">
        <v>10.226189229999999</v>
      </c>
      <c r="I632">
        <v>10.51834811</v>
      </c>
      <c r="J632">
        <v>11.211022764999999</v>
      </c>
      <c r="K632">
        <v>11.81177722</v>
      </c>
      <c r="L632">
        <v>13.217769175000001</v>
      </c>
      <c r="M632">
        <v>14.365251819999999</v>
      </c>
      <c r="N632">
        <v>14.623118910000001</v>
      </c>
      <c r="O632">
        <v>15.88768949</v>
      </c>
      <c r="P632">
        <v>16.999301389999999</v>
      </c>
      <c r="Q632">
        <v>16.531084594999999</v>
      </c>
      <c r="R632">
        <v>16.090081380000001</v>
      </c>
      <c r="S632">
        <v>16.818831660000001</v>
      </c>
      <c r="T632">
        <v>17.026185980000001</v>
      </c>
      <c r="U632">
        <v>16.91256426</v>
      </c>
      <c r="V632">
        <v>17.17005705</v>
      </c>
      <c r="W632">
        <v>19.483355159999999</v>
      </c>
      <c r="X632">
        <v>19.080002584999999</v>
      </c>
      <c r="Y632">
        <v>17.864653440000001</v>
      </c>
      <c r="Z632">
        <v>15.229328295</v>
      </c>
      <c r="AA632">
        <v>13.225010895</v>
      </c>
      <c r="AB632">
        <v>11.936161050000001</v>
      </c>
    </row>
    <row r="633" spans="1:28" hidden="1" x14ac:dyDescent="0.25">
      <c r="A633" t="s">
        <v>0</v>
      </c>
      <c r="B633" t="s">
        <v>1</v>
      </c>
      <c r="C633">
        <v>115</v>
      </c>
      <c r="D633" t="s">
        <v>3</v>
      </c>
      <c r="E633">
        <v>0.49039842039999998</v>
      </c>
      <c r="F633">
        <v>0.64285583239999999</v>
      </c>
      <c r="G633">
        <v>0.64929869610000002</v>
      </c>
      <c r="H633">
        <v>0.67945026050000001</v>
      </c>
      <c r="I633">
        <v>0.57676271310000005</v>
      </c>
      <c r="J633">
        <v>0.41365344879999999</v>
      </c>
      <c r="K633">
        <v>0.86812805940000004</v>
      </c>
      <c r="L633">
        <v>1.6606293516999999</v>
      </c>
      <c r="M633">
        <v>1.8940027181000001</v>
      </c>
      <c r="N633">
        <v>2.5336173109</v>
      </c>
      <c r="O633">
        <v>3.3943734654000002</v>
      </c>
      <c r="P633">
        <v>3.8596731333999998</v>
      </c>
      <c r="Q633">
        <v>3.6250833845999999</v>
      </c>
      <c r="R633">
        <v>3.7199634474000001</v>
      </c>
      <c r="S633">
        <v>3.9354019669000002</v>
      </c>
      <c r="T633">
        <v>3.9902220935999999</v>
      </c>
      <c r="U633">
        <v>3.7499178293000002</v>
      </c>
      <c r="V633">
        <v>3.7458366065000002</v>
      </c>
      <c r="W633">
        <v>3.9501433359</v>
      </c>
      <c r="X633">
        <v>3.1613329709000002</v>
      </c>
      <c r="Y633">
        <v>2.3033942439000001</v>
      </c>
      <c r="Z633">
        <v>1.5240439916999999</v>
      </c>
      <c r="AA633">
        <v>0.69802619340000005</v>
      </c>
      <c r="AB633">
        <v>0.4136669201</v>
      </c>
    </row>
    <row r="634" spans="1:28" hidden="1" x14ac:dyDescent="0.25">
      <c r="A634" t="s">
        <v>0</v>
      </c>
      <c r="B634" t="s">
        <v>1</v>
      </c>
      <c r="C634">
        <v>115</v>
      </c>
      <c r="D634" t="s">
        <v>4</v>
      </c>
      <c r="E634">
        <v>0.172114875</v>
      </c>
      <c r="F634">
        <v>0.16431972</v>
      </c>
      <c r="G634">
        <v>0.16145599499999999</v>
      </c>
      <c r="H634">
        <v>0.15572876999999999</v>
      </c>
      <c r="I634">
        <v>0.16017788999999999</v>
      </c>
      <c r="J634">
        <v>0.170726235</v>
      </c>
      <c r="K634">
        <v>0.17987478000000001</v>
      </c>
      <c r="L634">
        <v>0.201285825</v>
      </c>
      <c r="M634">
        <v>0.21876018</v>
      </c>
      <c r="N634">
        <v>0.22268709</v>
      </c>
      <c r="O634">
        <v>0.24194451</v>
      </c>
      <c r="P634">
        <v>0.25887261</v>
      </c>
      <c r="Q634">
        <v>0.251742405</v>
      </c>
      <c r="R634">
        <v>0.24502662</v>
      </c>
      <c r="S634">
        <v>0.25612434000000001</v>
      </c>
      <c r="T634">
        <v>0.25928202</v>
      </c>
      <c r="U634">
        <v>0.25755173999999997</v>
      </c>
      <c r="V634">
        <v>0.26147294999999998</v>
      </c>
      <c r="W634">
        <v>0.29670084000000002</v>
      </c>
      <c r="X634">
        <v>0.29055841500000001</v>
      </c>
      <c r="Y634">
        <v>0.27205056</v>
      </c>
      <c r="Z634">
        <v>0.231918705</v>
      </c>
      <c r="AA634">
        <v>0.20139610499999999</v>
      </c>
      <c r="AB634">
        <v>0.18176895000000001</v>
      </c>
    </row>
    <row r="635" spans="1:28" hidden="1" x14ac:dyDescent="0.25">
      <c r="A635" t="s">
        <v>0</v>
      </c>
      <c r="B635" t="s">
        <v>5</v>
      </c>
      <c r="C635">
        <v>115</v>
      </c>
      <c r="D635" t="s">
        <v>2</v>
      </c>
      <c r="E635">
        <v>18.793678844999999</v>
      </c>
      <c r="F635">
        <v>17.993090545000001</v>
      </c>
      <c r="G635">
        <v>17.609523665000001</v>
      </c>
      <c r="H635">
        <v>16.984148149999999</v>
      </c>
      <c r="I635">
        <v>17.266071895</v>
      </c>
      <c r="J635">
        <v>18.665916464999999</v>
      </c>
      <c r="K635">
        <v>19.53166744</v>
      </c>
      <c r="L635">
        <v>22.113467685</v>
      </c>
      <c r="M635">
        <v>25.202995045000002</v>
      </c>
      <c r="N635">
        <v>26.440368790000001</v>
      </c>
      <c r="O635">
        <v>28.266859215</v>
      </c>
      <c r="P635">
        <v>29.696945254999999</v>
      </c>
      <c r="Q635">
        <v>29.107159759999998</v>
      </c>
      <c r="R635">
        <v>29.589231564999999</v>
      </c>
      <c r="S635">
        <v>31.949782095</v>
      </c>
      <c r="T635">
        <v>32.702728899999997</v>
      </c>
      <c r="U635">
        <v>32.376523495000001</v>
      </c>
      <c r="V635">
        <v>30.523220384999998</v>
      </c>
      <c r="W635">
        <v>31.974150009999999</v>
      </c>
      <c r="X635">
        <v>31.728194524999999</v>
      </c>
      <c r="Y635">
        <v>29.89413733</v>
      </c>
      <c r="Z635">
        <v>26.361540224999999</v>
      </c>
      <c r="AA635">
        <v>22.835987840000001</v>
      </c>
      <c r="AB635">
        <v>20.804221445</v>
      </c>
    </row>
    <row r="636" spans="1:28" hidden="1" x14ac:dyDescent="0.25">
      <c r="A636" t="s">
        <v>0</v>
      </c>
      <c r="B636" t="s">
        <v>5</v>
      </c>
      <c r="C636">
        <v>115</v>
      </c>
      <c r="D636" t="s">
        <v>3</v>
      </c>
      <c r="E636">
        <v>6.2997067536999998</v>
      </c>
      <c r="F636">
        <v>6.1570201514000003</v>
      </c>
      <c r="G636">
        <v>6.1152397910999996</v>
      </c>
      <c r="H636">
        <v>5.8660987152999997</v>
      </c>
      <c r="I636">
        <v>5.8634452887000004</v>
      </c>
      <c r="J636">
        <v>6.1404872682000002</v>
      </c>
      <c r="K636">
        <v>7.1426925650999999</v>
      </c>
      <c r="L636">
        <v>8.5317150090999991</v>
      </c>
      <c r="M636">
        <v>9.7051901395000009</v>
      </c>
      <c r="N636">
        <v>10.5915587238</v>
      </c>
      <c r="O636">
        <v>11.2135222668</v>
      </c>
      <c r="P636">
        <v>11.6038823204</v>
      </c>
      <c r="Q636">
        <v>11.7649227932</v>
      </c>
      <c r="R636">
        <v>11.815969027</v>
      </c>
      <c r="S636">
        <v>12.7735942637</v>
      </c>
      <c r="T636">
        <v>13.0817750208</v>
      </c>
      <c r="U636">
        <v>12.808238916400001</v>
      </c>
      <c r="V636">
        <v>11.552901332299999</v>
      </c>
      <c r="W636">
        <v>10.6864806938</v>
      </c>
      <c r="X636">
        <v>10.193607288600001</v>
      </c>
      <c r="Y636">
        <v>9.1702356366999993</v>
      </c>
      <c r="Z636">
        <v>8.5348359093999999</v>
      </c>
      <c r="AA636">
        <v>7.5438445046</v>
      </c>
      <c r="AB636">
        <v>7.7954433936000003</v>
      </c>
    </row>
    <row r="637" spans="1:28" hidden="1" x14ac:dyDescent="0.25">
      <c r="A637" t="s">
        <v>0</v>
      </c>
      <c r="B637" t="s">
        <v>5</v>
      </c>
      <c r="C637">
        <v>115</v>
      </c>
      <c r="D637" t="s">
        <v>4</v>
      </c>
      <c r="E637">
        <v>0.28619815500000001</v>
      </c>
      <c r="F637">
        <v>0.27400645499999998</v>
      </c>
      <c r="G637">
        <v>0.268165335</v>
      </c>
      <c r="H637">
        <v>0.25864185000000001</v>
      </c>
      <c r="I637">
        <v>0.262935105</v>
      </c>
      <c r="J637">
        <v>0.28425253499999997</v>
      </c>
      <c r="K637">
        <v>0.29743656000000002</v>
      </c>
      <c r="L637">
        <v>0.336753315</v>
      </c>
      <c r="M637">
        <v>0.38380195499999997</v>
      </c>
      <c r="N637">
        <v>0.40264520999999998</v>
      </c>
      <c r="O637">
        <v>0.43045978499999998</v>
      </c>
      <c r="P637">
        <v>0.45223774500000002</v>
      </c>
      <c r="Q637">
        <v>0.44325624000000002</v>
      </c>
      <c r="R637">
        <v>0.45059743499999999</v>
      </c>
      <c r="S637">
        <v>0.48654490500000003</v>
      </c>
      <c r="T637">
        <v>0.49801109999999998</v>
      </c>
      <c r="U637">
        <v>0.49304350499999999</v>
      </c>
      <c r="V637">
        <v>0.46482061499999999</v>
      </c>
      <c r="W637">
        <v>0.48691599000000002</v>
      </c>
      <c r="X637">
        <v>0.48317047499999999</v>
      </c>
      <c r="Y637">
        <v>0.45524067000000001</v>
      </c>
      <c r="Z637">
        <v>0.40144477499999998</v>
      </c>
      <c r="AA637">
        <v>0.34775615999999998</v>
      </c>
      <c r="AB637">
        <v>0.31681555500000003</v>
      </c>
    </row>
    <row r="638" spans="1:28" hidden="1" x14ac:dyDescent="0.25">
      <c r="A638" t="s">
        <v>0</v>
      </c>
      <c r="B638" t="s">
        <v>6</v>
      </c>
      <c r="C638">
        <v>115</v>
      </c>
      <c r="D638" t="s">
        <v>2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</row>
    <row r="639" spans="1:28" hidden="1" x14ac:dyDescent="0.25">
      <c r="A639" t="s">
        <v>0</v>
      </c>
      <c r="B639" t="s">
        <v>6</v>
      </c>
      <c r="C639">
        <v>115</v>
      </c>
      <c r="D639" t="s">
        <v>3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</row>
    <row r="640" spans="1:28" hidden="1" x14ac:dyDescent="0.25">
      <c r="A640" t="s">
        <v>0</v>
      </c>
      <c r="B640" t="s">
        <v>6</v>
      </c>
      <c r="C640">
        <v>115</v>
      </c>
      <c r="D640" t="s">
        <v>4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</row>
    <row r="641" spans="1:28" hidden="1" x14ac:dyDescent="0.25">
      <c r="A641" t="s">
        <v>7</v>
      </c>
      <c r="B641" t="s">
        <v>8</v>
      </c>
      <c r="C641">
        <v>110</v>
      </c>
      <c r="D641" t="s">
        <v>2</v>
      </c>
      <c r="E641">
        <v>14.208428</v>
      </c>
      <c r="F641">
        <v>14.129825</v>
      </c>
      <c r="G641">
        <v>14.360147550000001</v>
      </c>
      <c r="H641">
        <v>14.6046738</v>
      </c>
      <c r="I641">
        <v>15.746180450000001</v>
      </c>
      <c r="J641">
        <v>17.578625200000001</v>
      </c>
      <c r="K641">
        <v>18.551933250000001</v>
      </c>
      <c r="L641">
        <v>19.418674150000001</v>
      </c>
      <c r="M641">
        <v>20.284538399999999</v>
      </c>
      <c r="N641">
        <v>19.945304400000001</v>
      </c>
      <c r="O641">
        <v>20.548676</v>
      </c>
      <c r="P641">
        <v>21.3995584</v>
      </c>
      <c r="Q641">
        <v>21.02270725</v>
      </c>
      <c r="R641">
        <v>19.948219999999999</v>
      </c>
      <c r="S641">
        <v>20.49898275</v>
      </c>
      <c r="T641">
        <v>20.151129999999998</v>
      </c>
      <c r="U641">
        <v>19.3953001</v>
      </c>
      <c r="V641">
        <v>18.718467199999999</v>
      </c>
      <c r="W641">
        <v>21.730232749999999</v>
      </c>
      <c r="X641">
        <v>22.6460759</v>
      </c>
      <c r="Y641">
        <v>22.103360599999998</v>
      </c>
      <c r="Z641">
        <v>18.839504000000002</v>
      </c>
      <c r="AA641">
        <v>17.144437199999999</v>
      </c>
      <c r="AB641">
        <v>15.861257999999999</v>
      </c>
    </row>
    <row r="642" spans="1:28" hidden="1" x14ac:dyDescent="0.25">
      <c r="A642" t="s">
        <v>7</v>
      </c>
      <c r="B642" t="s">
        <v>8</v>
      </c>
      <c r="C642">
        <v>110</v>
      </c>
      <c r="D642" t="s">
        <v>3</v>
      </c>
      <c r="E642">
        <v>5.9235128443000002</v>
      </c>
      <c r="F642">
        <v>6.3136880001</v>
      </c>
      <c r="G642">
        <v>6.0740239515000001</v>
      </c>
      <c r="H642">
        <v>6.0440663054000003</v>
      </c>
      <c r="I642">
        <v>6.4196039953000001</v>
      </c>
      <c r="J642">
        <v>7.2208641136000002</v>
      </c>
      <c r="K642">
        <v>9.7712053887000003</v>
      </c>
      <c r="L642">
        <v>10.213337775399999</v>
      </c>
      <c r="M642">
        <v>10.886058763299999</v>
      </c>
      <c r="N642">
        <v>8.5566773107999996</v>
      </c>
      <c r="O642">
        <v>8.7536993191000008</v>
      </c>
      <c r="P642">
        <v>9.4357748456999992</v>
      </c>
      <c r="Q642">
        <v>8.5708058462000007</v>
      </c>
      <c r="R642">
        <v>8.6177262765999991</v>
      </c>
      <c r="S642">
        <v>8.9778890002999994</v>
      </c>
      <c r="T642">
        <v>8.5234811022999999</v>
      </c>
      <c r="U642">
        <v>8.5520309059000006</v>
      </c>
      <c r="V642">
        <v>8.3089142948999992</v>
      </c>
      <c r="W642">
        <v>9.1255163995000004</v>
      </c>
      <c r="X642">
        <v>11.263296840700001</v>
      </c>
      <c r="Y642">
        <v>10.4477391884</v>
      </c>
      <c r="Z642">
        <v>9.3198664059999992</v>
      </c>
      <c r="AA642">
        <v>9.0237744701999993</v>
      </c>
      <c r="AB642">
        <v>6.9937545653999997</v>
      </c>
    </row>
    <row r="643" spans="1:28" hidden="1" x14ac:dyDescent="0.25">
      <c r="A643" t="s">
        <v>7</v>
      </c>
      <c r="B643" t="s">
        <v>8</v>
      </c>
      <c r="C643">
        <v>110</v>
      </c>
      <c r="D643" t="s">
        <v>4</v>
      </c>
      <c r="E643">
        <v>0.21637200000000001</v>
      </c>
      <c r="F643">
        <v>0.21517500000000001</v>
      </c>
      <c r="G643">
        <v>0.21868245</v>
      </c>
      <c r="H643">
        <v>0.2224062</v>
      </c>
      <c r="I643">
        <v>0.23978954999999999</v>
      </c>
      <c r="J643">
        <v>0.26769480000000001</v>
      </c>
      <c r="K643">
        <v>0.28251674999999998</v>
      </c>
      <c r="L643">
        <v>0.29571585</v>
      </c>
      <c r="M643">
        <v>0.3089016</v>
      </c>
      <c r="N643">
        <v>0.30373559999999999</v>
      </c>
      <c r="O643">
        <v>0.31292399999999998</v>
      </c>
      <c r="P643">
        <v>0.32588159999999999</v>
      </c>
      <c r="Q643">
        <v>0.32014274999999998</v>
      </c>
      <c r="R643">
        <v>0.30377999999999999</v>
      </c>
      <c r="S643">
        <v>0.31216725000000001</v>
      </c>
      <c r="T643">
        <v>0.30686999999999998</v>
      </c>
      <c r="U643">
        <v>0.29535990000000001</v>
      </c>
      <c r="V643">
        <v>0.2850528</v>
      </c>
      <c r="W643">
        <v>0.33091725</v>
      </c>
      <c r="X643">
        <v>0.34486410000000001</v>
      </c>
      <c r="Y643">
        <v>0.33659939999999999</v>
      </c>
      <c r="Z643">
        <v>0.28689599999999998</v>
      </c>
      <c r="AA643">
        <v>0.2610828</v>
      </c>
      <c r="AB643">
        <v>0.24154200000000001</v>
      </c>
    </row>
    <row r="644" spans="1:28" hidden="1" x14ac:dyDescent="0.25">
      <c r="A644" t="s">
        <v>7</v>
      </c>
      <c r="B644" t="s">
        <v>9</v>
      </c>
      <c r="C644">
        <v>110</v>
      </c>
      <c r="D644" t="s">
        <v>2</v>
      </c>
      <c r="E644">
        <v>55.802141200000001</v>
      </c>
      <c r="F644">
        <v>53.955345000000001</v>
      </c>
      <c r="G644">
        <v>54.152650350000002</v>
      </c>
      <c r="H644">
        <v>54.0855423</v>
      </c>
      <c r="I644">
        <v>58.961903</v>
      </c>
      <c r="J644">
        <v>67.178615399999998</v>
      </c>
      <c r="K644">
        <v>71.657597550000006</v>
      </c>
      <c r="L644">
        <v>80.126095649999996</v>
      </c>
      <c r="M644">
        <v>84.434988500000003</v>
      </c>
      <c r="N644">
        <v>87.018919299999993</v>
      </c>
      <c r="O644">
        <v>87.224163750000002</v>
      </c>
      <c r="P644">
        <v>92.164992699999999</v>
      </c>
      <c r="Q644">
        <v>90.101653600000006</v>
      </c>
      <c r="R644">
        <v>89.091033749999994</v>
      </c>
      <c r="S644">
        <v>90.000730500000003</v>
      </c>
      <c r="T644">
        <v>89.531850800000001</v>
      </c>
      <c r="U644">
        <v>88.070800300000002</v>
      </c>
      <c r="V644">
        <v>83.573388800000004</v>
      </c>
      <c r="W644">
        <v>95.006598999999994</v>
      </c>
      <c r="X644">
        <v>95.286949699999994</v>
      </c>
      <c r="Y644">
        <v>90.720154800000003</v>
      </c>
      <c r="Z644">
        <v>77.716342400000002</v>
      </c>
      <c r="AA644">
        <v>69.800586899999999</v>
      </c>
      <c r="AB644">
        <v>62.450910899999997</v>
      </c>
    </row>
    <row r="645" spans="1:28" hidden="1" x14ac:dyDescent="0.25">
      <c r="A645" t="s">
        <v>7</v>
      </c>
      <c r="B645" t="s">
        <v>9</v>
      </c>
      <c r="C645">
        <v>110</v>
      </c>
      <c r="D645" t="s">
        <v>3</v>
      </c>
      <c r="E645">
        <v>21.595158126699999</v>
      </c>
      <c r="F645">
        <v>21.5191727598</v>
      </c>
      <c r="G645">
        <v>21.611416629099999</v>
      </c>
      <c r="H645">
        <v>21.7433018987</v>
      </c>
      <c r="I645">
        <v>23.917955945599999</v>
      </c>
      <c r="J645">
        <v>25.305120647700001</v>
      </c>
      <c r="K645">
        <v>24.984677313999999</v>
      </c>
      <c r="L645">
        <v>30.104301731300001</v>
      </c>
      <c r="M645">
        <v>36.142016734800002</v>
      </c>
      <c r="N645">
        <v>38.760097580299998</v>
      </c>
      <c r="O645">
        <v>39.051643370100003</v>
      </c>
      <c r="P645">
        <v>42.339886593400003</v>
      </c>
      <c r="Q645">
        <v>42.516680931800003</v>
      </c>
      <c r="R645">
        <v>41.463667683399997</v>
      </c>
      <c r="S645">
        <v>41.4187170051</v>
      </c>
      <c r="T645">
        <v>41.643008227599999</v>
      </c>
      <c r="U645">
        <v>40.637706845899999</v>
      </c>
      <c r="V645">
        <v>37.9797343798</v>
      </c>
      <c r="W645">
        <v>41.054674690699997</v>
      </c>
      <c r="X645">
        <v>37.893178024599997</v>
      </c>
      <c r="Y645">
        <v>31.994452119400002</v>
      </c>
      <c r="Z645">
        <v>27.4949811828</v>
      </c>
      <c r="AA645">
        <v>26.829770937900001</v>
      </c>
      <c r="AB645">
        <v>24.599588965700001</v>
      </c>
    </row>
    <row r="646" spans="1:28" hidden="1" x14ac:dyDescent="0.25">
      <c r="A646" t="s">
        <v>7</v>
      </c>
      <c r="B646" t="s">
        <v>9</v>
      </c>
      <c r="C646">
        <v>110</v>
      </c>
      <c r="D646" t="s">
        <v>4</v>
      </c>
      <c r="E646">
        <v>0.84977879999999995</v>
      </c>
      <c r="F646">
        <v>0.82165500000000002</v>
      </c>
      <c r="G646">
        <v>0.82465964999999997</v>
      </c>
      <c r="H646">
        <v>0.82363770000000003</v>
      </c>
      <c r="I646">
        <v>0.89789699999999995</v>
      </c>
      <c r="J646">
        <v>1.0230246000000001</v>
      </c>
      <c r="K646">
        <v>1.0912324499999999</v>
      </c>
      <c r="L646">
        <v>1.2201943500000001</v>
      </c>
      <c r="M646">
        <v>1.2858120075999999</v>
      </c>
      <c r="N646">
        <v>1.3251612075999999</v>
      </c>
      <c r="O646">
        <v>1.3282867575999999</v>
      </c>
      <c r="P646">
        <v>1.4035278076</v>
      </c>
      <c r="Q646">
        <v>1.3721064000000001</v>
      </c>
      <c r="R646">
        <v>1.3567162500000001</v>
      </c>
      <c r="S646">
        <v>1.3705695</v>
      </c>
      <c r="T646">
        <v>1.3634291999999999</v>
      </c>
      <c r="U646">
        <v>1.3411797000000001</v>
      </c>
      <c r="V646">
        <v>1.2726911999999999</v>
      </c>
      <c r="W646">
        <v>1.446801</v>
      </c>
      <c r="X646">
        <v>1.4510703</v>
      </c>
      <c r="Y646">
        <v>1.3815252</v>
      </c>
      <c r="Z646">
        <v>1.1834975999999999</v>
      </c>
      <c r="AA646">
        <v>1.0629531000000001</v>
      </c>
      <c r="AB646">
        <v>0.95102909999999996</v>
      </c>
    </row>
    <row r="647" spans="1:28" hidden="1" x14ac:dyDescent="0.25">
      <c r="A647" t="s">
        <v>7</v>
      </c>
      <c r="B647" t="s">
        <v>10</v>
      </c>
      <c r="C647">
        <v>44</v>
      </c>
      <c r="D647" t="s">
        <v>2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</row>
    <row r="648" spans="1:28" hidden="1" x14ac:dyDescent="0.25">
      <c r="A648" t="s">
        <v>7</v>
      </c>
      <c r="B648" t="s">
        <v>10</v>
      </c>
      <c r="C648">
        <v>44</v>
      </c>
      <c r="D648" t="s">
        <v>3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</row>
    <row r="649" spans="1:28" hidden="1" x14ac:dyDescent="0.25">
      <c r="A649" t="s">
        <v>7</v>
      </c>
      <c r="B649" t="s">
        <v>10</v>
      </c>
      <c r="C649">
        <v>44</v>
      </c>
      <c r="D649" t="s">
        <v>4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</row>
    <row r="650" spans="1:28" hidden="1" x14ac:dyDescent="0.25">
      <c r="A650" t="s">
        <v>7</v>
      </c>
      <c r="B650" t="s">
        <v>11</v>
      </c>
      <c r="C650">
        <v>110</v>
      </c>
      <c r="D650" t="s">
        <v>2</v>
      </c>
      <c r="E650">
        <v>5.9072025999999997</v>
      </c>
      <c r="F650">
        <v>5.6051425000000004</v>
      </c>
      <c r="G650">
        <v>5.7515529000000001</v>
      </c>
      <c r="H650">
        <v>5.6785644</v>
      </c>
      <c r="I650">
        <v>5.7975918000000002</v>
      </c>
      <c r="J650">
        <v>6.2607289499999998</v>
      </c>
      <c r="K650">
        <v>6.4055534999999999</v>
      </c>
      <c r="L650">
        <v>6.2247567500000001</v>
      </c>
      <c r="M650">
        <v>6.5200301999999999</v>
      </c>
      <c r="N650">
        <v>8.3803800000000006</v>
      </c>
      <c r="O650">
        <v>8.4561264999999999</v>
      </c>
      <c r="P650">
        <v>8.7847618999999995</v>
      </c>
      <c r="Q650">
        <v>8.8644484000000006</v>
      </c>
      <c r="R650">
        <v>9.0427924999999991</v>
      </c>
      <c r="S650">
        <v>9.4200967500000008</v>
      </c>
      <c r="T650">
        <v>9.7029592000000005</v>
      </c>
      <c r="U650">
        <v>9.3240888000000002</v>
      </c>
      <c r="V650">
        <v>7.9890591999999998</v>
      </c>
      <c r="W650">
        <v>9.5528255000000009</v>
      </c>
      <c r="X650">
        <v>10.172390500000001</v>
      </c>
      <c r="Y650">
        <v>9.8114273999999995</v>
      </c>
      <c r="Z650">
        <v>7.8339808</v>
      </c>
      <c r="AA650">
        <v>7.4358437999999998</v>
      </c>
      <c r="AB650">
        <v>6.8024690999999997</v>
      </c>
    </row>
    <row r="651" spans="1:28" hidden="1" x14ac:dyDescent="0.25">
      <c r="A651" t="s">
        <v>7</v>
      </c>
      <c r="B651" t="s">
        <v>11</v>
      </c>
      <c r="C651">
        <v>110</v>
      </c>
      <c r="D651" t="s">
        <v>3</v>
      </c>
      <c r="E651">
        <v>3.0958961440000001</v>
      </c>
      <c r="F651">
        <v>2.6052824464</v>
      </c>
      <c r="G651">
        <v>2.7616130188999999</v>
      </c>
      <c r="H651">
        <v>2.8090154562</v>
      </c>
      <c r="I651">
        <v>2.7632475101999998</v>
      </c>
      <c r="J651">
        <v>3.2622449609999999</v>
      </c>
      <c r="K651">
        <v>2.9937417309000001</v>
      </c>
      <c r="L651">
        <v>3.0073785984999999</v>
      </c>
      <c r="M651">
        <v>3.3244098887</v>
      </c>
      <c r="N651">
        <v>4.2480578027</v>
      </c>
      <c r="O651">
        <v>3.8181685725999999</v>
      </c>
      <c r="P651">
        <v>4.0009204814999997</v>
      </c>
      <c r="Q651">
        <v>3.9750018444999999</v>
      </c>
      <c r="R651">
        <v>4.0796243258000002</v>
      </c>
      <c r="S651">
        <v>5.0457094089999996</v>
      </c>
      <c r="T651">
        <v>5.2051514789000004</v>
      </c>
      <c r="U651">
        <v>4.9747035478999999</v>
      </c>
      <c r="V651">
        <v>4.2672177896000001</v>
      </c>
      <c r="W651">
        <v>4.8795020643999996</v>
      </c>
      <c r="X651">
        <v>4.4333907462999997</v>
      </c>
      <c r="Y651">
        <v>3.9574855760999998</v>
      </c>
      <c r="Z651">
        <v>3.5578496489</v>
      </c>
      <c r="AA651">
        <v>3.6762012460000002</v>
      </c>
      <c r="AB651">
        <v>3.1610173756000002</v>
      </c>
    </row>
    <row r="652" spans="1:28" hidden="1" x14ac:dyDescent="0.25">
      <c r="A652" t="s">
        <v>7</v>
      </c>
      <c r="B652" t="s">
        <v>11</v>
      </c>
      <c r="C652">
        <v>110</v>
      </c>
      <c r="D652" t="s">
        <v>4</v>
      </c>
      <c r="E652">
        <v>8.9957400000000007E-2</v>
      </c>
      <c r="F652">
        <v>8.5357500000000003E-2</v>
      </c>
      <c r="G652">
        <v>8.7587100000000001E-2</v>
      </c>
      <c r="H652">
        <v>8.64756E-2</v>
      </c>
      <c r="I652">
        <v>8.8288199900000003E-2</v>
      </c>
      <c r="J652">
        <v>9.5341049999999997E-2</v>
      </c>
      <c r="K652">
        <v>9.7546499999999994E-2</v>
      </c>
      <c r="L652">
        <v>9.4793249999999996E-2</v>
      </c>
      <c r="M652">
        <v>9.9289799999999998E-2</v>
      </c>
      <c r="N652">
        <v>0.12762000000000001</v>
      </c>
      <c r="O652">
        <v>0.12877350000000001</v>
      </c>
      <c r="P652">
        <v>0.13377810000000001</v>
      </c>
      <c r="Q652">
        <v>0.13499159999999999</v>
      </c>
      <c r="R652">
        <v>0.13770750000000001</v>
      </c>
      <c r="S652">
        <v>0.14345325</v>
      </c>
      <c r="T652">
        <v>0.1477608</v>
      </c>
      <c r="U652">
        <v>0.14199120000000001</v>
      </c>
      <c r="V652">
        <v>0.1216608</v>
      </c>
      <c r="W652">
        <v>0.14547450000000001</v>
      </c>
      <c r="X652">
        <v>0.15490950000000001</v>
      </c>
      <c r="Y652">
        <v>0.14941260000000001</v>
      </c>
      <c r="Z652">
        <v>0.11929919999999999</v>
      </c>
      <c r="AA652">
        <v>0.1132362</v>
      </c>
      <c r="AB652">
        <v>0.1035909</v>
      </c>
    </row>
    <row r="653" spans="1:28" hidden="1" x14ac:dyDescent="0.25">
      <c r="A653" t="s">
        <v>7</v>
      </c>
      <c r="B653" t="s">
        <v>12</v>
      </c>
      <c r="C653">
        <v>110</v>
      </c>
      <c r="D653" t="s">
        <v>2</v>
      </c>
      <c r="E653">
        <v>32.192794399999997</v>
      </c>
      <c r="F653">
        <v>31.3195525</v>
      </c>
      <c r="G653">
        <v>31.895826750000001</v>
      </c>
      <c r="H653">
        <v>31.3805634</v>
      </c>
      <c r="I653">
        <v>33.050217199999999</v>
      </c>
      <c r="J653">
        <v>35.775593999999998</v>
      </c>
      <c r="K653">
        <v>35.10968475</v>
      </c>
      <c r="L653">
        <v>34.794465049999999</v>
      </c>
      <c r="M653">
        <v>37.993262399999999</v>
      </c>
      <c r="N653">
        <v>40.281693199999999</v>
      </c>
      <c r="O653">
        <v>42.713540000000002</v>
      </c>
      <c r="P653">
        <v>44.820523950000002</v>
      </c>
      <c r="Q653">
        <v>44.124916949999999</v>
      </c>
      <c r="R653">
        <v>41.909287499999998</v>
      </c>
      <c r="S653">
        <v>44.513381250000002</v>
      </c>
      <c r="T653">
        <v>45.199364799999998</v>
      </c>
      <c r="U653">
        <v>43.975630350000003</v>
      </c>
      <c r="V653">
        <v>42.642147199999997</v>
      </c>
      <c r="W653">
        <v>47.470695999999997</v>
      </c>
      <c r="X653">
        <v>46.125954299999997</v>
      </c>
      <c r="Y653">
        <v>43.9855296</v>
      </c>
      <c r="Z653">
        <v>37.855204800000003</v>
      </c>
      <c r="AA653">
        <v>36.363993600000001</v>
      </c>
      <c r="AB653">
        <v>34.738388999999998</v>
      </c>
    </row>
    <row r="654" spans="1:28" hidden="1" x14ac:dyDescent="0.25">
      <c r="A654" t="s">
        <v>7</v>
      </c>
      <c r="B654" t="s">
        <v>12</v>
      </c>
      <c r="C654">
        <v>110</v>
      </c>
      <c r="D654" t="s">
        <v>3</v>
      </c>
      <c r="E654">
        <v>14.1261643351</v>
      </c>
      <c r="F654">
        <v>14.029620978200001</v>
      </c>
      <c r="G654">
        <v>14.412086088400001</v>
      </c>
      <c r="H654">
        <v>14.3877542072</v>
      </c>
      <c r="I654">
        <v>15.0147758744</v>
      </c>
      <c r="J654">
        <v>16.066660593400002</v>
      </c>
      <c r="K654">
        <v>15.5547336349</v>
      </c>
      <c r="L654">
        <v>15.2853248629</v>
      </c>
      <c r="M654">
        <v>16.901747725300002</v>
      </c>
      <c r="N654">
        <v>18.137561401399999</v>
      </c>
      <c r="O654">
        <v>19.3898891873</v>
      </c>
      <c r="P654">
        <v>20.5824004792</v>
      </c>
      <c r="Q654">
        <v>20.160415739600001</v>
      </c>
      <c r="R654">
        <v>19.173698167400001</v>
      </c>
      <c r="S654">
        <v>20.496857400100001</v>
      </c>
      <c r="T654">
        <v>21.007459002600001</v>
      </c>
      <c r="U654">
        <v>20.517292686200001</v>
      </c>
      <c r="V654">
        <v>19.885316345700002</v>
      </c>
      <c r="W654">
        <v>21.832453464</v>
      </c>
      <c r="X654">
        <v>20.255076190299999</v>
      </c>
      <c r="Y654">
        <v>18.664751250399998</v>
      </c>
      <c r="Z654">
        <v>15.917822754099999</v>
      </c>
      <c r="AA654">
        <v>15.1135690851</v>
      </c>
      <c r="AB654">
        <v>14.8162886862</v>
      </c>
    </row>
    <row r="655" spans="1:28" hidden="1" x14ac:dyDescent="0.25">
      <c r="A655" t="s">
        <v>7</v>
      </c>
      <c r="B655" t="s">
        <v>12</v>
      </c>
      <c r="C655">
        <v>110</v>
      </c>
      <c r="D655" t="s">
        <v>4</v>
      </c>
      <c r="E655">
        <v>0.4902456</v>
      </c>
      <c r="F655">
        <v>0.47694750000000002</v>
      </c>
      <c r="G655">
        <v>0.48572325</v>
      </c>
      <c r="H655">
        <v>0.47787659999999998</v>
      </c>
      <c r="I655">
        <v>0.50330280000000005</v>
      </c>
      <c r="J655">
        <v>0.54480600000000001</v>
      </c>
      <c r="K655">
        <v>0.53466524999999998</v>
      </c>
      <c r="L655">
        <v>0.52986495</v>
      </c>
      <c r="M655">
        <v>0.57857760000000003</v>
      </c>
      <c r="N655">
        <v>0.61342680000000005</v>
      </c>
      <c r="O655">
        <v>0.65046000000000004</v>
      </c>
      <c r="P655">
        <v>0.68254605000000002</v>
      </c>
      <c r="Q655">
        <v>0.67195305000000005</v>
      </c>
      <c r="R655">
        <v>0.63821249999999996</v>
      </c>
      <c r="S655">
        <v>0.67786875000000002</v>
      </c>
      <c r="T655">
        <v>0.68831520000000002</v>
      </c>
      <c r="U655">
        <v>0.66967964999999996</v>
      </c>
      <c r="V655">
        <v>0.64937279999999997</v>
      </c>
      <c r="W655">
        <v>0.72290399999999999</v>
      </c>
      <c r="X655">
        <v>0.70242570000000004</v>
      </c>
      <c r="Y655">
        <v>0.66983040000000005</v>
      </c>
      <c r="Z655">
        <v>0.57647519999999997</v>
      </c>
      <c r="AA655">
        <v>0.55376639999999999</v>
      </c>
      <c r="AB655">
        <v>0.52901100000000001</v>
      </c>
    </row>
    <row r="656" spans="1:28" hidden="1" x14ac:dyDescent="0.25">
      <c r="A656" t="s">
        <v>7</v>
      </c>
      <c r="B656" t="s">
        <v>13</v>
      </c>
      <c r="C656">
        <v>110</v>
      </c>
      <c r="D656" t="s">
        <v>2</v>
      </c>
      <c r="E656">
        <v>18.101147999999998</v>
      </c>
      <c r="F656">
        <v>18.555922500000001</v>
      </c>
      <c r="G656">
        <v>19.1843328</v>
      </c>
      <c r="H656">
        <v>19.559499599999999</v>
      </c>
      <c r="I656">
        <v>21.021200199999999</v>
      </c>
      <c r="J656">
        <v>23.165801299999998</v>
      </c>
      <c r="K656">
        <v>23.059992600000001</v>
      </c>
      <c r="L656">
        <v>22.203771499999998</v>
      </c>
      <c r="M656">
        <v>21.8810067</v>
      </c>
      <c r="N656">
        <v>22.277843499999999</v>
      </c>
      <c r="O656">
        <v>22.121573250000001</v>
      </c>
      <c r="P656">
        <v>22.38746415</v>
      </c>
      <c r="Q656">
        <v>21.6146824</v>
      </c>
      <c r="R656">
        <v>21.435323749999998</v>
      </c>
      <c r="S656">
        <v>21.853407000000001</v>
      </c>
      <c r="T656">
        <v>21.930512799999999</v>
      </c>
      <c r="U656">
        <v>22.33896275</v>
      </c>
      <c r="V656">
        <v>20.588864000000001</v>
      </c>
      <c r="W656">
        <v>25.039487999999999</v>
      </c>
      <c r="X656">
        <v>25.681117</v>
      </c>
      <c r="Y656">
        <v>23.888692800000001</v>
      </c>
      <c r="Z656">
        <v>20.872544000000001</v>
      </c>
      <c r="AA656">
        <v>19.293667800000001</v>
      </c>
      <c r="AB656">
        <v>17.681951699999999</v>
      </c>
    </row>
    <row r="657" spans="1:28" hidden="1" x14ac:dyDescent="0.25">
      <c r="A657" t="s">
        <v>7</v>
      </c>
      <c r="B657" t="s">
        <v>13</v>
      </c>
      <c r="C657">
        <v>110</v>
      </c>
      <c r="D657" t="s">
        <v>3</v>
      </c>
      <c r="E657">
        <v>6.4872384813000004</v>
      </c>
      <c r="F657">
        <v>6.8518115913999997</v>
      </c>
      <c r="G657">
        <v>6.9845979046000002</v>
      </c>
      <c r="H657">
        <v>7.1870380067999999</v>
      </c>
      <c r="I657">
        <v>7.6887996340999996</v>
      </c>
      <c r="J657">
        <v>8.3595594389999999</v>
      </c>
      <c r="K657">
        <v>7.8964218489000002</v>
      </c>
      <c r="L657">
        <v>7.4256711896000001</v>
      </c>
      <c r="M657">
        <v>7.8228515695</v>
      </c>
      <c r="N657">
        <v>7.9550215776000002</v>
      </c>
      <c r="O657">
        <v>8.0671583913999996</v>
      </c>
      <c r="P657">
        <v>8.1604195567000009</v>
      </c>
      <c r="Q657">
        <v>8.3523771325999991</v>
      </c>
      <c r="R657">
        <v>8.6713353962999999</v>
      </c>
      <c r="S657">
        <v>8.7329437311000007</v>
      </c>
      <c r="T657">
        <v>8.8478206156999999</v>
      </c>
      <c r="U657">
        <v>8.6919625578000002</v>
      </c>
      <c r="V657">
        <v>7.9907272063999999</v>
      </c>
      <c r="W657">
        <v>9.5161010451999992</v>
      </c>
      <c r="X657">
        <v>9.4524438367000005</v>
      </c>
      <c r="Y657">
        <v>8.5246194103999997</v>
      </c>
      <c r="Z657">
        <v>7.5563190467999997</v>
      </c>
      <c r="AA657">
        <v>7.2112324070999998</v>
      </c>
      <c r="AB657">
        <v>6.8535271152000004</v>
      </c>
    </row>
    <row r="658" spans="1:28" hidden="1" x14ac:dyDescent="0.25">
      <c r="A658" t="s">
        <v>7</v>
      </c>
      <c r="B658" t="s">
        <v>13</v>
      </c>
      <c r="C658">
        <v>110</v>
      </c>
      <c r="D658" t="s">
        <v>4</v>
      </c>
      <c r="E658">
        <v>0.27565200000000001</v>
      </c>
      <c r="F658">
        <v>0.28257749999999998</v>
      </c>
      <c r="G658">
        <v>0.2921472</v>
      </c>
      <c r="H658">
        <v>0.29786040000000003</v>
      </c>
      <c r="I658">
        <v>0.32011980000000001</v>
      </c>
      <c r="J658">
        <v>0.3527787</v>
      </c>
      <c r="K658">
        <v>0.35116740000000002</v>
      </c>
      <c r="L658">
        <v>0.3381285</v>
      </c>
      <c r="M658">
        <v>0.33321329999999999</v>
      </c>
      <c r="N658">
        <v>0.33925650000000002</v>
      </c>
      <c r="O658">
        <v>0.33687675</v>
      </c>
      <c r="P658">
        <v>0.34092584999999997</v>
      </c>
      <c r="Q658">
        <v>0.32915759999999999</v>
      </c>
      <c r="R658">
        <v>0.32642624999999997</v>
      </c>
      <c r="S658">
        <v>0.33279300000000001</v>
      </c>
      <c r="T658">
        <v>0.33396720000000002</v>
      </c>
      <c r="U658">
        <v>0.34018725</v>
      </c>
      <c r="V658">
        <v>0.31353599999999998</v>
      </c>
      <c r="W658">
        <v>0.38131199999999998</v>
      </c>
      <c r="X658">
        <v>0.39108300000000001</v>
      </c>
      <c r="Y658">
        <v>0.36378719999999998</v>
      </c>
      <c r="Z658">
        <v>0.31785600000000003</v>
      </c>
      <c r="AA658">
        <v>0.29381220000000002</v>
      </c>
      <c r="AB658">
        <v>0.26926830000000002</v>
      </c>
    </row>
    <row r="659" spans="1:28" hidden="1" x14ac:dyDescent="0.25">
      <c r="A659" t="s">
        <v>7</v>
      </c>
      <c r="B659" t="s">
        <v>14</v>
      </c>
      <c r="C659">
        <v>110</v>
      </c>
      <c r="D659" t="s">
        <v>2</v>
      </c>
      <c r="E659">
        <v>36.795935800000002</v>
      </c>
      <c r="F659">
        <v>33.995869999999996</v>
      </c>
      <c r="G659">
        <v>31.858459400000001</v>
      </c>
      <c r="H659">
        <v>31.417514300000001</v>
      </c>
      <c r="I659">
        <v>33.140535399999997</v>
      </c>
      <c r="J659">
        <v>36.338728349999997</v>
      </c>
      <c r="K659">
        <v>41.73278535</v>
      </c>
      <c r="L659">
        <v>45.909185350000001</v>
      </c>
      <c r="M659">
        <v>49.383191699999998</v>
      </c>
      <c r="N659">
        <v>52.377375000000001</v>
      </c>
      <c r="O659">
        <v>56.494428749999997</v>
      </c>
      <c r="P659">
        <v>59.836691350000002</v>
      </c>
      <c r="Q659">
        <v>60.867188499999997</v>
      </c>
      <c r="R659">
        <v>61.466954999999999</v>
      </c>
      <c r="S659">
        <v>58.438079999999999</v>
      </c>
      <c r="T659">
        <v>57.944004</v>
      </c>
      <c r="U659">
        <v>55.989360150000003</v>
      </c>
      <c r="V659">
        <v>55.169455999999997</v>
      </c>
      <c r="W659">
        <v>58.702601749999999</v>
      </c>
      <c r="X659">
        <v>61.317835850000002</v>
      </c>
      <c r="Y659">
        <v>59.231950599999998</v>
      </c>
      <c r="Z659">
        <v>56.694708800000001</v>
      </c>
      <c r="AA659">
        <v>50.951587500000002</v>
      </c>
      <c r="AB659">
        <v>44.154614700000003</v>
      </c>
    </row>
    <row r="660" spans="1:28" hidden="1" x14ac:dyDescent="0.25">
      <c r="A660" t="s">
        <v>7</v>
      </c>
      <c r="B660" t="s">
        <v>14</v>
      </c>
      <c r="C660">
        <v>110</v>
      </c>
      <c r="D660" t="s">
        <v>3</v>
      </c>
      <c r="E660">
        <v>14.6673734824</v>
      </c>
      <c r="F660">
        <v>14.145947208500001</v>
      </c>
      <c r="G660">
        <v>13.7773015457</v>
      </c>
      <c r="H660">
        <v>13.841860293</v>
      </c>
      <c r="I660">
        <v>14.5852761401</v>
      </c>
      <c r="J660">
        <v>15.219410637999999</v>
      </c>
      <c r="K660">
        <v>14.7377247495</v>
      </c>
      <c r="L660">
        <v>15.755465282099999</v>
      </c>
      <c r="M660">
        <v>17.587458619100001</v>
      </c>
      <c r="N660">
        <v>18.963500017200001</v>
      </c>
      <c r="O660">
        <v>20.984618045200001</v>
      </c>
      <c r="P660">
        <v>22.3354279321</v>
      </c>
      <c r="Q660">
        <v>23.077251596499998</v>
      </c>
      <c r="R660">
        <v>23.217290571500001</v>
      </c>
      <c r="S660">
        <v>22.710078132500001</v>
      </c>
      <c r="T660">
        <v>22.416664124</v>
      </c>
      <c r="U660">
        <v>21.955408351999999</v>
      </c>
      <c r="V660">
        <v>21.483632432299999</v>
      </c>
      <c r="W660">
        <v>22.552687148299999</v>
      </c>
      <c r="X660">
        <v>20.914451660800001</v>
      </c>
      <c r="Y660">
        <v>19.579775908199998</v>
      </c>
      <c r="Z660">
        <v>18.749076828700002</v>
      </c>
      <c r="AA660">
        <v>17.272765188600001</v>
      </c>
      <c r="AB660">
        <v>16.3012831164</v>
      </c>
    </row>
    <row r="661" spans="1:28" hidden="1" x14ac:dyDescent="0.25">
      <c r="A661" t="s">
        <v>7</v>
      </c>
      <c r="B661" t="s">
        <v>14</v>
      </c>
      <c r="C661">
        <v>110</v>
      </c>
      <c r="D661" t="s">
        <v>4</v>
      </c>
      <c r="E661">
        <v>0.56034419999999996</v>
      </c>
      <c r="F661">
        <v>0.51770360400000004</v>
      </c>
      <c r="G661">
        <v>0.48515420399999998</v>
      </c>
      <c r="H661">
        <v>0.47843930400000001</v>
      </c>
      <c r="I661">
        <v>0.50467820399999996</v>
      </c>
      <c r="J661">
        <v>0.55338164999999995</v>
      </c>
      <c r="K661">
        <v>0.63552465000000002</v>
      </c>
      <c r="L661">
        <v>0.69912465000000001</v>
      </c>
      <c r="M661">
        <v>0.75202829999999998</v>
      </c>
      <c r="N661">
        <v>0.79762500000000003</v>
      </c>
      <c r="O661">
        <v>0.86032125000000004</v>
      </c>
      <c r="P661">
        <v>0.91121865000000002</v>
      </c>
      <c r="Q661">
        <v>0.9269115</v>
      </c>
      <c r="R661">
        <v>0.93604500000000002</v>
      </c>
      <c r="S661">
        <v>0.88992000000000004</v>
      </c>
      <c r="T661">
        <v>0.88239599999999996</v>
      </c>
      <c r="U661">
        <v>0.85262985000000002</v>
      </c>
      <c r="V661">
        <v>0.840144</v>
      </c>
      <c r="W661">
        <v>0.89394825</v>
      </c>
      <c r="X661">
        <v>0.93377414999999997</v>
      </c>
      <c r="Y661">
        <v>0.90200939999999996</v>
      </c>
      <c r="Z661">
        <v>0.86337120000000001</v>
      </c>
      <c r="AA661">
        <v>0.7759125</v>
      </c>
      <c r="AB661">
        <v>0.67240529999999998</v>
      </c>
    </row>
    <row r="662" spans="1:28" hidden="1" x14ac:dyDescent="0.25">
      <c r="A662" t="s">
        <v>7</v>
      </c>
      <c r="B662" t="s">
        <v>15</v>
      </c>
      <c r="C662">
        <v>110</v>
      </c>
      <c r="D662" t="s">
        <v>2</v>
      </c>
      <c r="E662">
        <v>23.687201200000001</v>
      </c>
      <c r="F662">
        <v>22.436932500000001</v>
      </c>
      <c r="G662">
        <v>22.582456400000002</v>
      </c>
      <c r="H662">
        <v>22.2655031</v>
      </c>
      <c r="I662">
        <v>24.51576515</v>
      </c>
      <c r="J662">
        <v>30.122166799999999</v>
      </c>
      <c r="K662">
        <v>35.617294649999998</v>
      </c>
      <c r="L662">
        <v>38.529319100000002</v>
      </c>
      <c r="M662">
        <v>38.529890399999999</v>
      </c>
      <c r="N662">
        <v>38.535780699999997</v>
      </c>
      <c r="O662">
        <v>37.749533999999997</v>
      </c>
      <c r="P662">
        <v>39.683414050000003</v>
      </c>
      <c r="Q662">
        <v>40.117700550000002</v>
      </c>
      <c r="R662">
        <v>40.27197125</v>
      </c>
      <c r="S662">
        <v>40.374017250000001</v>
      </c>
      <c r="T662">
        <v>40.880179200000001</v>
      </c>
      <c r="U662">
        <v>42.466442899999997</v>
      </c>
      <c r="V662">
        <v>41.830191999999997</v>
      </c>
      <c r="W662">
        <v>45.36777025</v>
      </c>
      <c r="X662">
        <v>45.30882785</v>
      </c>
      <c r="Y662">
        <v>42.9585686</v>
      </c>
      <c r="Z662">
        <v>35.659521599999998</v>
      </c>
      <c r="AA662">
        <v>31.447937400000001</v>
      </c>
      <c r="AB662">
        <v>27.835390799999999</v>
      </c>
    </row>
    <row r="663" spans="1:28" hidden="1" x14ac:dyDescent="0.25">
      <c r="A663" t="s">
        <v>7</v>
      </c>
      <c r="B663" t="s">
        <v>15</v>
      </c>
      <c r="C663">
        <v>110</v>
      </c>
      <c r="D663" t="s">
        <v>3</v>
      </c>
      <c r="E663">
        <v>9.1464436517000003</v>
      </c>
      <c r="F663">
        <v>8.5926340783999997</v>
      </c>
      <c r="G663">
        <v>9.2429386870000005</v>
      </c>
      <c r="H663">
        <v>9.3604449052999996</v>
      </c>
      <c r="I663">
        <v>10.1832256035</v>
      </c>
      <c r="J663">
        <v>12.454823692</v>
      </c>
      <c r="K663">
        <v>14.3265174166</v>
      </c>
      <c r="L663">
        <v>15.4606246362</v>
      </c>
      <c r="M663">
        <v>16.639331844699999</v>
      </c>
      <c r="N663">
        <v>16.833889111200001</v>
      </c>
      <c r="O663">
        <v>15.5888913831</v>
      </c>
      <c r="P663">
        <v>16.596076099299999</v>
      </c>
      <c r="Q663">
        <v>16.152969261799999</v>
      </c>
      <c r="R663">
        <v>16.668807346600001</v>
      </c>
      <c r="S663">
        <v>16.894728247</v>
      </c>
      <c r="T663">
        <v>18.032687455400001</v>
      </c>
      <c r="U663">
        <v>19.942611358000001</v>
      </c>
      <c r="V663">
        <v>19.390838413699999</v>
      </c>
      <c r="W663">
        <v>20.4356332923</v>
      </c>
      <c r="X663">
        <v>17.122834890099998</v>
      </c>
      <c r="Y663">
        <v>14.918174566799999</v>
      </c>
      <c r="Z663">
        <v>12.2329948446</v>
      </c>
      <c r="AA663">
        <v>10.9305561108</v>
      </c>
      <c r="AB663">
        <v>10.0140010133</v>
      </c>
    </row>
    <row r="664" spans="1:28" hidden="1" x14ac:dyDescent="0.25">
      <c r="A664" t="s">
        <v>7</v>
      </c>
      <c r="B664" t="s">
        <v>15</v>
      </c>
      <c r="C664">
        <v>110</v>
      </c>
      <c r="D664" t="s">
        <v>4</v>
      </c>
      <c r="E664">
        <v>0.36071880000000001</v>
      </c>
      <c r="F664">
        <v>0.34167917510000001</v>
      </c>
      <c r="G664">
        <v>0.34389527510000001</v>
      </c>
      <c r="H664">
        <v>0.33906857509999999</v>
      </c>
      <c r="I664">
        <v>0.37333652509999998</v>
      </c>
      <c r="J664">
        <v>0.45871319999999999</v>
      </c>
      <c r="K664">
        <v>0.54239535000000005</v>
      </c>
      <c r="L664">
        <v>0.58674090000000001</v>
      </c>
      <c r="M664">
        <v>0.58674959999999998</v>
      </c>
      <c r="N664">
        <v>0.58683929999999995</v>
      </c>
      <c r="O664">
        <v>0.57486599999999999</v>
      </c>
      <c r="P664">
        <v>0.60431595000000005</v>
      </c>
      <c r="Q664">
        <v>0.61092944999999999</v>
      </c>
      <c r="R664">
        <v>0.61327874999999998</v>
      </c>
      <c r="S664">
        <v>0.61483275000000004</v>
      </c>
      <c r="T664">
        <v>0.62254080000000001</v>
      </c>
      <c r="U664">
        <v>0.64669710000000002</v>
      </c>
      <c r="V664">
        <v>0.63700800000000002</v>
      </c>
      <c r="W664">
        <v>0.69087975000000001</v>
      </c>
      <c r="X664">
        <v>0.68998214999999996</v>
      </c>
      <c r="Y664">
        <v>0.65419139999999998</v>
      </c>
      <c r="Z664">
        <v>0.54303840000000003</v>
      </c>
      <c r="AA664">
        <v>0.47890260000000001</v>
      </c>
      <c r="AB664">
        <v>0.42388920000000002</v>
      </c>
    </row>
    <row r="665" spans="1:28" hidden="1" x14ac:dyDescent="0.25">
      <c r="A665" t="s">
        <v>7</v>
      </c>
      <c r="B665" t="s">
        <v>16</v>
      </c>
      <c r="C665">
        <v>110</v>
      </c>
      <c r="D665" t="s">
        <v>2</v>
      </c>
      <c r="E665">
        <v>11.8046734</v>
      </c>
      <c r="F665">
        <v>10.704980000000001</v>
      </c>
      <c r="G665">
        <v>10.4726973</v>
      </c>
      <c r="H665">
        <v>10.1601765</v>
      </c>
      <c r="I665">
        <v>10.8063956</v>
      </c>
      <c r="J665">
        <v>12.455206799999999</v>
      </c>
      <c r="K665">
        <v>14.03178795</v>
      </c>
      <c r="L665">
        <v>14.464537849999999</v>
      </c>
      <c r="M665">
        <v>15.5353806</v>
      </c>
      <c r="N665">
        <v>16.816629200000001</v>
      </c>
      <c r="O665">
        <v>17.114276499999999</v>
      </c>
      <c r="P665">
        <v>18.891797650000001</v>
      </c>
      <c r="Q665">
        <v>19.580716500000001</v>
      </c>
      <c r="R665">
        <v>19.798007500000001</v>
      </c>
      <c r="S665">
        <v>19.722852</v>
      </c>
      <c r="T665">
        <v>19.345084799999999</v>
      </c>
      <c r="U665">
        <v>19.051623750000001</v>
      </c>
      <c r="V665">
        <v>18.529977599999999</v>
      </c>
      <c r="W665">
        <v>20.882541750000001</v>
      </c>
      <c r="X665">
        <v>22.262526749999999</v>
      </c>
      <c r="Y665">
        <v>22.672139000000001</v>
      </c>
      <c r="Z665">
        <v>19.6662736</v>
      </c>
      <c r="AA665">
        <v>17.2679562</v>
      </c>
      <c r="AB665">
        <v>14.7107583</v>
      </c>
    </row>
    <row r="666" spans="1:28" hidden="1" x14ac:dyDescent="0.25">
      <c r="A666" t="s">
        <v>7</v>
      </c>
      <c r="B666" t="s">
        <v>16</v>
      </c>
      <c r="C666">
        <v>110</v>
      </c>
      <c r="D666" t="s">
        <v>3</v>
      </c>
      <c r="E666">
        <v>4.5581906941000003</v>
      </c>
      <c r="F666">
        <v>4.0996680787999997</v>
      </c>
      <c r="G666">
        <v>4.2864468467999997</v>
      </c>
      <c r="H666">
        <v>4.2713507045999997</v>
      </c>
      <c r="I666">
        <v>4.4887020119000001</v>
      </c>
      <c r="J666">
        <v>5.1499417612</v>
      </c>
      <c r="K666">
        <v>5.6440742180000001</v>
      </c>
      <c r="L666">
        <v>5.8041718736999997</v>
      </c>
      <c r="M666">
        <v>6.7090342187000003</v>
      </c>
      <c r="N666">
        <v>7.3461408082000004</v>
      </c>
      <c r="O666">
        <v>7.0674408180999997</v>
      </c>
      <c r="P666">
        <v>7.9007746424</v>
      </c>
      <c r="Q666">
        <v>7.8839691061000003</v>
      </c>
      <c r="R666">
        <v>8.1945125262000005</v>
      </c>
      <c r="S666">
        <v>8.2531352460999994</v>
      </c>
      <c r="T666">
        <v>8.5333253137000007</v>
      </c>
      <c r="U666">
        <v>8.9468084030000004</v>
      </c>
      <c r="V666">
        <v>8.5897717478000004</v>
      </c>
      <c r="W666">
        <v>9.4064125933000007</v>
      </c>
      <c r="X666">
        <v>8.4133178424999997</v>
      </c>
      <c r="Y666">
        <v>7.8733286147000001</v>
      </c>
      <c r="Z666">
        <v>6.7465129301999998</v>
      </c>
      <c r="AA666">
        <v>6.0019314385999998</v>
      </c>
      <c r="AB666">
        <v>5.2923111293999998</v>
      </c>
    </row>
    <row r="667" spans="1:28" hidden="1" x14ac:dyDescent="0.25">
      <c r="A667" t="s">
        <v>7</v>
      </c>
      <c r="B667" t="s">
        <v>16</v>
      </c>
      <c r="C667">
        <v>110</v>
      </c>
      <c r="D667" t="s">
        <v>4</v>
      </c>
      <c r="E667">
        <v>0.1797666</v>
      </c>
      <c r="F667">
        <v>0.16302</v>
      </c>
      <c r="G667">
        <v>0.15948270000000001</v>
      </c>
      <c r="H667">
        <v>0.15472350000000001</v>
      </c>
      <c r="I667">
        <v>0.1645644</v>
      </c>
      <c r="J667">
        <v>0.18967319999999999</v>
      </c>
      <c r="K667">
        <v>0.21368205000000001</v>
      </c>
      <c r="L667">
        <v>0.22027215</v>
      </c>
      <c r="M667">
        <v>0.2365794</v>
      </c>
      <c r="N667">
        <v>0.25609080000000001</v>
      </c>
      <c r="O667">
        <v>0.26062350000000001</v>
      </c>
      <c r="P667">
        <v>0.28769234999999999</v>
      </c>
      <c r="Q667">
        <v>0.29818349999999999</v>
      </c>
      <c r="R667">
        <v>0.3014925</v>
      </c>
      <c r="S667">
        <v>0.300348</v>
      </c>
      <c r="T667">
        <v>0.2945952</v>
      </c>
      <c r="U667">
        <v>0.29012624999999997</v>
      </c>
      <c r="V667">
        <v>0.2821824</v>
      </c>
      <c r="W667">
        <v>0.31800824999999999</v>
      </c>
      <c r="X667">
        <v>0.33902325</v>
      </c>
      <c r="Y667">
        <v>0.34526099999999998</v>
      </c>
      <c r="Z667">
        <v>0.29948639999999999</v>
      </c>
      <c r="AA667">
        <v>0.26296380000000003</v>
      </c>
      <c r="AB667">
        <v>0.22402169999999999</v>
      </c>
    </row>
    <row r="668" spans="1:28" hidden="1" x14ac:dyDescent="0.25">
      <c r="A668" t="s">
        <v>7</v>
      </c>
      <c r="B668" t="s">
        <v>17</v>
      </c>
      <c r="C668">
        <v>110</v>
      </c>
      <c r="D668" t="s">
        <v>2</v>
      </c>
      <c r="E668">
        <v>7.8924897999999999</v>
      </c>
      <c r="F668">
        <v>7.5515024999999998</v>
      </c>
      <c r="G668">
        <v>7.8311045999999997</v>
      </c>
      <c r="H668">
        <v>7.8219440999999996</v>
      </c>
      <c r="I668">
        <v>8.6175089000000007</v>
      </c>
      <c r="J668">
        <v>10.4897575</v>
      </c>
      <c r="K668">
        <v>12.29141115</v>
      </c>
      <c r="L668">
        <v>12.9885646</v>
      </c>
      <c r="M668">
        <v>12.007051499999999</v>
      </c>
      <c r="N668">
        <v>11.6626955</v>
      </c>
      <c r="O668">
        <v>12.02039825</v>
      </c>
      <c r="P668">
        <v>12.614796500000001</v>
      </c>
      <c r="Q668">
        <v>12.765412850000001</v>
      </c>
      <c r="R668">
        <v>12.197255</v>
      </c>
      <c r="S668">
        <v>12.03763575</v>
      </c>
      <c r="T668">
        <v>11.816926799999999</v>
      </c>
      <c r="U668">
        <v>11.81947795</v>
      </c>
      <c r="V668">
        <v>12.353318399999999</v>
      </c>
      <c r="W668">
        <v>15.046515250000001</v>
      </c>
      <c r="X668">
        <v>16.826134450000001</v>
      </c>
      <c r="Y668">
        <v>16.210184399999999</v>
      </c>
      <c r="Z668">
        <v>12.848812799999999</v>
      </c>
      <c r="AA668">
        <v>10.647337800000001</v>
      </c>
      <c r="AB668">
        <v>8.9917695000000002</v>
      </c>
    </row>
    <row r="669" spans="1:28" hidden="1" x14ac:dyDescent="0.25">
      <c r="A669" t="s">
        <v>7</v>
      </c>
      <c r="B669" t="s">
        <v>17</v>
      </c>
      <c r="C669">
        <v>110</v>
      </c>
      <c r="D669" t="s">
        <v>3</v>
      </c>
      <c r="E669">
        <v>3.4800604447999999</v>
      </c>
      <c r="F669">
        <v>3.2169265937999998</v>
      </c>
      <c r="G669">
        <v>3.2647980959999998</v>
      </c>
      <c r="H669">
        <v>3.2130610220000002</v>
      </c>
      <c r="I669">
        <v>3.8252140048999999</v>
      </c>
      <c r="J669">
        <v>4.5316253200999999</v>
      </c>
      <c r="K669">
        <v>5.1617244652999998</v>
      </c>
      <c r="L669">
        <v>5.9965786662999996</v>
      </c>
      <c r="M669">
        <v>6.4179440894999997</v>
      </c>
      <c r="N669">
        <v>4.7186904694000003</v>
      </c>
      <c r="O669">
        <v>5.0479137808000001</v>
      </c>
      <c r="P669">
        <v>5.4873292036999999</v>
      </c>
      <c r="Q669">
        <v>6.6835429685000003</v>
      </c>
      <c r="R669">
        <v>5.3420017389999996</v>
      </c>
      <c r="S669">
        <v>5.1642312712000003</v>
      </c>
      <c r="T669">
        <v>4.8541010284999997</v>
      </c>
      <c r="U669">
        <v>5.281346096</v>
      </c>
      <c r="V669">
        <v>4.9981143552000002</v>
      </c>
      <c r="W669">
        <v>6.7232964864999998</v>
      </c>
      <c r="X669">
        <v>8.6951703670999994</v>
      </c>
      <c r="Y669">
        <v>7.7801076283999997</v>
      </c>
      <c r="Z669">
        <v>6.7487259048999997</v>
      </c>
      <c r="AA669">
        <v>4.6947642708000004</v>
      </c>
      <c r="AB669">
        <v>4.0442277714000001</v>
      </c>
    </row>
    <row r="670" spans="1:28" hidden="1" x14ac:dyDescent="0.25">
      <c r="A670" t="s">
        <v>7</v>
      </c>
      <c r="B670" t="s">
        <v>17</v>
      </c>
      <c r="C670">
        <v>110</v>
      </c>
      <c r="D670" t="s">
        <v>4</v>
      </c>
      <c r="E670">
        <v>0.1201902</v>
      </c>
      <c r="F670">
        <v>0.1149975</v>
      </c>
      <c r="G670">
        <v>0.1192554</v>
      </c>
      <c r="H670">
        <v>0.1191159</v>
      </c>
      <c r="I670">
        <v>0.13123109999999999</v>
      </c>
      <c r="J670">
        <v>0.15974250000000001</v>
      </c>
      <c r="K670">
        <v>0.18717885000000001</v>
      </c>
      <c r="L670">
        <v>0.19779540000000001</v>
      </c>
      <c r="M670">
        <v>0.1828485</v>
      </c>
      <c r="N670">
        <v>0.1776045</v>
      </c>
      <c r="O670">
        <v>0.18305175000000001</v>
      </c>
      <c r="P670">
        <v>0.19210350000000001</v>
      </c>
      <c r="Q670">
        <v>0.19439714999999999</v>
      </c>
      <c r="R670">
        <v>0.18574499999999999</v>
      </c>
      <c r="S670">
        <v>0.18331425000000001</v>
      </c>
      <c r="T670">
        <v>0.17995320000000001</v>
      </c>
      <c r="U670">
        <v>0.17999204999999999</v>
      </c>
      <c r="V670">
        <v>0.1881216</v>
      </c>
      <c r="W670">
        <v>0.22913475</v>
      </c>
      <c r="X670">
        <v>0.25623554999999998</v>
      </c>
      <c r="Y670">
        <v>0.24685560000000001</v>
      </c>
      <c r="Z670">
        <v>0.19566720000000001</v>
      </c>
      <c r="AA670">
        <v>0.16214219999999999</v>
      </c>
      <c r="AB670">
        <v>0.13693050000000001</v>
      </c>
    </row>
    <row r="671" spans="1:28" hidden="1" x14ac:dyDescent="0.25">
      <c r="A671" t="s">
        <v>7</v>
      </c>
      <c r="B671" t="s">
        <v>18</v>
      </c>
      <c r="C671">
        <v>115</v>
      </c>
      <c r="D671" t="s">
        <v>2</v>
      </c>
      <c r="E671">
        <v>2.6178542</v>
      </c>
      <c r="F671">
        <v>2.4329499999999999</v>
      </c>
      <c r="G671">
        <v>2.4074089500000002</v>
      </c>
      <c r="H671">
        <v>2.3382323999999999</v>
      </c>
      <c r="I671">
        <v>2.3762238500000001</v>
      </c>
      <c r="J671">
        <v>2.9150483999999999</v>
      </c>
      <c r="K671">
        <v>3.29946435</v>
      </c>
      <c r="L671">
        <v>3.1316302</v>
      </c>
      <c r="M671">
        <v>3.1392737999999998</v>
      </c>
      <c r="N671">
        <v>3.2543809000000001</v>
      </c>
      <c r="O671">
        <v>3.4343995</v>
      </c>
      <c r="P671">
        <v>3.7236447500000001</v>
      </c>
      <c r="Q671">
        <v>3.7491759500000001</v>
      </c>
      <c r="R671">
        <v>3.6952275000000001</v>
      </c>
      <c r="S671">
        <v>3.8197807500000001</v>
      </c>
      <c r="T671">
        <v>3.6804328000000002</v>
      </c>
      <c r="U671">
        <v>3.5563031000000001</v>
      </c>
      <c r="V671">
        <v>3.6248</v>
      </c>
      <c r="W671">
        <v>4.3525672499999999</v>
      </c>
      <c r="X671">
        <v>4.8860826499999996</v>
      </c>
      <c r="Y671">
        <v>5.0242091999999996</v>
      </c>
      <c r="Z671">
        <v>4.4049199999999997</v>
      </c>
      <c r="AA671">
        <v>3.9773117999999998</v>
      </c>
      <c r="AB671">
        <v>3.3733097999999999</v>
      </c>
    </row>
    <row r="672" spans="1:28" hidden="1" x14ac:dyDescent="0.25">
      <c r="A672" t="s">
        <v>7</v>
      </c>
      <c r="B672" t="s">
        <v>18</v>
      </c>
      <c r="C672">
        <v>115</v>
      </c>
      <c r="D672" t="s">
        <v>3</v>
      </c>
      <c r="E672">
        <v>1.3473222901999999</v>
      </c>
      <c r="F672">
        <v>1.0290838949000001</v>
      </c>
      <c r="G672">
        <v>0.99629334530000002</v>
      </c>
      <c r="H672">
        <v>0.97481224899999996</v>
      </c>
      <c r="I672">
        <v>0.9833875581</v>
      </c>
      <c r="J672">
        <v>1.3025431031000001</v>
      </c>
      <c r="K672">
        <v>1.6376996328</v>
      </c>
      <c r="L672">
        <v>1.5601844365999999</v>
      </c>
      <c r="M672">
        <v>1.5807402991999999</v>
      </c>
      <c r="N672">
        <v>1.6588808245</v>
      </c>
      <c r="O672">
        <v>1.7623469426</v>
      </c>
      <c r="P672">
        <v>1.8349662280000001</v>
      </c>
      <c r="Q672">
        <v>1.8128344764</v>
      </c>
      <c r="R672">
        <v>1.7928189687</v>
      </c>
      <c r="S672">
        <v>1.9046259167999999</v>
      </c>
      <c r="T672">
        <v>1.8966369835000001</v>
      </c>
      <c r="U672">
        <v>1.8744506943000001</v>
      </c>
      <c r="V672">
        <v>1.8545304018</v>
      </c>
      <c r="W672">
        <v>2.1884018524000002</v>
      </c>
      <c r="X672">
        <v>2.1392197643999999</v>
      </c>
      <c r="Y672">
        <v>2.0096317536999999</v>
      </c>
      <c r="Z672">
        <v>1.7701663322000001</v>
      </c>
      <c r="AA672">
        <v>1.6756876060000001</v>
      </c>
      <c r="AB672">
        <v>1.6045137385999999</v>
      </c>
    </row>
    <row r="673" spans="1:28" hidden="1" x14ac:dyDescent="0.25">
      <c r="A673" t="s">
        <v>7</v>
      </c>
      <c r="B673" t="s">
        <v>18</v>
      </c>
      <c r="C673">
        <v>115</v>
      </c>
      <c r="D673" t="s">
        <v>4</v>
      </c>
      <c r="E673">
        <v>3.98658E-2</v>
      </c>
      <c r="F673">
        <v>3.705E-2</v>
      </c>
      <c r="G673">
        <v>3.6661050000000001E-2</v>
      </c>
      <c r="H673">
        <v>3.5607600000000003E-2</v>
      </c>
      <c r="I673">
        <v>3.618615E-2</v>
      </c>
      <c r="J673">
        <v>4.4391600000000003E-2</v>
      </c>
      <c r="K673">
        <v>5.0245650000000003E-2</v>
      </c>
      <c r="L673">
        <v>4.7689799999999997E-2</v>
      </c>
      <c r="M673">
        <v>4.78062E-2</v>
      </c>
      <c r="N673">
        <v>4.9559100000000002E-2</v>
      </c>
      <c r="O673">
        <v>5.23005E-2</v>
      </c>
      <c r="P673">
        <v>5.6705249999999999E-2</v>
      </c>
      <c r="Q673">
        <v>5.709405E-2</v>
      </c>
      <c r="R673">
        <v>5.6272500000000003E-2</v>
      </c>
      <c r="S673">
        <v>5.8169249999999999E-2</v>
      </c>
      <c r="T673">
        <v>5.6047199999999998E-2</v>
      </c>
      <c r="U673">
        <v>5.4156900000000001E-2</v>
      </c>
      <c r="V673">
        <v>5.5199999999999999E-2</v>
      </c>
      <c r="W673">
        <v>6.6282750000000001E-2</v>
      </c>
      <c r="X673">
        <v>7.4407349999999997E-2</v>
      </c>
      <c r="Y673">
        <v>7.6510800000000004E-2</v>
      </c>
      <c r="Z673">
        <v>6.7080000000000001E-2</v>
      </c>
      <c r="AA673">
        <v>6.0568200000000003E-2</v>
      </c>
      <c r="AB673">
        <v>5.1370199999999998E-2</v>
      </c>
    </row>
    <row r="674" spans="1:28" hidden="1" x14ac:dyDescent="0.25">
      <c r="A674" t="s">
        <v>7</v>
      </c>
      <c r="B674" t="s">
        <v>19</v>
      </c>
      <c r="C674">
        <v>110</v>
      </c>
      <c r="D674" t="s">
        <v>2</v>
      </c>
      <c r="E674">
        <v>12.5734856</v>
      </c>
      <c r="F674">
        <v>11.921455</v>
      </c>
      <c r="G674">
        <v>11.71855485</v>
      </c>
      <c r="H674">
        <v>11.5334241</v>
      </c>
      <c r="I674">
        <v>12.610748149999999</v>
      </c>
      <c r="J674">
        <v>14.63045125</v>
      </c>
      <c r="K674">
        <v>16.158915149999999</v>
      </c>
      <c r="L674">
        <v>17.288138849999999</v>
      </c>
      <c r="M674">
        <v>17.2525902</v>
      </c>
      <c r="N674">
        <v>17.989882399999999</v>
      </c>
      <c r="O674">
        <v>18.052242750000001</v>
      </c>
      <c r="P674">
        <v>19.271761399999999</v>
      </c>
      <c r="Q674">
        <v>18.77623745</v>
      </c>
      <c r="R674">
        <v>18.881711249999999</v>
      </c>
      <c r="S674">
        <v>18.49017375</v>
      </c>
      <c r="T674">
        <v>18.508622800000001</v>
      </c>
      <c r="U674">
        <v>18.45392575</v>
      </c>
      <c r="V674">
        <v>18.051504000000001</v>
      </c>
      <c r="W674">
        <v>18.95893525</v>
      </c>
      <c r="X674">
        <v>20.5115415</v>
      </c>
      <c r="Y674">
        <v>19.780848800000001</v>
      </c>
      <c r="Z674">
        <v>18.365127999999999</v>
      </c>
      <c r="AA674">
        <v>16.8109359</v>
      </c>
      <c r="AB674">
        <v>14.8336272</v>
      </c>
    </row>
    <row r="675" spans="1:28" hidden="1" x14ac:dyDescent="0.25">
      <c r="A675" t="s">
        <v>7</v>
      </c>
      <c r="B675" t="s">
        <v>19</v>
      </c>
      <c r="C675">
        <v>110</v>
      </c>
      <c r="D675" t="s">
        <v>3</v>
      </c>
      <c r="E675">
        <v>4.6415473568000003</v>
      </c>
      <c r="F675">
        <v>4.5701247183999998</v>
      </c>
      <c r="G675">
        <v>4.5603666566000003</v>
      </c>
      <c r="H675">
        <v>4.5033199550000003</v>
      </c>
      <c r="I675">
        <v>4.8581719136999997</v>
      </c>
      <c r="J675">
        <v>5.2399555396000004</v>
      </c>
      <c r="K675">
        <v>5.3694408186000002</v>
      </c>
      <c r="L675">
        <v>6.0059949688999996</v>
      </c>
      <c r="M675">
        <v>6.2624263658999997</v>
      </c>
      <c r="N675">
        <v>6.7315376387999999</v>
      </c>
      <c r="O675">
        <v>6.7554593745</v>
      </c>
      <c r="P675">
        <v>7.3203868776999999</v>
      </c>
      <c r="Q675">
        <v>7.1139956527999999</v>
      </c>
      <c r="R675">
        <v>7.1539578739999996</v>
      </c>
      <c r="S675">
        <v>7.0431461999999998</v>
      </c>
      <c r="T675">
        <v>7.1397290135000002</v>
      </c>
      <c r="U675">
        <v>7.1133268088000001</v>
      </c>
      <c r="V675">
        <v>6.8772125651999998</v>
      </c>
      <c r="W675">
        <v>6.9319937013999997</v>
      </c>
      <c r="X675">
        <v>6.7476386529000001</v>
      </c>
      <c r="Y675">
        <v>6.1640249244999996</v>
      </c>
      <c r="Z675">
        <v>5.7694550704000003</v>
      </c>
      <c r="AA675">
        <v>5.3943305831000004</v>
      </c>
      <c r="AB675">
        <v>5.1345177117</v>
      </c>
    </row>
    <row r="676" spans="1:28" hidden="1" x14ac:dyDescent="0.25">
      <c r="A676" t="s">
        <v>7</v>
      </c>
      <c r="B676" t="s">
        <v>19</v>
      </c>
      <c r="C676">
        <v>110</v>
      </c>
      <c r="D676" t="s">
        <v>4</v>
      </c>
      <c r="E676">
        <v>0.19147439999999999</v>
      </c>
      <c r="F676">
        <v>0.18154500000000001</v>
      </c>
      <c r="G676">
        <v>0.17845515000000001</v>
      </c>
      <c r="H676">
        <v>0.17563590000000001</v>
      </c>
      <c r="I676">
        <v>0.19204184999999999</v>
      </c>
      <c r="J676">
        <v>0.22279874999999999</v>
      </c>
      <c r="K676">
        <v>0.24607485000000001</v>
      </c>
      <c r="L676">
        <v>0.26327115000000001</v>
      </c>
      <c r="M676">
        <v>0.26272980000000001</v>
      </c>
      <c r="N676">
        <v>0.27395760000000002</v>
      </c>
      <c r="O676">
        <v>0.27490724999999999</v>
      </c>
      <c r="P676">
        <v>0.29347859999999998</v>
      </c>
      <c r="Q676">
        <v>0.28593255000000001</v>
      </c>
      <c r="R676">
        <v>0.28753875000000001</v>
      </c>
      <c r="S676">
        <v>0.28157624999999997</v>
      </c>
      <c r="T676">
        <v>0.28185719999999997</v>
      </c>
      <c r="U676">
        <v>0.28102424999999998</v>
      </c>
      <c r="V676">
        <v>0.27489599999999997</v>
      </c>
      <c r="W676">
        <v>0.28871475000000002</v>
      </c>
      <c r="X676">
        <v>0.31235849999999998</v>
      </c>
      <c r="Y676">
        <v>0.30123119999999998</v>
      </c>
      <c r="Z676">
        <v>0.27967199999999998</v>
      </c>
      <c r="AA676">
        <v>0.25600410000000001</v>
      </c>
      <c r="AB676">
        <v>0.2258928</v>
      </c>
    </row>
    <row r="677" spans="1:28" hidden="1" x14ac:dyDescent="0.25">
      <c r="A677" t="s">
        <v>7</v>
      </c>
      <c r="B677" t="s">
        <v>20</v>
      </c>
      <c r="C677">
        <v>110</v>
      </c>
      <c r="D677" t="s">
        <v>2</v>
      </c>
      <c r="E677">
        <v>18.062220799999999</v>
      </c>
      <c r="F677">
        <v>19.454242499999999</v>
      </c>
      <c r="G677">
        <v>20.477027100000001</v>
      </c>
      <c r="H677">
        <v>19.921368900000001</v>
      </c>
      <c r="I677">
        <v>20.8042835</v>
      </c>
      <c r="J677">
        <v>22.116825550000001</v>
      </c>
      <c r="K677">
        <v>21.452561249999999</v>
      </c>
      <c r="L677">
        <v>20.278589</v>
      </c>
      <c r="M677">
        <v>18.285599099999999</v>
      </c>
      <c r="N677">
        <v>18.995528</v>
      </c>
      <c r="O677">
        <v>21.342339750000001</v>
      </c>
      <c r="P677">
        <v>22.0986917</v>
      </c>
      <c r="Q677">
        <v>21.796828600000001</v>
      </c>
      <c r="R677">
        <v>21.360217500000001</v>
      </c>
      <c r="S677">
        <v>21.77731575</v>
      </c>
      <c r="T677">
        <v>21.7784288</v>
      </c>
      <c r="U677">
        <v>21.547012899999999</v>
      </c>
      <c r="V677">
        <v>20.327878399999999</v>
      </c>
      <c r="W677">
        <v>24.957979250000001</v>
      </c>
      <c r="X677">
        <v>24.113568300000001</v>
      </c>
      <c r="Y677">
        <v>19.74925</v>
      </c>
      <c r="Z677">
        <v>19.8424704</v>
      </c>
      <c r="AA677">
        <v>20.022429899999999</v>
      </c>
      <c r="AB677">
        <v>18.497354399999999</v>
      </c>
    </row>
    <row r="678" spans="1:28" hidden="1" x14ac:dyDescent="0.25">
      <c r="A678" t="s">
        <v>7</v>
      </c>
      <c r="B678" t="s">
        <v>20</v>
      </c>
      <c r="C678">
        <v>110</v>
      </c>
      <c r="D678" t="s">
        <v>3</v>
      </c>
      <c r="E678">
        <v>6.5802462054999999</v>
      </c>
      <c r="F678">
        <v>7.0176232622999999</v>
      </c>
      <c r="G678">
        <v>7.4056465643999996</v>
      </c>
      <c r="H678">
        <v>7.2119727838000003</v>
      </c>
      <c r="I678">
        <v>7.4671388715999996</v>
      </c>
      <c r="J678">
        <v>7.968502784</v>
      </c>
      <c r="K678">
        <v>7.6660808416000004</v>
      </c>
      <c r="L678">
        <v>7.2268361262000003</v>
      </c>
      <c r="M678">
        <v>6.4308738088000004</v>
      </c>
      <c r="N678">
        <v>6.9007552989000001</v>
      </c>
      <c r="O678">
        <v>8.1000178212999998</v>
      </c>
      <c r="P678">
        <v>8.5351801370999993</v>
      </c>
      <c r="Q678">
        <v>8.5017690601000009</v>
      </c>
      <c r="R678">
        <v>8.2479151547999994</v>
      </c>
      <c r="S678">
        <v>8.4235522619999994</v>
      </c>
      <c r="T678">
        <v>8.4246770098999999</v>
      </c>
      <c r="U678">
        <v>8.3612230813000004</v>
      </c>
      <c r="V678">
        <v>7.8168288894</v>
      </c>
      <c r="W678">
        <v>9.4931619907999991</v>
      </c>
      <c r="X678">
        <v>9.0386066488000001</v>
      </c>
      <c r="Y678">
        <v>7.3531896771999996</v>
      </c>
      <c r="Z678">
        <v>7.4253933173000002</v>
      </c>
      <c r="AA678">
        <v>7.4535951372999998</v>
      </c>
      <c r="AB678">
        <v>6.7448889649000003</v>
      </c>
    </row>
    <row r="679" spans="1:28" hidden="1" x14ac:dyDescent="0.25">
      <c r="A679" t="s">
        <v>7</v>
      </c>
      <c r="B679" t="s">
        <v>20</v>
      </c>
      <c r="C679">
        <v>110</v>
      </c>
      <c r="D679" t="s">
        <v>4</v>
      </c>
      <c r="E679">
        <v>0.2750592</v>
      </c>
      <c r="F679">
        <v>0.29625750000000001</v>
      </c>
      <c r="G679">
        <v>0.31183290000000002</v>
      </c>
      <c r="H679">
        <v>0.3033711</v>
      </c>
      <c r="I679">
        <v>0.3168165</v>
      </c>
      <c r="J679">
        <v>0.33680444999999998</v>
      </c>
      <c r="K679">
        <v>0.32668875000000003</v>
      </c>
      <c r="L679">
        <v>0.308811</v>
      </c>
      <c r="M679">
        <v>0.27846090000000001</v>
      </c>
      <c r="N679">
        <v>0.28927199999999997</v>
      </c>
      <c r="O679">
        <v>0.32501025</v>
      </c>
      <c r="P679">
        <v>0.3365283</v>
      </c>
      <c r="Q679">
        <v>0.33193139999999999</v>
      </c>
      <c r="R679">
        <v>0.32528249999999997</v>
      </c>
      <c r="S679">
        <v>0.33163425000000002</v>
      </c>
      <c r="T679">
        <v>0.33165119999999998</v>
      </c>
      <c r="U679">
        <v>0.3281271</v>
      </c>
      <c r="V679">
        <v>0.30956159999999999</v>
      </c>
      <c r="W679">
        <v>0.38007075000000001</v>
      </c>
      <c r="X679">
        <v>0.36721169999999997</v>
      </c>
      <c r="Y679">
        <v>0.30075000000000002</v>
      </c>
      <c r="Z679">
        <v>0.30216959999999998</v>
      </c>
      <c r="AA679">
        <v>0.30491010000000002</v>
      </c>
      <c r="AB679">
        <v>0.28168559999999998</v>
      </c>
    </row>
    <row r="680" spans="1:28" hidden="1" x14ac:dyDescent="0.25">
      <c r="A680" t="s">
        <v>7</v>
      </c>
      <c r="B680" t="s">
        <v>21</v>
      </c>
      <c r="C680">
        <v>110</v>
      </c>
      <c r="D680" t="s">
        <v>2</v>
      </c>
      <c r="E680">
        <v>29.6527946</v>
      </c>
      <c r="F680">
        <v>26.556584999999998</v>
      </c>
      <c r="G680">
        <v>25.788314549999999</v>
      </c>
      <c r="H680">
        <v>24.774128999999999</v>
      </c>
      <c r="I680">
        <v>26.325799499999999</v>
      </c>
      <c r="J680">
        <v>29.128400299999999</v>
      </c>
      <c r="K680">
        <v>33.030901350000001</v>
      </c>
      <c r="L680">
        <v>32.830778899999999</v>
      </c>
      <c r="M680">
        <v>32.638443799999997</v>
      </c>
      <c r="N680">
        <v>34.120711200000002</v>
      </c>
      <c r="O680">
        <v>36.421011249999999</v>
      </c>
      <c r="P680">
        <v>38.908116550000003</v>
      </c>
      <c r="Q680">
        <v>40.087342849999999</v>
      </c>
      <c r="R680">
        <v>40.091716249999998</v>
      </c>
      <c r="S680">
        <v>41.454512999999999</v>
      </c>
      <c r="T680">
        <v>40.211009599999997</v>
      </c>
      <c r="U680">
        <v>39.463010449999999</v>
      </c>
      <c r="V680">
        <v>39.162339199999998</v>
      </c>
      <c r="W680">
        <v>46.525194499999998</v>
      </c>
      <c r="X680">
        <v>50.294966799999997</v>
      </c>
      <c r="Y680">
        <v>50.573879400000003</v>
      </c>
      <c r="Z680">
        <v>44.130521600000002</v>
      </c>
      <c r="AA680">
        <v>40.403064899999997</v>
      </c>
      <c r="AB680">
        <v>35.620811099999997</v>
      </c>
    </row>
    <row r="681" spans="1:28" hidden="1" x14ac:dyDescent="0.25">
      <c r="A681" t="s">
        <v>7</v>
      </c>
      <c r="B681" t="s">
        <v>21</v>
      </c>
      <c r="C681">
        <v>110</v>
      </c>
      <c r="D681" t="s">
        <v>3</v>
      </c>
      <c r="E681">
        <v>14.7257395454</v>
      </c>
      <c r="F681">
        <v>11.788165471799999</v>
      </c>
      <c r="G681">
        <v>10.7511832042</v>
      </c>
      <c r="H681">
        <v>10.478907156</v>
      </c>
      <c r="I681">
        <v>10.894791619599999</v>
      </c>
      <c r="J681">
        <v>15.3625298748</v>
      </c>
      <c r="K681">
        <v>15.848544911999999</v>
      </c>
      <c r="L681">
        <v>15.460014430699999</v>
      </c>
      <c r="M681">
        <v>15.9615773233</v>
      </c>
      <c r="N681">
        <v>17.491894493499998</v>
      </c>
      <c r="O681">
        <v>18.436678418500001</v>
      </c>
      <c r="P681">
        <v>18.491079534499999</v>
      </c>
      <c r="Q681">
        <v>19.054941125799999</v>
      </c>
      <c r="R681">
        <v>19.1827727903</v>
      </c>
      <c r="S681">
        <v>20.1406963242</v>
      </c>
      <c r="T681">
        <v>20.2622969518</v>
      </c>
      <c r="U681">
        <v>20.0412909382</v>
      </c>
      <c r="V681">
        <v>19.899473279999999</v>
      </c>
      <c r="W681">
        <v>23.449195303100002</v>
      </c>
      <c r="X681">
        <v>23.188215995</v>
      </c>
      <c r="Y681">
        <v>21.4436313028</v>
      </c>
      <c r="Z681">
        <v>18.782224365499999</v>
      </c>
      <c r="AA681">
        <v>17.696431123699998</v>
      </c>
      <c r="AB681">
        <v>16.833041036800001</v>
      </c>
    </row>
    <row r="682" spans="1:28" hidden="1" x14ac:dyDescent="0.25">
      <c r="A682" t="s">
        <v>7</v>
      </c>
      <c r="B682" t="s">
        <v>21</v>
      </c>
      <c r="C682">
        <v>110</v>
      </c>
      <c r="D682" t="s">
        <v>4</v>
      </c>
      <c r="E682">
        <v>0.45156540000000001</v>
      </c>
      <c r="F682">
        <v>0.40441500000000002</v>
      </c>
      <c r="G682">
        <v>0.39271545000000002</v>
      </c>
      <c r="H682">
        <v>0.37727100000000002</v>
      </c>
      <c r="I682">
        <v>0.40090049999999999</v>
      </c>
      <c r="J682">
        <v>0.44357970000000002</v>
      </c>
      <c r="K682">
        <v>0.50300864999999995</v>
      </c>
      <c r="L682">
        <v>0.49996109999999999</v>
      </c>
      <c r="M682">
        <v>0.49703213899999998</v>
      </c>
      <c r="N682">
        <v>0.51960473900000004</v>
      </c>
      <c r="O682">
        <v>0.55463468900000001</v>
      </c>
      <c r="P682">
        <v>0.59250938900000005</v>
      </c>
      <c r="Q682">
        <v>0.61046714999999996</v>
      </c>
      <c r="R682">
        <v>0.61053374999999999</v>
      </c>
      <c r="S682">
        <v>0.63128700000000004</v>
      </c>
      <c r="T682">
        <v>0.61235039999999996</v>
      </c>
      <c r="U682">
        <v>0.60095955000000001</v>
      </c>
      <c r="V682">
        <v>0.59638080000000004</v>
      </c>
      <c r="W682">
        <v>0.70850550000000001</v>
      </c>
      <c r="X682">
        <v>0.76591319999999996</v>
      </c>
      <c r="Y682">
        <v>0.77016059999999997</v>
      </c>
      <c r="Z682">
        <v>0.67203840000000004</v>
      </c>
      <c r="AA682">
        <v>0.61527509999999996</v>
      </c>
      <c r="AB682">
        <v>0.54244890000000001</v>
      </c>
    </row>
    <row r="683" spans="1:28" hidden="1" x14ac:dyDescent="0.25">
      <c r="A683" t="s">
        <v>7</v>
      </c>
      <c r="B683" t="s">
        <v>22</v>
      </c>
      <c r="C683">
        <v>44</v>
      </c>
      <c r="D683" t="s">
        <v>2</v>
      </c>
      <c r="E683">
        <v>18.055502400000002</v>
      </c>
      <c r="F683">
        <v>17.960035000000001</v>
      </c>
      <c r="G683">
        <v>16.355393100000001</v>
      </c>
      <c r="H683">
        <v>16.127510999999998</v>
      </c>
      <c r="I683">
        <v>17.7784607</v>
      </c>
      <c r="J683">
        <v>19.159459399999999</v>
      </c>
      <c r="K683">
        <v>18.114691799999999</v>
      </c>
      <c r="L683">
        <v>16.822642099999999</v>
      </c>
      <c r="M683">
        <v>16.712420999999999</v>
      </c>
      <c r="N683">
        <v>17.330795999999999</v>
      </c>
      <c r="O683">
        <v>17.819966999999998</v>
      </c>
      <c r="P683">
        <v>18.514302699999998</v>
      </c>
      <c r="Q683">
        <v>18.161455499999999</v>
      </c>
      <c r="R683">
        <v>17.4107725</v>
      </c>
      <c r="S683">
        <v>18.463367999999999</v>
      </c>
      <c r="T683">
        <v>18.586208800000001</v>
      </c>
      <c r="U683">
        <v>18.2759058</v>
      </c>
      <c r="V683">
        <v>17.748051199999999</v>
      </c>
      <c r="W683">
        <v>21.784599499999999</v>
      </c>
      <c r="X683">
        <v>22.268367600000001</v>
      </c>
      <c r="Y683">
        <v>20.7865568</v>
      </c>
      <c r="Z683">
        <v>18.138844800000001</v>
      </c>
      <c r="AA683">
        <v>17.357742600000002</v>
      </c>
      <c r="AB683">
        <v>17.599679999999999</v>
      </c>
    </row>
    <row r="684" spans="1:28" hidden="1" x14ac:dyDescent="0.25">
      <c r="A684" t="s">
        <v>7</v>
      </c>
      <c r="B684" t="s">
        <v>22</v>
      </c>
      <c r="C684">
        <v>44</v>
      </c>
      <c r="D684" t="s">
        <v>3</v>
      </c>
      <c r="E684">
        <v>6.6652535428000004</v>
      </c>
      <c r="F684">
        <v>6.8850320615999996</v>
      </c>
      <c r="G684">
        <v>6.3648282832999996</v>
      </c>
      <c r="H684">
        <v>6.2971188331999999</v>
      </c>
      <c r="I684">
        <v>6.8489844866</v>
      </c>
      <c r="J684">
        <v>6.8620382040000001</v>
      </c>
      <c r="K684">
        <v>6.0193252248000002</v>
      </c>
      <c r="L684">
        <v>5.8442788256</v>
      </c>
      <c r="M684">
        <v>6.0663532080999998</v>
      </c>
      <c r="N684">
        <v>6.4849176326000002</v>
      </c>
      <c r="O684">
        <v>6.6685377983</v>
      </c>
      <c r="P684">
        <v>7.0326658638000001</v>
      </c>
      <c r="Q684">
        <v>6.8810652729999999</v>
      </c>
      <c r="R684">
        <v>6.5966443067</v>
      </c>
      <c r="S684">
        <v>7.0329355432999998</v>
      </c>
      <c r="T684">
        <v>7.1696579293999996</v>
      </c>
      <c r="U684">
        <v>7.0447065000000002</v>
      </c>
      <c r="V684">
        <v>6.7616039484000003</v>
      </c>
      <c r="W684">
        <v>7.9651470154000004</v>
      </c>
      <c r="X684">
        <v>7.3255780387999998</v>
      </c>
      <c r="Y684">
        <v>6.4774194224999997</v>
      </c>
      <c r="Z684">
        <v>5.6983675856999998</v>
      </c>
      <c r="AA684">
        <v>5.5697911358000001</v>
      </c>
      <c r="AB684">
        <v>6.0919603453000004</v>
      </c>
    </row>
    <row r="685" spans="1:28" hidden="1" x14ac:dyDescent="0.25">
      <c r="A685" t="s">
        <v>7</v>
      </c>
      <c r="B685" t="s">
        <v>22</v>
      </c>
      <c r="C685">
        <v>44</v>
      </c>
      <c r="D685" t="s">
        <v>4</v>
      </c>
      <c r="E685">
        <v>0.55841759999999996</v>
      </c>
      <c r="F685">
        <v>0.55546499999999999</v>
      </c>
      <c r="G685">
        <v>0.50583690000000003</v>
      </c>
      <c r="H685">
        <v>0.49878899999999998</v>
      </c>
      <c r="I685">
        <v>0.54984929999999999</v>
      </c>
      <c r="J685">
        <v>0.59256059999999999</v>
      </c>
      <c r="K685">
        <v>0.56024819999999997</v>
      </c>
      <c r="L685">
        <v>0.52028790000000003</v>
      </c>
      <c r="M685">
        <v>0.51687899999999998</v>
      </c>
      <c r="N685">
        <v>0.53600400000000004</v>
      </c>
      <c r="O685">
        <v>0.55113299999999998</v>
      </c>
      <c r="P685">
        <v>0.57260730000000004</v>
      </c>
      <c r="Q685">
        <v>0.56169449999999999</v>
      </c>
      <c r="R685">
        <v>0.53847750000000005</v>
      </c>
      <c r="S685">
        <v>0.57103199999999998</v>
      </c>
      <c r="T685">
        <v>0.57483119999999999</v>
      </c>
      <c r="U685">
        <v>0.56523420000000002</v>
      </c>
      <c r="V685">
        <v>0.54890879999999997</v>
      </c>
      <c r="W685">
        <v>0.67375050000000003</v>
      </c>
      <c r="X685">
        <v>0.6887124</v>
      </c>
      <c r="Y685">
        <v>0.64288319999999999</v>
      </c>
      <c r="Z685">
        <v>0.56099520000000003</v>
      </c>
      <c r="AA685">
        <v>0.53683740000000002</v>
      </c>
      <c r="AB685">
        <v>0.54432000000000003</v>
      </c>
    </row>
    <row r="686" spans="1:28" hidden="1" x14ac:dyDescent="0.25">
      <c r="A686" t="s">
        <v>7</v>
      </c>
      <c r="B686" t="s">
        <v>23</v>
      </c>
      <c r="C686">
        <v>44</v>
      </c>
      <c r="D686" t="s">
        <v>2</v>
      </c>
      <c r="E686">
        <v>8.7594104000000002</v>
      </c>
      <c r="F686">
        <v>8.3303600000000007</v>
      </c>
      <c r="G686">
        <v>8.1361854000000005</v>
      </c>
      <c r="H686">
        <v>7.7485151999999999</v>
      </c>
      <c r="I686">
        <v>7.5250174999999997</v>
      </c>
      <c r="J686">
        <v>7.3614949000000003</v>
      </c>
      <c r="K686">
        <v>7.1173361999999996</v>
      </c>
      <c r="L686">
        <v>6.5976102000000001</v>
      </c>
      <c r="M686">
        <v>6.8435052000000001</v>
      </c>
      <c r="N686">
        <v>7.1248828</v>
      </c>
      <c r="O686">
        <v>7.3184075000000002</v>
      </c>
      <c r="P686">
        <v>7.6781223000000001</v>
      </c>
      <c r="Q686">
        <v>7.8624901999999999</v>
      </c>
      <c r="R686">
        <v>7.8252325000000003</v>
      </c>
      <c r="S686">
        <v>8.3624670000000005</v>
      </c>
      <c r="T686">
        <v>8.7164976000000003</v>
      </c>
      <c r="U686">
        <v>8.7406506000000004</v>
      </c>
      <c r="V686">
        <v>8.5099263999999994</v>
      </c>
      <c r="W686">
        <v>8.7973180000000006</v>
      </c>
      <c r="X686">
        <v>9.5412400999999996</v>
      </c>
      <c r="Y686">
        <v>9.8020440000000004</v>
      </c>
      <c r="Z686">
        <v>9.1962208000000008</v>
      </c>
      <c r="AA686">
        <v>9.4756002000000006</v>
      </c>
      <c r="AB686">
        <v>9.4708278000000004</v>
      </c>
    </row>
    <row r="687" spans="1:28" hidden="1" x14ac:dyDescent="0.25">
      <c r="A687" t="s">
        <v>7</v>
      </c>
      <c r="B687" t="s">
        <v>23</v>
      </c>
      <c r="C687">
        <v>44</v>
      </c>
      <c r="D687" t="s">
        <v>3</v>
      </c>
      <c r="E687">
        <v>3.2335678015</v>
      </c>
      <c r="F687">
        <v>3.1934679239000001</v>
      </c>
      <c r="G687">
        <v>3.1662597551</v>
      </c>
      <c r="H687">
        <v>3.0254712580000001</v>
      </c>
      <c r="I687">
        <v>2.8989420955999998</v>
      </c>
      <c r="J687">
        <v>2.6365492984999999</v>
      </c>
      <c r="K687">
        <v>2.3650174009999998</v>
      </c>
      <c r="L687">
        <v>2.2920462411</v>
      </c>
      <c r="M687">
        <v>2.4840877168</v>
      </c>
      <c r="N687">
        <v>2.6660216933999998</v>
      </c>
      <c r="O687">
        <v>2.7386738167</v>
      </c>
      <c r="P687">
        <v>2.9165380663999998</v>
      </c>
      <c r="Q687">
        <v>2.9789632374999999</v>
      </c>
      <c r="R687">
        <v>2.9648469313999999</v>
      </c>
      <c r="S687">
        <v>3.1853717802000001</v>
      </c>
      <c r="T687">
        <v>3.3624020264999999</v>
      </c>
      <c r="U687">
        <v>3.3692074564999999</v>
      </c>
      <c r="V687">
        <v>3.2420884579</v>
      </c>
      <c r="W687">
        <v>3.2165811085999998</v>
      </c>
      <c r="X687">
        <v>3.1387616818000001</v>
      </c>
      <c r="Y687">
        <v>3.0544717335999998</v>
      </c>
      <c r="Z687">
        <v>2.8890178561000002</v>
      </c>
      <c r="AA687">
        <v>3.0405517132000002</v>
      </c>
      <c r="AB687">
        <v>3.2782361608000001</v>
      </c>
    </row>
    <row r="688" spans="1:28" hidden="1" x14ac:dyDescent="0.25">
      <c r="A688" t="s">
        <v>7</v>
      </c>
      <c r="B688" t="s">
        <v>23</v>
      </c>
      <c r="C688">
        <v>44</v>
      </c>
      <c r="D688" t="s">
        <v>4</v>
      </c>
      <c r="E688">
        <v>0.27090959999999997</v>
      </c>
      <c r="F688">
        <v>0.25763999999999998</v>
      </c>
      <c r="G688">
        <v>0.25163459999999999</v>
      </c>
      <c r="H688">
        <v>0.23964479999999999</v>
      </c>
      <c r="I688">
        <v>0.23273250000000001</v>
      </c>
      <c r="J688">
        <v>0.22767509999999999</v>
      </c>
      <c r="K688">
        <v>0.22012380000000001</v>
      </c>
      <c r="L688">
        <v>0.2040498</v>
      </c>
      <c r="M688">
        <v>0.2116548</v>
      </c>
      <c r="N688">
        <v>0.2203572</v>
      </c>
      <c r="O688">
        <v>0.2263425</v>
      </c>
      <c r="P688">
        <v>0.2374677</v>
      </c>
      <c r="Q688">
        <v>0.24316979999999999</v>
      </c>
      <c r="R688">
        <v>0.2420175</v>
      </c>
      <c r="S688">
        <v>0.258633</v>
      </c>
      <c r="T688">
        <v>0.2695824</v>
      </c>
      <c r="U688">
        <v>0.2703294</v>
      </c>
      <c r="V688">
        <v>0.26319360000000003</v>
      </c>
      <c r="W688">
        <v>0.27208199999999999</v>
      </c>
      <c r="X688">
        <v>0.29508990000000002</v>
      </c>
      <c r="Y688">
        <v>0.30315599999999998</v>
      </c>
      <c r="Z688">
        <v>0.28441919999999998</v>
      </c>
      <c r="AA688">
        <v>0.29305979999999998</v>
      </c>
      <c r="AB688">
        <v>0.29291220000000001</v>
      </c>
    </row>
    <row r="689" spans="1:28" hidden="1" x14ac:dyDescent="0.25">
      <c r="A689" t="s">
        <v>7</v>
      </c>
      <c r="B689" t="s">
        <v>24</v>
      </c>
      <c r="C689">
        <v>13</v>
      </c>
      <c r="D689" t="s">
        <v>2</v>
      </c>
      <c r="E689">
        <v>7.8654679999999999</v>
      </c>
      <c r="F689">
        <v>7.4185499999999998</v>
      </c>
      <c r="G689">
        <v>7.1553240000000002</v>
      </c>
      <c r="H689">
        <v>6.7296480000000001</v>
      </c>
      <c r="I689">
        <v>6.5044979999999999</v>
      </c>
      <c r="J689">
        <v>6.4109990000000003</v>
      </c>
      <c r="K689">
        <v>6.2012580000000002</v>
      </c>
      <c r="L689">
        <v>5.6941100000000002</v>
      </c>
      <c r="M689">
        <v>5.8096110000000003</v>
      </c>
      <c r="N689">
        <v>6.5603769999999999</v>
      </c>
      <c r="O689">
        <v>6.7917399999999999</v>
      </c>
      <c r="P689">
        <v>7.1240309999999996</v>
      </c>
      <c r="Q689">
        <v>7.2172735000000001</v>
      </c>
      <c r="R689">
        <v>7.1858000000000004</v>
      </c>
      <c r="S689">
        <v>7.7937525000000001</v>
      </c>
      <c r="T689">
        <v>8.3314240000000002</v>
      </c>
      <c r="U689">
        <v>8.4163160000000001</v>
      </c>
      <c r="V689">
        <v>8.1946239999999992</v>
      </c>
      <c r="W689">
        <v>8.3800924999999999</v>
      </c>
      <c r="X689">
        <v>8.6529229999999995</v>
      </c>
      <c r="Y689">
        <v>8.8685159999999996</v>
      </c>
      <c r="Z689">
        <v>8.3530080000000009</v>
      </c>
      <c r="AA689">
        <v>8.6726639999999993</v>
      </c>
      <c r="AB689">
        <v>8.6722649999999994</v>
      </c>
    </row>
    <row r="690" spans="1:28" hidden="1" x14ac:dyDescent="0.25">
      <c r="A690" t="s">
        <v>7</v>
      </c>
      <c r="B690" t="s">
        <v>24</v>
      </c>
      <c r="C690">
        <v>13</v>
      </c>
      <c r="D690" t="s">
        <v>3</v>
      </c>
      <c r="E690">
        <v>2.9035657546000002</v>
      </c>
      <c r="F690">
        <v>2.8439228876999998</v>
      </c>
      <c r="G690">
        <v>2.7845499213</v>
      </c>
      <c r="H690">
        <v>2.6276462103</v>
      </c>
      <c r="I690">
        <v>2.5057965729</v>
      </c>
      <c r="J690">
        <v>2.2961253312999998</v>
      </c>
      <c r="K690">
        <v>2.0606140648000002</v>
      </c>
      <c r="L690">
        <v>1.9781652789999999</v>
      </c>
      <c r="M690">
        <v>2.1087999355</v>
      </c>
      <c r="N690">
        <v>2.4547922947999998</v>
      </c>
      <c r="O690">
        <v>2.5415857900000001</v>
      </c>
      <c r="P690">
        <v>2.7060662470999999</v>
      </c>
      <c r="Q690">
        <v>2.7345016508</v>
      </c>
      <c r="R690">
        <v>2.7225768793</v>
      </c>
      <c r="S690">
        <v>2.9687410755000001</v>
      </c>
      <c r="T690">
        <v>3.2138593075999999</v>
      </c>
      <c r="U690">
        <v>3.2441880955000002</v>
      </c>
      <c r="V690">
        <v>3.1219654128999998</v>
      </c>
      <c r="W690">
        <v>3.0640301081999999</v>
      </c>
      <c r="X690">
        <v>2.8465338742999999</v>
      </c>
      <c r="Y690">
        <v>2.7635696636999998</v>
      </c>
      <c r="Z690">
        <v>2.6241202543000002</v>
      </c>
      <c r="AA690">
        <v>2.7829037556</v>
      </c>
      <c r="AB690">
        <v>3.0018213106</v>
      </c>
    </row>
    <row r="691" spans="1:28" hidden="1" x14ac:dyDescent="0.25">
      <c r="A691" t="s">
        <v>7</v>
      </c>
      <c r="B691" t="s">
        <v>24</v>
      </c>
      <c r="C691">
        <v>13</v>
      </c>
      <c r="D691" t="s">
        <v>4</v>
      </c>
      <c r="E691">
        <v>0.41397200000000001</v>
      </c>
      <c r="F691">
        <v>0.39045000000000002</v>
      </c>
      <c r="G691">
        <v>0.37659599999999999</v>
      </c>
      <c r="H691">
        <v>0.35419200000000001</v>
      </c>
      <c r="I691">
        <v>0.34234199999999998</v>
      </c>
      <c r="J691">
        <v>0.33742100000000003</v>
      </c>
      <c r="K691">
        <v>0.32638200000000001</v>
      </c>
      <c r="L691">
        <v>0.29969000000000001</v>
      </c>
      <c r="M691">
        <v>0.30576900000000001</v>
      </c>
      <c r="N691">
        <v>0.34528300000000001</v>
      </c>
      <c r="O691">
        <v>0.35746</v>
      </c>
      <c r="P691">
        <v>0.37494899999999998</v>
      </c>
      <c r="Q691">
        <v>0.37985649999999999</v>
      </c>
      <c r="R691">
        <v>0.37819999999999998</v>
      </c>
      <c r="S691">
        <v>0.41019749999999999</v>
      </c>
      <c r="T691">
        <v>0.438496</v>
      </c>
      <c r="U691">
        <v>0.44296400000000002</v>
      </c>
      <c r="V691">
        <v>0.43129600000000001</v>
      </c>
      <c r="W691">
        <v>0.44105749999999999</v>
      </c>
      <c r="X691">
        <v>0.45541700000000002</v>
      </c>
      <c r="Y691">
        <v>0.46676400000000001</v>
      </c>
      <c r="Z691">
        <v>0.43963200000000002</v>
      </c>
      <c r="AA691">
        <v>0.45645599999999997</v>
      </c>
      <c r="AB691">
        <v>0.45643499999999998</v>
      </c>
    </row>
    <row r="692" spans="1:28" hidden="1" x14ac:dyDescent="0.25">
      <c r="A692" t="s">
        <v>7</v>
      </c>
      <c r="B692" t="s">
        <v>25</v>
      </c>
      <c r="C692">
        <v>115</v>
      </c>
      <c r="D692" t="s">
        <v>2</v>
      </c>
      <c r="E692">
        <v>5.5568578000000004</v>
      </c>
      <c r="F692">
        <v>5.5583549999999997</v>
      </c>
      <c r="G692">
        <v>5.7047161500000003</v>
      </c>
      <c r="H692">
        <v>5.6321709000000002</v>
      </c>
      <c r="I692">
        <v>5.88633045</v>
      </c>
      <c r="J692">
        <v>6.2386452500000003</v>
      </c>
      <c r="K692">
        <v>6.2242642500000001</v>
      </c>
      <c r="L692">
        <v>5.9552312000000001</v>
      </c>
      <c r="M692">
        <v>6.0102336000000003</v>
      </c>
      <c r="N692">
        <v>6.0478408999999997</v>
      </c>
      <c r="O692">
        <v>6.0607049999999996</v>
      </c>
      <c r="P692">
        <v>6.2314055000000002</v>
      </c>
      <c r="Q692">
        <v>6.1474342499999999</v>
      </c>
      <c r="R692">
        <v>6.2638612499999997</v>
      </c>
      <c r="S692">
        <v>6.6199387500000002</v>
      </c>
      <c r="T692">
        <v>6.7069044</v>
      </c>
      <c r="U692">
        <v>6.7390449500000003</v>
      </c>
      <c r="V692">
        <v>6.7276287999999997</v>
      </c>
      <c r="W692">
        <v>7.7107277500000002</v>
      </c>
      <c r="X692">
        <v>8.3547010499999992</v>
      </c>
      <c r="Y692">
        <v>8.2630862</v>
      </c>
      <c r="Z692">
        <v>7.1427471999999996</v>
      </c>
      <c r="AA692">
        <v>6.8923601999999997</v>
      </c>
      <c r="AB692">
        <v>6.4338623999999998</v>
      </c>
    </row>
    <row r="693" spans="1:28" hidden="1" x14ac:dyDescent="0.25">
      <c r="A693" t="s">
        <v>7</v>
      </c>
      <c r="B693" t="s">
        <v>25</v>
      </c>
      <c r="C693">
        <v>115</v>
      </c>
      <c r="D693" t="s">
        <v>3</v>
      </c>
      <c r="E693">
        <v>0.83108745279999996</v>
      </c>
      <c r="F693">
        <v>0.77864968889999997</v>
      </c>
      <c r="G693">
        <v>0.92235971949999995</v>
      </c>
      <c r="H693">
        <v>0.72484423769999995</v>
      </c>
      <c r="I693">
        <v>0.74288607490000003</v>
      </c>
      <c r="J693">
        <v>0.87897910189999995</v>
      </c>
      <c r="K693">
        <v>0.83696259299999998</v>
      </c>
      <c r="L693">
        <v>0.79025711720000003</v>
      </c>
      <c r="M693">
        <v>0.98175570670000001</v>
      </c>
      <c r="N693">
        <v>1.2537785785</v>
      </c>
      <c r="O693">
        <v>1.2539520146000001</v>
      </c>
      <c r="P693">
        <v>1.3260165152000001</v>
      </c>
      <c r="Q693">
        <v>1.2835563952</v>
      </c>
      <c r="R693">
        <v>1.3218728445000001</v>
      </c>
      <c r="S693">
        <v>1.3879489196000001</v>
      </c>
      <c r="T693">
        <v>1.4000287018999999</v>
      </c>
      <c r="U693">
        <v>1.2594838960000001</v>
      </c>
      <c r="V693">
        <v>1.3087128883000001</v>
      </c>
      <c r="W693">
        <v>1.4458561029999999</v>
      </c>
      <c r="X693">
        <v>1.4784959071999999</v>
      </c>
      <c r="Y693">
        <v>1.4676536121999999</v>
      </c>
      <c r="Z693">
        <v>1.2284795450999999</v>
      </c>
      <c r="AA693">
        <v>1.2028816256999999</v>
      </c>
      <c r="AB693">
        <v>1.0558608052</v>
      </c>
    </row>
    <row r="694" spans="1:28" hidden="1" x14ac:dyDescent="0.25">
      <c r="A694" t="s">
        <v>7</v>
      </c>
      <c r="B694" t="s">
        <v>25</v>
      </c>
      <c r="C694">
        <v>115</v>
      </c>
      <c r="D694" t="s">
        <v>4</v>
      </c>
      <c r="E694">
        <v>8.4622199999999995E-2</v>
      </c>
      <c r="F694">
        <v>8.4644999999999998E-2</v>
      </c>
      <c r="G694">
        <v>8.6873850000000002E-2</v>
      </c>
      <c r="H694">
        <v>8.5769100000000001E-2</v>
      </c>
      <c r="I694">
        <v>8.9639549999999998E-2</v>
      </c>
      <c r="J694">
        <v>9.5004749999999999E-2</v>
      </c>
      <c r="K694">
        <v>9.4785750000000002E-2</v>
      </c>
      <c r="L694">
        <v>9.06888E-2</v>
      </c>
      <c r="M694">
        <v>9.1526399999999994E-2</v>
      </c>
      <c r="N694">
        <v>9.2099100000000003E-2</v>
      </c>
      <c r="O694">
        <v>9.2295000000000002E-2</v>
      </c>
      <c r="P694">
        <v>9.4894500000000007E-2</v>
      </c>
      <c r="Q694">
        <v>9.3615749999999998E-2</v>
      </c>
      <c r="R694">
        <v>9.5388749999999994E-2</v>
      </c>
      <c r="S694">
        <v>0.10081125000000001</v>
      </c>
      <c r="T694">
        <v>0.10213560000000001</v>
      </c>
      <c r="U694">
        <v>0.10262505</v>
      </c>
      <c r="V694">
        <v>0.10245120000000001</v>
      </c>
      <c r="W694">
        <v>0.11742225000000001</v>
      </c>
      <c r="X694">
        <v>0.12722895000000001</v>
      </c>
      <c r="Y694">
        <v>0.1258338</v>
      </c>
      <c r="Z694">
        <v>0.1087728</v>
      </c>
      <c r="AA694">
        <v>0.10495980000000001</v>
      </c>
      <c r="AB694">
        <v>9.7977599999999998E-2</v>
      </c>
    </row>
    <row r="695" spans="1:28" hidden="1" x14ac:dyDescent="0.25">
      <c r="A695" t="s">
        <v>7</v>
      </c>
      <c r="B695" t="s">
        <v>26</v>
      </c>
      <c r="C695">
        <v>110</v>
      </c>
      <c r="D695" t="s">
        <v>2</v>
      </c>
      <c r="E695">
        <v>38.654709599999997</v>
      </c>
      <c r="F695">
        <v>38.066310000000001</v>
      </c>
      <c r="G695">
        <v>39.080584199999997</v>
      </c>
      <c r="H695">
        <v>38.053660899999997</v>
      </c>
      <c r="I695">
        <v>40.913716749999999</v>
      </c>
      <c r="J695">
        <v>44.831160250000003</v>
      </c>
      <c r="K695">
        <v>48.737020149999999</v>
      </c>
      <c r="L695">
        <v>56.587530950000001</v>
      </c>
      <c r="M695">
        <v>69.251843399999998</v>
      </c>
      <c r="N695">
        <v>80.9684381</v>
      </c>
      <c r="O695">
        <v>87.404024250000006</v>
      </c>
      <c r="P695">
        <v>93.835847700000002</v>
      </c>
      <c r="Q695">
        <v>93.774935299999996</v>
      </c>
      <c r="R695">
        <v>93.432175000000001</v>
      </c>
      <c r="S695">
        <v>95.387991</v>
      </c>
      <c r="T695">
        <v>96.177921600000005</v>
      </c>
      <c r="U695">
        <v>94.794902800000003</v>
      </c>
      <c r="V695">
        <v>89.329571200000004</v>
      </c>
      <c r="W695">
        <v>92.528733000000003</v>
      </c>
      <c r="X695">
        <v>83.413602100000006</v>
      </c>
      <c r="Y695">
        <v>68.127012800000003</v>
      </c>
      <c r="Z695">
        <v>54.783651200000001</v>
      </c>
      <c r="AA695">
        <v>49.654637999999998</v>
      </c>
      <c r="AB695">
        <v>45.461492999999997</v>
      </c>
    </row>
    <row r="696" spans="1:28" hidden="1" x14ac:dyDescent="0.25">
      <c r="A696" t="s">
        <v>7</v>
      </c>
      <c r="B696" t="s">
        <v>26</v>
      </c>
      <c r="C696">
        <v>110</v>
      </c>
      <c r="D696" t="s">
        <v>3</v>
      </c>
      <c r="E696">
        <v>11.5282680942</v>
      </c>
      <c r="F696">
        <v>11.422244089399999</v>
      </c>
      <c r="G696">
        <v>11.6254696589</v>
      </c>
      <c r="H696">
        <v>11.231105557499999</v>
      </c>
      <c r="I696">
        <v>12.175464660699999</v>
      </c>
      <c r="J696">
        <v>13.1658586814</v>
      </c>
      <c r="K696">
        <v>13.6295979869</v>
      </c>
      <c r="L696">
        <v>15.8227746572</v>
      </c>
      <c r="M696">
        <v>20.2708150383</v>
      </c>
      <c r="N696">
        <v>24.555517234</v>
      </c>
      <c r="O696">
        <v>26.870442391699999</v>
      </c>
      <c r="P696">
        <v>30.5550381696</v>
      </c>
      <c r="Q696">
        <v>31.262692965999999</v>
      </c>
      <c r="R696">
        <v>31.059706884299999</v>
      </c>
      <c r="S696">
        <v>31.349131463599999</v>
      </c>
      <c r="T696">
        <v>32.036761139500001</v>
      </c>
      <c r="U696">
        <v>31.901483780500001</v>
      </c>
      <c r="V696">
        <v>29.3643799661</v>
      </c>
      <c r="W696">
        <v>29.335223921200001</v>
      </c>
      <c r="X696">
        <v>24.695368761099999</v>
      </c>
      <c r="Y696">
        <v>19.7566059633</v>
      </c>
      <c r="Z696">
        <v>15.8614712849</v>
      </c>
      <c r="AA696">
        <v>14.5037577724</v>
      </c>
      <c r="AB696">
        <v>13.2666478077</v>
      </c>
    </row>
    <row r="697" spans="1:28" hidden="1" x14ac:dyDescent="0.25">
      <c r="A697" t="s">
        <v>7</v>
      </c>
      <c r="B697" t="s">
        <v>26</v>
      </c>
      <c r="C697">
        <v>110</v>
      </c>
      <c r="D697" t="s">
        <v>4</v>
      </c>
      <c r="E697">
        <v>0.58865040000000002</v>
      </c>
      <c r="F697">
        <v>0.57969000000000004</v>
      </c>
      <c r="G697">
        <v>0.59513579999999999</v>
      </c>
      <c r="H697">
        <v>0.57949737410000002</v>
      </c>
      <c r="I697">
        <v>0.62305152409999998</v>
      </c>
      <c r="J697">
        <v>0.68270802409999998</v>
      </c>
      <c r="K697">
        <v>0.74218812410000001</v>
      </c>
      <c r="L697">
        <v>0.86173904999999995</v>
      </c>
      <c r="M697">
        <v>1.0545966</v>
      </c>
      <c r="N697">
        <v>1.2330219</v>
      </c>
      <c r="O697">
        <v>1.33102575</v>
      </c>
      <c r="P697">
        <v>1.4289723000000001</v>
      </c>
      <c r="Q697">
        <v>1.4280447000000001</v>
      </c>
      <c r="R697">
        <v>1.422825</v>
      </c>
      <c r="S697">
        <v>1.452609</v>
      </c>
      <c r="T697">
        <v>1.4646383999999999</v>
      </c>
      <c r="U697">
        <v>1.4435772</v>
      </c>
      <c r="V697">
        <v>1.3603487999999999</v>
      </c>
      <c r="W697">
        <v>1.4090670000000001</v>
      </c>
      <c r="X697">
        <v>1.2702579000000001</v>
      </c>
      <c r="Y697">
        <v>1.0374672</v>
      </c>
      <c r="Z697">
        <v>0.83426880000000003</v>
      </c>
      <c r="AA697">
        <v>0.756162</v>
      </c>
      <c r="AB697">
        <v>0.69230700000000001</v>
      </c>
    </row>
    <row r="698" spans="1:28" hidden="1" x14ac:dyDescent="0.25">
      <c r="A698" t="s">
        <v>7</v>
      </c>
      <c r="B698" t="s">
        <v>27</v>
      </c>
      <c r="C698">
        <v>44</v>
      </c>
      <c r="D698" t="s">
        <v>2</v>
      </c>
      <c r="E698">
        <v>4.9834719999999999</v>
      </c>
      <c r="F698">
        <v>5.1051099999999998</v>
      </c>
      <c r="G698">
        <v>5.3503259999999999</v>
      </c>
      <c r="H698">
        <v>5.1717684000000004</v>
      </c>
      <c r="I698">
        <v>5.5636580999999996</v>
      </c>
      <c r="J698">
        <v>6.2415038000000003</v>
      </c>
      <c r="K698">
        <v>6.7959848999999997</v>
      </c>
      <c r="L698">
        <v>6.8883095000000001</v>
      </c>
      <c r="M698">
        <v>6.7774482000000003</v>
      </c>
      <c r="N698">
        <v>6.8085269999999998</v>
      </c>
      <c r="O698">
        <v>6.8778819999999996</v>
      </c>
      <c r="P698">
        <v>6.8848659999999997</v>
      </c>
      <c r="Q698">
        <v>6.6965696000000001</v>
      </c>
      <c r="R698">
        <v>6.7010025000000004</v>
      </c>
      <c r="S698">
        <v>6.7139519999999999</v>
      </c>
      <c r="T698">
        <v>6.5598384000000003</v>
      </c>
      <c r="U698">
        <v>6.5922751999999996</v>
      </c>
      <c r="V698">
        <v>6.6965696000000001</v>
      </c>
      <c r="W698">
        <v>7.6093590000000004</v>
      </c>
      <c r="X698">
        <v>8.1289394999999995</v>
      </c>
      <c r="Y698">
        <v>7.7638411999999999</v>
      </c>
      <c r="Z698">
        <v>6.6469056000000002</v>
      </c>
      <c r="AA698">
        <v>5.9724257999999999</v>
      </c>
      <c r="AB698">
        <v>5.5218996000000002</v>
      </c>
    </row>
    <row r="699" spans="1:28" hidden="1" x14ac:dyDescent="0.25">
      <c r="A699" t="s">
        <v>7</v>
      </c>
      <c r="B699" t="s">
        <v>27</v>
      </c>
      <c r="C699">
        <v>44</v>
      </c>
      <c r="D699" t="s">
        <v>3</v>
      </c>
      <c r="E699">
        <v>1.6030618619000001</v>
      </c>
      <c r="F699">
        <v>1.5711642415</v>
      </c>
      <c r="G699">
        <v>1.6374541323</v>
      </c>
      <c r="H699">
        <v>1.6079780789</v>
      </c>
      <c r="I699">
        <v>1.7091804119</v>
      </c>
      <c r="J699">
        <v>1.8545415628999999</v>
      </c>
      <c r="K699">
        <v>1.8101410525999999</v>
      </c>
      <c r="L699">
        <v>1.8197791234</v>
      </c>
      <c r="M699">
        <v>2.0579639092000002</v>
      </c>
      <c r="N699">
        <v>2.3043291037999998</v>
      </c>
      <c r="O699">
        <v>2.3054900556</v>
      </c>
      <c r="P699">
        <v>2.2712418551</v>
      </c>
      <c r="Q699">
        <v>2.2048557115</v>
      </c>
      <c r="R699">
        <v>2.2356281433</v>
      </c>
      <c r="S699">
        <v>2.2596915258000001</v>
      </c>
      <c r="T699">
        <v>2.2771314325000001</v>
      </c>
      <c r="U699">
        <v>2.2555702071999999</v>
      </c>
      <c r="V699">
        <v>2.2743436034000002</v>
      </c>
      <c r="W699">
        <v>2.4818514612000002</v>
      </c>
      <c r="X699">
        <v>2.3290745047999999</v>
      </c>
      <c r="Y699">
        <v>2.1073688302</v>
      </c>
      <c r="Z699">
        <v>1.9148708305</v>
      </c>
      <c r="AA699">
        <v>1.7642986331999999</v>
      </c>
      <c r="AB699">
        <v>1.7964747884000001</v>
      </c>
    </row>
    <row r="700" spans="1:28" hidden="1" x14ac:dyDescent="0.25">
      <c r="A700" t="s">
        <v>7</v>
      </c>
      <c r="B700" t="s">
        <v>27</v>
      </c>
      <c r="C700">
        <v>44</v>
      </c>
      <c r="D700" t="s">
        <v>4</v>
      </c>
      <c r="E700">
        <v>0.15412799999999999</v>
      </c>
      <c r="F700">
        <v>0.15789</v>
      </c>
      <c r="G700">
        <v>0.16547400000000001</v>
      </c>
      <c r="H700">
        <v>0.1599516</v>
      </c>
      <c r="I700">
        <v>0.1720719</v>
      </c>
      <c r="J700">
        <v>0.19303619999999999</v>
      </c>
      <c r="K700">
        <v>0.21018510000000001</v>
      </c>
      <c r="L700">
        <v>0.21304049999999999</v>
      </c>
      <c r="M700">
        <v>0.20961179999999999</v>
      </c>
      <c r="N700">
        <v>0.21057300000000001</v>
      </c>
      <c r="O700">
        <v>0.21271799999999999</v>
      </c>
      <c r="P700">
        <v>0.21293400000000001</v>
      </c>
      <c r="Q700">
        <v>0.2071104</v>
      </c>
      <c r="R700">
        <v>0.2072475</v>
      </c>
      <c r="S700">
        <v>0.207648</v>
      </c>
      <c r="T700">
        <v>0.2028816</v>
      </c>
      <c r="U700">
        <v>0.2038848</v>
      </c>
      <c r="V700">
        <v>0.2071104</v>
      </c>
      <c r="W700">
        <v>0.23534099999999999</v>
      </c>
      <c r="X700">
        <v>0.25141049999999998</v>
      </c>
      <c r="Y700">
        <v>0.24011879999999999</v>
      </c>
      <c r="Z700">
        <v>0.20557439999999999</v>
      </c>
      <c r="AA700">
        <v>0.1847142</v>
      </c>
      <c r="AB700">
        <v>0.1707804</v>
      </c>
    </row>
    <row r="701" spans="1:28" hidden="1" x14ac:dyDescent="0.25">
      <c r="A701" t="s">
        <v>7</v>
      </c>
      <c r="B701" t="s">
        <v>28</v>
      </c>
      <c r="C701">
        <v>110</v>
      </c>
      <c r="D701" t="s">
        <v>2</v>
      </c>
      <c r="E701">
        <v>15.1134854</v>
      </c>
      <c r="F701">
        <v>15.552165</v>
      </c>
      <c r="G701">
        <v>16.252352250000001</v>
      </c>
      <c r="H701">
        <v>16.423299</v>
      </c>
      <c r="I701">
        <v>17.343476150000001</v>
      </c>
      <c r="J701">
        <v>17.998215500000001</v>
      </c>
      <c r="K701">
        <v>16.545665549999999</v>
      </c>
      <c r="L701">
        <v>16.094525699999998</v>
      </c>
      <c r="M701">
        <v>16.581805200000002</v>
      </c>
      <c r="N701">
        <v>16.216035300000001</v>
      </c>
      <c r="O701">
        <v>16.92668325</v>
      </c>
      <c r="P701">
        <v>16.870390499999999</v>
      </c>
      <c r="Q701">
        <v>16.16547525</v>
      </c>
      <c r="R701">
        <v>15.93754625</v>
      </c>
      <c r="S701">
        <v>16.998785250000001</v>
      </c>
      <c r="T701">
        <v>17.215908800000001</v>
      </c>
      <c r="U701">
        <v>17.109105249999999</v>
      </c>
      <c r="V701">
        <v>16.3695968</v>
      </c>
      <c r="W701">
        <v>18.46988275</v>
      </c>
      <c r="X701">
        <v>18.710528100000001</v>
      </c>
      <c r="Y701">
        <v>17.3161424</v>
      </c>
      <c r="Z701">
        <v>15.315568000000001</v>
      </c>
      <c r="AA701">
        <v>15.365763599999999</v>
      </c>
      <c r="AB701">
        <v>15.347442600000001</v>
      </c>
    </row>
    <row r="702" spans="1:28" hidden="1" x14ac:dyDescent="0.25">
      <c r="A702" t="s">
        <v>7</v>
      </c>
      <c r="B702" t="s">
        <v>28</v>
      </c>
      <c r="C702">
        <v>110</v>
      </c>
      <c r="D702" t="s">
        <v>3</v>
      </c>
      <c r="E702">
        <v>2.0472335262999999</v>
      </c>
      <c r="F702">
        <v>2.0745679287000001</v>
      </c>
      <c r="G702">
        <v>2.2235904845999999</v>
      </c>
      <c r="H702">
        <v>1.8831912439</v>
      </c>
      <c r="I702">
        <v>1.8564429537</v>
      </c>
      <c r="J702">
        <v>1.6085547153999999</v>
      </c>
      <c r="K702">
        <v>0.97451053580000002</v>
      </c>
      <c r="L702">
        <v>0.82146414899999998</v>
      </c>
      <c r="M702">
        <v>0.90924609599999995</v>
      </c>
      <c r="N702">
        <v>0.9957535998</v>
      </c>
      <c r="O702">
        <v>1.5450366136</v>
      </c>
      <c r="P702">
        <v>1.7718265892</v>
      </c>
      <c r="Q702">
        <v>1.7547632613999999</v>
      </c>
      <c r="R702">
        <v>1.6830852298000001</v>
      </c>
      <c r="S702">
        <v>2.0838095052000001</v>
      </c>
      <c r="T702">
        <v>1.6929082548000001</v>
      </c>
      <c r="U702">
        <v>1.9187704355999999</v>
      </c>
      <c r="V702">
        <v>1.4592885239</v>
      </c>
      <c r="W702">
        <v>1.0295572100999999</v>
      </c>
      <c r="X702">
        <v>1.3518729489000001</v>
      </c>
      <c r="Y702">
        <v>1.1866894984</v>
      </c>
      <c r="Z702">
        <v>1.1949731138999999</v>
      </c>
      <c r="AA702">
        <v>1.4870117630999999</v>
      </c>
      <c r="AB702">
        <v>1.5651702010999999</v>
      </c>
    </row>
    <row r="703" spans="1:28" hidden="1" x14ac:dyDescent="0.25">
      <c r="A703" t="s">
        <v>7</v>
      </c>
      <c r="B703" t="s">
        <v>28</v>
      </c>
      <c r="C703">
        <v>110</v>
      </c>
      <c r="D703" t="s">
        <v>4</v>
      </c>
      <c r="E703">
        <v>0.23015459999999999</v>
      </c>
      <c r="F703">
        <v>0.23683499999999999</v>
      </c>
      <c r="G703">
        <v>0.24749774999999999</v>
      </c>
      <c r="H703">
        <v>0.25010100000000002</v>
      </c>
      <c r="I703">
        <v>0.26411384999999998</v>
      </c>
      <c r="J703">
        <v>0.27408450000000001</v>
      </c>
      <c r="K703">
        <v>0.25196445000000001</v>
      </c>
      <c r="L703">
        <v>0.24509429999999999</v>
      </c>
      <c r="M703">
        <v>0.25251479999999998</v>
      </c>
      <c r="N703">
        <v>0.24694469999999999</v>
      </c>
      <c r="O703">
        <v>0.25776674999999999</v>
      </c>
      <c r="P703">
        <v>0.25690950000000001</v>
      </c>
      <c r="Q703">
        <v>0.24617475</v>
      </c>
      <c r="R703">
        <v>0.24270375</v>
      </c>
      <c r="S703">
        <v>0.25886474999999998</v>
      </c>
      <c r="T703">
        <v>0.26217119999999999</v>
      </c>
      <c r="U703">
        <v>0.26054474999999999</v>
      </c>
      <c r="V703">
        <v>0.24928320000000001</v>
      </c>
      <c r="W703">
        <v>0.28126725000000002</v>
      </c>
      <c r="X703">
        <v>0.28493190000000002</v>
      </c>
      <c r="Y703">
        <v>0.26369759999999998</v>
      </c>
      <c r="Z703">
        <v>0.23323199999999999</v>
      </c>
      <c r="AA703">
        <v>0.23399639999999999</v>
      </c>
      <c r="AB703">
        <v>0.23371739999999999</v>
      </c>
    </row>
    <row r="704" spans="1:28" hidden="1" x14ac:dyDescent="0.25">
      <c r="A704" t="s">
        <v>7</v>
      </c>
      <c r="B704" t="s">
        <v>29</v>
      </c>
      <c r="C704">
        <v>110</v>
      </c>
      <c r="D704" t="s">
        <v>2</v>
      </c>
      <c r="E704">
        <v>3.4547889999999999</v>
      </c>
      <c r="F704">
        <v>3.4154874999999998</v>
      </c>
      <c r="G704">
        <v>3.4752868499999998</v>
      </c>
      <c r="H704">
        <v>3.3867254999999998</v>
      </c>
      <c r="I704">
        <v>3.5889853999999999</v>
      </c>
      <c r="J704">
        <v>3.8425638000000002</v>
      </c>
      <c r="K704">
        <v>3.8070742499999999</v>
      </c>
      <c r="L704">
        <v>3.45249395</v>
      </c>
      <c r="M704">
        <v>3.3270936</v>
      </c>
      <c r="N704">
        <v>3.7013345000000002</v>
      </c>
      <c r="O704">
        <v>3.88173725</v>
      </c>
      <c r="P704">
        <v>4.1492041500000001</v>
      </c>
      <c r="Q704">
        <v>4.3563299500000001</v>
      </c>
      <c r="R704">
        <v>4.4162474999999999</v>
      </c>
      <c r="S704">
        <v>4.5350384999999998</v>
      </c>
      <c r="T704">
        <v>4.5321031999999999</v>
      </c>
      <c r="U704">
        <v>4.5723896999999996</v>
      </c>
      <c r="V704">
        <v>4.3062623999999996</v>
      </c>
      <c r="W704">
        <v>4.8905250000000002</v>
      </c>
      <c r="X704">
        <v>5.3196599500000001</v>
      </c>
      <c r="Y704">
        <v>5.1190056000000004</v>
      </c>
      <c r="Z704">
        <v>4.4591343999999999</v>
      </c>
      <c r="AA704">
        <v>4.3355169</v>
      </c>
      <c r="AB704">
        <v>4.1216930999999999</v>
      </c>
    </row>
    <row r="705" spans="1:28" hidden="1" x14ac:dyDescent="0.25">
      <c r="A705" t="s">
        <v>7</v>
      </c>
      <c r="B705" t="s">
        <v>29</v>
      </c>
      <c r="C705">
        <v>110</v>
      </c>
      <c r="D705" t="s">
        <v>3</v>
      </c>
      <c r="E705">
        <v>1.1485989398000001</v>
      </c>
      <c r="F705">
        <v>1.1808345310999999</v>
      </c>
      <c r="G705">
        <v>1.2048397709000001</v>
      </c>
      <c r="H705">
        <v>1.1757573201</v>
      </c>
      <c r="I705">
        <v>1.2507512267000001</v>
      </c>
      <c r="J705">
        <v>1.3624259478</v>
      </c>
      <c r="K705">
        <v>1.3280515093</v>
      </c>
      <c r="L705">
        <v>1.2905220734</v>
      </c>
      <c r="M705">
        <v>1.3522143643</v>
      </c>
      <c r="N705">
        <v>1.491800037</v>
      </c>
      <c r="O705">
        <v>1.5977434951</v>
      </c>
      <c r="P705">
        <v>1.7557746614</v>
      </c>
      <c r="Q705">
        <v>1.8610378173</v>
      </c>
      <c r="R705">
        <v>1.869578162</v>
      </c>
      <c r="S705">
        <v>1.9335585187</v>
      </c>
      <c r="T705">
        <v>1.9054393279999999</v>
      </c>
      <c r="U705">
        <v>1.9195993933</v>
      </c>
      <c r="V705">
        <v>1.7908172644</v>
      </c>
      <c r="W705">
        <v>1.9610439391000001</v>
      </c>
      <c r="X705">
        <v>1.9024082776</v>
      </c>
      <c r="Y705">
        <v>1.6728887115</v>
      </c>
      <c r="Z705">
        <v>1.4635885058</v>
      </c>
      <c r="AA705">
        <v>1.4000908567000001</v>
      </c>
      <c r="AB705">
        <v>1.3323721298</v>
      </c>
    </row>
    <row r="706" spans="1:28" hidden="1" x14ac:dyDescent="0.25">
      <c r="A706" t="s">
        <v>7</v>
      </c>
      <c r="B706" t="s">
        <v>29</v>
      </c>
      <c r="C706">
        <v>110</v>
      </c>
      <c r="D706" t="s">
        <v>4</v>
      </c>
      <c r="E706">
        <v>5.2610999999999998E-2</v>
      </c>
      <c r="F706">
        <v>5.2012500000000003E-2</v>
      </c>
      <c r="G706">
        <v>5.2923150000000002E-2</v>
      </c>
      <c r="H706">
        <v>5.1574500000000002E-2</v>
      </c>
      <c r="I706">
        <v>5.4654599999999998E-2</v>
      </c>
      <c r="J706">
        <v>5.8516199999999997E-2</v>
      </c>
      <c r="K706">
        <v>5.797575E-2</v>
      </c>
      <c r="L706">
        <v>5.2576049999999999E-2</v>
      </c>
      <c r="M706">
        <v>5.06664E-2</v>
      </c>
      <c r="N706">
        <v>5.6365499999999999E-2</v>
      </c>
      <c r="O706">
        <v>5.9112749999999999E-2</v>
      </c>
      <c r="P706">
        <v>6.3185850000000002E-2</v>
      </c>
      <c r="Q706">
        <v>6.6340049999999998E-2</v>
      </c>
      <c r="R706">
        <v>6.7252500000000007E-2</v>
      </c>
      <c r="S706">
        <v>6.9061499999999998E-2</v>
      </c>
      <c r="T706">
        <v>6.9016800000000003E-2</v>
      </c>
      <c r="U706">
        <v>6.9630300000000006E-2</v>
      </c>
      <c r="V706">
        <v>6.55776E-2</v>
      </c>
      <c r="W706">
        <v>7.4475E-2</v>
      </c>
      <c r="X706">
        <v>8.101005E-2</v>
      </c>
      <c r="Y706">
        <v>7.7954399999999993E-2</v>
      </c>
      <c r="Z706">
        <v>6.7905599999999997E-2</v>
      </c>
      <c r="AA706">
        <v>6.6023100000000001E-2</v>
      </c>
      <c r="AB706">
        <v>6.27669E-2</v>
      </c>
    </row>
    <row r="707" spans="1:28" hidden="1" x14ac:dyDescent="0.25">
      <c r="A707" t="s">
        <v>7</v>
      </c>
      <c r="B707" t="s">
        <v>30</v>
      </c>
      <c r="C707">
        <v>110</v>
      </c>
      <c r="D707" t="s">
        <v>2</v>
      </c>
      <c r="E707">
        <v>34.849575799999997</v>
      </c>
      <c r="F707">
        <v>31.61007</v>
      </c>
      <c r="G707">
        <v>30.790934149999998</v>
      </c>
      <c r="H707">
        <v>29.580773000000001</v>
      </c>
      <c r="I707">
        <v>30.724732299999999</v>
      </c>
      <c r="J707">
        <v>35.742468449999997</v>
      </c>
      <c r="K707">
        <v>39.315595350000002</v>
      </c>
      <c r="L707">
        <v>41.442761949999998</v>
      </c>
      <c r="M707">
        <v>42.138713699999997</v>
      </c>
      <c r="N707">
        <v>43.955093099999999</v>
      </c>
      <c r="O707">
        <v>45.657311</v>
      </c>
      <c r="P707">
        <v>48.696154200000002</v>
      </c>
      <c r="Q707">
        <v>49.604481800000002</v>
      </c>
      <c r="R707">
        <v>48.518637499999997</v>
      </c>
      <c r="S707">
        <v>49.839768749999998</v>
      </c>
      <c r="T707">
        <v>48.8341724</v>
      </c>
      <c r="U707">
        <v>47.905494699999998</v>
      </c>
      <c r="V707">
        <v>47.557375999999998</v>
      </c>
      <c r="W707">
        <v>55.099915000000003</v>
      </c>
      <c r="X707">
        <v>57.365611999999999</v>
      </c>
      <c r="Y707">
        <v>57.983798</v>
      </c>
      <c r="Z707">
        <v>51.801859200000003</v>
      </c>
      <c r="AA707">
        <v>47.048387099999999</v>
      </c>
      <c r="AB707">
        <v>41.473838700000002</v>
      </c>
    </row>
    <row r="708" spans="1:28" hidden="1" x14ac:dyDescent="0.25">
      <c r="A708" t="s">
        <v>7</v>
      </c>
      <c r="B708" t="s">
        <v>30</v>
      </c>
      <c r="C708">
        <v>110</v>
      </c>
      <c r="D708" t="s">
        <v>3</v>
      </c>
      <c r="E708">
        <v>15.1696570981</v>
      </c>
      <c r="F708">
        <v>14.890621076</v>
      </c>
      <c r="G708">
        <v>14.9702402499</v>
      </c>
      <c r="H708">
        <v>14.664262623799999</v>
      </c>
      <c r="I708">
        <v>15.286476567999999</v>
      </c>
      <c r="J708">
        <v>16.134503354500001</v>
      </c>
      <c r="K708">
        <v>14.964433035200001</v>
      </c>
      <c r="L708">
        <v>15.9760229639</v>
      </c>
      <c r="M708">
        <v>16.8023546931</v>
      </c>
      <c r="N708">
        <v>17.90115853</v>
      </c>
      <c r="O708">
        <v>18.792789661699999</v>
      </c>
      <c r="P708">
        <v>20.4778366416</v>
      </c>
      <c r="Q708">
        <v>21.1852173089</v>
      </c>
      <c r="R708">
        <v>21.0950682444</v>
      </c>
      <c r="S708">
        <v>21.881470032100001</v>
      </c>
      <c r="T708">
        <v>21.8394389929</v>
      </c>
      <c r="U708">
        <v>21.6067888115</v>
      </c>
      <c r="V708">
        <v>21.381514705000001</v>
      </c>
      <c r="W708">
        <v>24.980542699099999</v>
      </c>
      <c r="X708">
        <v>23.5220035991</v>
      </c>
      <c r="Y708">
        <v>21.794589819900001</v>
      </c>
      <c r="Z708">
        <v>19.401990773200001</v>
      </c>
      <c r="AA708">
        <v>18.240454185400001</v>
      </c>
      <c r="AB708">
        <v>16.689969767800001</v>
      </c>
    </row>
    <row r="709" spans="1:28" hidden="1" x14ac:dyDescent="0.25">
      <c r="A709" t="s">
        <v>7</v>
      </c>
      <c r="B709" t="s">
        <v>30</v>
      </c>
      <c r="C709">
        <v>110</v>
      </c>
      <c r="D709" t="s">
        <v>4</v>
      </c>
      <c r="E709">
        <v>0.53070419999999996</v>
      </c>
      <c r="F709">
        <v>0.48137162430000002</v>
      </c>
      <c r="G709">
        <v>0.46889747430000001</v>
      </c>
      <c r="H709">
        <v>0.45046862430000001</v>
      </c>
      <c r="I709">
        <v>0.46788932430000002</v>
      </c>
      <c r="J709">
        <v>0.54430155000000002</v>
      </c>
      <c r="K709">
        <v>0.59871465000000001</v>
      </c>
      <c r="L709">
        <v>0.63110805000000003</v>
      </c>
      <c r="M709">
        <v>0.64170629999999995</v>
      </c>
      <c r="N709">
        <v>0.66936689999999999</v>
      </c>
      <c r="O709">
        <v>0.69528900000000005</v>
      </c>
      <c r="P709">
        <v>0.74156580000000005</v>
      </c>
      <c r="Q709">
        <v>0.75539820000000002</v>
      </c>
      <c r="R709">
        <v>0.73886249999999998</v>
      </c>
      <c r="S709">
        <v>0.75898125000000005</v>
      </c>
      <c r="T709">
        <v>0.74366759999999998</v>
      </c>
      <c r="U709">
        <v>0.72952530000000004</v>
      </c>
      <c r="V709">
        <v>0.72422399999999998</v>
      </c>
      <c r="W709">
        <v>0.83908499999999997</v>
      </c>
      <c r="X709">
        <v>0.87358800000000003</v>
      </c>
      <c r="Y709">
        <v>0.88300199999999995</v>
      </c>
      <c r="Z709">
        <v>0.78886080000000003</v>
      </c>
      <c r="AA709">
        <v>0.71647289999999997</v>
      </c>
      <c r="AB709">
        <v>0.63158130000000001</v>
      </c>
    </row>
    <row r="710" spans="1:28" hidden="1" x14ac:dyDescent="0.25">
      <c r="A710" t="s">
        <v>7</v>
      </c>
      <c r="B710" t="s">
        <v>31</v>
      </c>
      <c r="C710">
        <v>115</v>
      </c>
      <c r="D710" t="s">
        <v>2</v>
      </c>
      <c r="E710">
        <v>15.084289999999999</v>
      </c>
      <c r="F710">
        <v>15.2433675</v>
      </c>
      <c r="G710">
        <v>16.130576699999999</v>
      </c>
      <c r="H710">
        <v>15.8944131</v>
      </c>
      <c r="I710">
        <v>17.057540500000002</v>
      </c>
      <c r="J710">
        <v>18.760103149999999</v>
      </c>
      <c r="K710">
        <v>19.6034109</v>
      </c>
      <c r="L710">
        <v>20.6892946</v>
      </c>
      <c r="M710">
        <v>20.968739100000001</v>
      </c>
      <c r="N710">
        <v>20.559865599999998</v>
      </c>
      <c r="O710">
        <v>20.260071</v>
      </c>
      <c r="P710">
        <v>20.5180425</v>
      </c>
      <c r="Q710">
        <v>20.278943600000002</v>
      </c>
      <c r="R710">
        <v>19.933198749999999</v>
      </c>
      <c r="S710">
        <v>20.422891499999999</v>
      </c>
      <c r="T710">
        <v>20.5769652</v>
      </c>
      <c r="U710">
        <v>20.082652800000002</v>
      </c>
      <c r="V710">
        <v>19.573920000000001</v>
      </c>
      <c r="W710">
        <v>22.039966</v>
      </c>
      <c r="X710">
        <v>23.679991000000001</v>
      </c>
      <c r="Y710">
        <v>22.198156999999998</v>
      </c>
      <c r="Z710">
        <v>18.609092799999999</v>
      </c>
      <c r="AA710">
        <v>17.033270099999999</v>
      </c>
      <c r="AB710">
        <v>16.241034599999999</v>
      </c>
    </row>
    <row r="711" spans="1:28" hidden="1" x14ac:dyDescent="0.25">
      <c r="A711" t="s">
        <v>7</v>
      </c>
      <c r="B711" t="s">
        <v>31</v>
      </c>
      <c r="C711">
        <v>115</v>
      </c>
      <c r="D711" t="s">
        <v>3</v>
      </c>
      <c r="E711">
        <v>6.3263296448000004</v>
      </c>
      <c r="F711">
        <v>6.5326441888</v>
      </c>
      <c r="G711">
        <v>6.8696517012999996</v>
      </c>
      <c r="H711">
        <v>6.6979466386000004</v>
      </c>
      <c r="I711">
        <v>6.9663493702999997</v>
      </c>
      <c r="J711">
        <v>7.4044310497000003</v>
      </c>
      <c r="K711">
        <v>7.2912107607000003</v>
      </c>
      <c r="L711">
        <v>8.2165747210000006</v>
      </c>
      <c r="M711">
        <v>8.8203764434000007</v>
      </c>
      <c r="N711">
        <v>8.9904999461999999</v>
      </c>
      <c r="O711">
        <v>8.9453289118000008</v>
      </c>
      <c r="P711">
        <v>9.3046215710000002</v>
      </c>
      <c r="Q711">
        <v>9.3477326692999991</v>
      </c>
      <c r="R711">
        <v>9.1941316757999996</v>
      </c>
      <c r="S711">
        <v>9.4943720554999995</v>
      </c>
      <c r="T711">
        <v>9.5980288373999993</v>
      </c>
      <c r="U711">
        <v>9.4350248098999998</v>
      </c>
      <c r="V711">
        <v>9.0680475138999999</v>
      </c>
      <c r="W711">
        <v>9.7780867407999992</v>
      </c>
      <c r="X711">
        <v>9.7315239460999994</v>
      </c>
      <c r="Y711">
        <v>8.8067520783000006</v>
      </c>
      <c r="Z711">
        <v>7.4509987783999998</v>
      </c>
      <c r="AA711">
        <v>6.8799758298000002</v>
      </c>
      <c r="AB711">
        <v>6.6674177948000004</v>
      </c>
    </row>
    <row r="712" spans="1:28" hidden="1" x14ac:dyDescent="0.25">
      <c r="A712" t="s">
        <v>7</v>
      </c>
      <c r="B712" t="s">
        <v>31</v>
      </c>
      <c r="C712">
        <v>115</v>
      </c>
      <c r="D712" t="s">
        <v>4</v>
      </c>
      <c r="E712">
        <v>0.22971</v>
      </c>
      <c r="F712">
        <v>0.23213249999999999</v>
      </c>
      <c r="G712">
        <v>0.24564330000000001</v>
      </c>
      <c r="H712">
        <v>0.24204690000000001</v>
      </c>
      <c r="I712">
        <v>0.25975949999999998</v>
      </c>
      <c r="J712">
        <v>0.28568684999999999</v>
      </c>
      <c r="K712">
        <v>0.29852909999999999</v>
      </c>
      <c r="L712">
        <v>0.3150654</v>
      </c>
      <c r="M712">
        <v>0.31932090000000002</v>
      </c>
      <c r="N712">
        <v>0.31309439999999999</v>
      </c>
      <c r="O712">
        <v>0.308529</v>
      </c>
      <c r="P712">
        <v>0.3124575</v>
      </c>
      <c r="Q712">
        <v>0.30881639999999999</v>
      </c>
      <c r="R712">
        <v>0.30355124999999999</v>
      </c>
      <c r="S712">
        <v>0.31100850000000002</v>
      </c>
      <c r="T712">
        <v>0.31335479999999999</v>
      </c>
      <c r="U712">
        <v>0.30582720000000002</v>
      </c>
      <c r="V712">
        <v>0.29808000000000001</v>
      </c>
      <c r="W712">
        <v>0.33563399999999999</v>
      </c>
      <c r="X712">
        <v>0.36060900000000001</v>
      </c>
      <c r="Y712">
        <v>0.33804299999999998</v>
      </c>
      <c r="Z712">
        <v>0.28338720000000001</v>
      </c>
      <c r="AA712">
        <v>0.25938990000000001</v>
      </c>
      <c r="AB712">
        <v>0.2473254</v>
      </c>
    </row>
    <row r="713" spans="1:28" hidden="1" x14ac:dyDescent="0.25">
      <c r="A713" t="s">
        <v>7</v>
      </c>
      <c r="B713" t="s">
        <v>32</v>
      </c>
      <c r="C713">
        <v>110</v>
      </c>
      <c r="D713" t="s">
        <v>2</v>
      </c>
      <c r="E713">
        <v>21.7603048</v>
      </c>
      <c r="F713">
        <v>22.30828</v>
      </c>
      <c r="G713">
        <v>22.631517599999999</v>
      </c>
      <c r="H713">
        <v>22.862716800000001</v>
      </c>
      <c r="I713">
        <v>23.781958199999998</v>
      </c>
      <c r="J713">
        <v>24.833120650000001</v>
      </c>
      <c r="K713">
        <v>24.304845449999998</v>
      </c>
      <c r="L713">
        <v>24.167457649999999</v>
      </c>
      <c r="M713">
        <v>26.106952199999998</v>
      </c>
      <c r="N713">
        <v>27.8787308</v>
      </c>
      <c r="O713">
        <v>28.672906749999999</v>
      </c>
      <c r="P713">
        <v>29.95634205</v>
      </c>
      <c r="Q713">
        <v>29.871976799999999</v>
      </c>
      <c r="R713">
        <v>29.201309999999999</v>
      </c>
      <c r="S713">
        <v>28.108107749999999</v>
      </c>
      <c r="T713">
        <v>28.6982508</v>
      </c>
      <c r="U713">
        <v>28.0320362</v>
      </c>
      <c r="V713">
        <v>27.0845056</v>
      </c>
      <c r="W713">
        <v>32.440482500000002</v>
      </c>
      <c r="X713">
        <v>35.303197849999997</v>
      </c>
      <c r="Y713">
        <v>33.178739999999998</v>
      </c>
      <c r="Z713">
        <v>28.191488</v>
      </c>
      <c r="AA713">
        <v>26.531881200000001</v>
      </c>
      <c r="AB713">
        <v>25.266313799999999</v>
      </c>
    </row>
    <row r="714" spans="1:28" hidden="1" x14ac:dyDescent="0.25">
      <c r="A714" t="s">
        <v>7</v>
      </c>
      <c r="B714" t="s">
        <v>32</v>
      </c>
      <c r="C714">
        <v>110</v>
      </c>
      <c r="D714" t="s">
        <v>3</v>
      </c>
      <c r="E714">
        <v>11.385793878099999</v>
      </c>
      <c r="F714">
        <v>11.6504419155</v>
      </c>
      <c r="G714">
        <v>11.9924077109</v>
      </c>
      <c r="H714">
        <v>12.0448058513</v>
      </c>
      <c r="I714">
        <v>12.273288860799999</v>
      </c>
      <c r="J714">
        <v>12.585965566400001</v>
      </c>
      <c r="K714">
        <v>12.1209659429</v>
      </c>
      <c r="L714">
        <v>12.8591494469</v>
      </c>
      <c r="M714">
        <v>14.0740020253</v>
      </c>
      <c r="N714">
        <v>12.3750509267</v>
      </c>
      <c r="O714">
        <v>12.8120332188</v>
      </c>
      <c r="P714">
        <v>13.0307540489</v>
      </c>
      <c r="Q714">
        <v>12.635183721400001</v>
      </c>
      <c r="R714">
        <v>12.4397059677</v>
      </c>
      <c r="S714">
        <v>12.1428367416</v>
      </c>
      <c r="T714">
        <v>12.397781356699999</v>
      </c>
      <c r="U714">
        <v>12.1099734688</v>
      </c>
      <c r="V714">
        <v>11.291567005499999</v>
      </c>
      <c r="W714">
        <v>13.125318722099999</v>
      </c>
      <c r="X714">
        <v>18.224968194300001</v>
      </c>
      <c r="Y714">
        <v>17.472338733800001</v>
      </c>
      <c r="Z714">
        <v>14.709753698</v>
      </c>
      <c r="AA714">
        <v>13.244219038900001</v>
      </c>
      <c r="AB714">
        <v>12.5551780467</v>
      </c>
    </row>
    <row r="715" spans="1:28" hidden="1" x14ac:dyDescent="0.25">
      <c r="A715" t="s">
        <v>7</v>
      </c>
      <c r="B715" t="s">
        <v>32</v>
      </c>
      <c r="C715">
        <v>110</v>
      </c>
      <c r="D715" t="s">
        <v>4</v>
      </c>
      <c r="E715">
        <v>0.33137519999999998</v>
      </c>
      <c r="F715">
        <v>0.33972000000000002</v>
      </c>
      <c r="G715">
        <v>0.34464240000000002</v>
      </c>
      <c r="H715">
        <v>0.34816320000000001</v>
      </c>
      <c r="I715">
        <v>0.36216179999999998</v>
      </c>
      <c r="J715">
        <v>0.37816935000000002</v>
      </c>
      <c r="K715">
        <v>0.37012455</v>
      </c>
      <c r="L715">
        <v>0.36803235000000001</v>
      </c>
      <c r="M715">
        <v>0.39756780000000003</v>
      </c>
      <c r="N715">
        <v>0.42454920000000002</v>
      </c>
      <c r="O715">
        <v>0.43664324999999998</v>
      </c>
      <c r="P715">
        <v>0.45618795000000001</v>
      </c>
      <c r="Q715">
        <v>0.45490320000000001</v>
      </c>
      <c r="R715">
        <v>0.44468999999999997</v>
      </c>
      <c r="S715">
        <v>0.42804225000000001</v>
      </c>
      <c r="T715">
        <v>0.43702920000000001</v>
      </c>
      <c r="U715">
        <v>0.42688379999999998</v>
      </c>
      <c r="V715">
        <v>0.4124544</v>
      </c>
      <c r="W715">
        <v>0.4940175</v>
      </c>
      <c r="X715">
        <v>0.53761214999999996</v>
      </c>
      <c r="Y715">
        <v>0.50526000000000004</v>
      </c>
      <c r="Z715">
        <v>0.42931200000000003</v>
      </c>
      <c r="AA715">
        <v>0.40403879999999998</v>
      </c>
      <c r="AB715">
        <v>0.3847662</v>
      </c>
    </row>
    <row r="716" spans="1:28" hidden="1" x14ac:dyDescent="0.25">
      <c r="A716" t="s">
        <v>7</v>
      </c>
      <c r="B716" t="s">
        <v>33</v>
      </c>
      <c r="C716">
        <v>110</v>
      </c>
      <c r="D716" t="s">
        <v>2</v>
      </c>
      <c r="E716">
        <v>20.310266599999999</v>
      </c>
      <c r="F716">
        <v>19.257735</v>
      </c>
      <c r="G716">
        <v>19.156230749999999</v>
      </c>
      <c r="H716">
        <v>18.8635971</v>
      </c>
      <c r="I716">
        <v>19.8577379</v>
      </c>
      <c r="J716">
        <v>22.8787132</v>
      </c>
      <c r="K716">
        <v>26.891238749999999</v>
      </c>
      <c r="L716">
        <v>29.9301706</v>
      </c>
      <c r="M716">
        <v>31.9830288</v>
      </c>
      <c r="N716">
        <v>33.996408199999998</v>
      </c>
      <c r="O716">
        <v>34.906774749999997</v>
      </c>
      <c r="P716">
        <v>36.719696800000001</v>
      </c>
      <c r="Q716">
        <v>36.945320899999999</v>
      </c>
      <c r="R716">
        <v>37.012360000000001</v>
      </c>
      <c r="S716">
        <v>37.132530000000003</v>
      </c>
      <c r="T716">
        <v>36.880369999999999</v>
      </c>
      <c r="U716">
        <v>36.130844099999997</v>
      </c>
      <c r="V716">
        <v>35.247555200000001</v>
      </c>
      <c r="W716">
        <v>39.596950749999998</v>
      </c>
      <c r="X716">
        <v>39.855759499999998</v>
      </c>
      <c r="Y716">
        <v>37.665769599999997</v>
      </c>
      <c r="Z716">
        <v>31.2139408</v>
      </c>
      <c r="AA716">
        <v>27.8411826</v>
      </c>
      <c r="AB716">
        <v>24.5067606</v>
      </c>
    </row>
    <row r="717" spans="1:28" hidden="1" x14ac:dyDescent="0.25">
      <c r="A717" t="s">
        <v>7</v>
      </c>
      <c r="B717" t="s">
        <v>33</v>
      </c>
      <c r="C717">
        <v>110</v>
      </c>
      <c r="D717" t="s">
        <v>3</v>
      </c>
      <c r="E717">
        <v>8.4531213353000005</v>
      </c>
      <c r="F717">
        <v>8.4342627794999991</v>
      </c>
      <c r="G717">
        <v>8.3436448155999994</v>
      </c>
      <c r="H717">
        <v>8.3449267964999994</v>
      </c>
      <c r="I717">
        <v>8.8374584562000003</v>
      </c>
      <c r="J717">
        <v>9.3260725137999998</v>
      </c>
      <c r="K717">
        <v>9.9137567503999993</v>
      </c>
      <c r="L717">
        <v>11.162374077899999</v>
      </c>
      <c r="M717">
        <v>12.369124445100001</v>
      </c>
      <c r="N717">
        <v>13.689353536900001</v>
      </c>
      <c r="O717">
        <v>14.3205795966</v>
      </c>
      <c r="P717">
        <v>15.2737456868</v>
      </c>
      <c r="Q717">
        <v>15.5834141514</v>
      </c>
      <c r="R717">
        <v>15.5881234981</v>
      </c>
      <c r="S717">
        <v>15.7859112956</v>
      </c>
      <c r="T717">
        <v>15.7287548722</v>
      </c>
      <c r="U717">
        <v>15.308775172700001</v>
      </c>
      <c r="V717">
        <v>14.747386113799999</v>
      </c>
      <c r="W717">
        <v>16.475391797899999</v>
      </c>
      <c r="X717">
        <v>14.7063569532</v>
      </c>
      <c r="Y717">
        <v>13.4926685331</v>
      </c>
      <c r="Z717">
        <v>11.2523566628</v>
      </c>
      <c r="AA717">
        <v>10.1418977464</v>
      </c>
      <c r="AB717">
        <v>9.2281330967000006</v>
      </c>
    </row>
    <row r="718" spans="1:28" hidden="1" x14ac:dyDescent="0.25">
      <c r="A718" t="s">
        <v>7</v>
      </c>
      <c r="B718" t="s">
        <v>33</v>
      </c>
      <c r="C718">
        <v>110</v>
      </c>
      <c r="D718" t="s">
        <v>4</v>
      </c>
      <c r="E718">
        <v>0.3092934</v>
      </c>
      <c r="F718">
        <v>0.293265</v>
      </c>
      <c r="G718">
        <v>0.29171924999999999</v>
      </c>
      <c r="H718">
        <v>0.28726289999999999</v>
      </c>
      <c r="I718">
        <v>0.30240210000000001</v>
      </c>
      <c r="J718">
        <v>0.34840680000000002</v>
      </c>
      <c r="K718">
        <v>0.40951124999999999</v>
      </c>
      <c r="L718">
        <v>0.45578940000000001</v>
      </c>
      <c r="M718">
        <v>0.48705120000000002</v>
      </c>
      <c r="N718">
        <v>0.51771180000000006</v>
      </c>
      <c r="O718">
        <v>0.53157525000000005</v>
      </c>
      <c r="P718">
        <v>0.55918319999999999</v>
      </c>
      <c r="Q718">
        <v>0.56261910000000004</v>
      </c>
      <c r="R718">
        <v>0.56364000000000003</v>
      </c>
      <c r="S718">
        <v>0.56547000000000003</v>
      </c>
      <c r="T718">
        <v>0.56162999999999996</v>
      </c>
      <c r="U718">
        <v>0.55021589999999998</v>
      </c>
      <c r="V718">
        <v>0.53676480000000004</v>
      </c>
      <c r="W718">
        <v>0.60299924999999999</v>
      </c>
      <c r="X718">
        <v>0.60694049999999999</v>
      </c>
      <c r="Y718">
        <v>0.57359039999999994</v>
      </c>
      <c r="Z718">
        <v>0.47533920000000002</v>
      </c>
      <c r="AA718">
        <v>0.4239774</v>
      </c>
      <c r="AB718">
        <v>0.37319940000000001</v>
      </c>
    </row>
    <row r="719" spans="1:28" hidden="1" x14ac:dyDescent="0.25">
      <c r="A719" t="s">
        <v>7</v>
      </c>
      <c r="B719" t="s">
        <v>34</v>
      </c>
      <c r="C719">
        <v>110</v>
      </c>
      <c r="D719" t="s">
        <v>2</v>
      </c>
      <c r="E719">
        <v>21.1472014</v>
      </c>
      <c r="F719">
        <v>19.626837500000001</v>
      </c>
      <c r="G719">
        <v>19.638598399999999</v>
      </c>
      <c r="H719">
        <v>19.272237499999999</v>
      </c>
      <c r="I719">
        <v>20.438162299999998</v>
      </c>
      <c r="J719">
        <v>24.060191150000001</v>
      </c>
      <c r="K719">
        <v>27.495536250000001</v>
      </c>
      <c r="L719">
        <v>30.315207099999999</v>
      </c>
      <c r="M719">
        <v>32.061642900000002</v>
      </c>
      <c r="N719">
        <v>33.355893500000001</v>
      </c>
      <c r="O719">
        <v>33.959600000000002</v>
      </c>
      <c r="P719">
        <v>35.757589449999998</v>
      </c>
      <c r="Q719">
        <v>36.0345899</v>
      </c>
      <c r="R719">
        <v>36.126106249999999</v>
      </c>
      <c r="S719">
        <v>36.417272250000003</v>
      </c>
      <c r="T719">
        <v>35.967866000000001</v>
      </c>
      <c r="U719">
        <v>35.338894250000003</v>
      </c>
      <c r="V719">
        <v>34.392102399999999</v>
      </c>
      <c r="W719">
        <v>38.406922999999999</v>
      </c>
      <c r="X719">
        <v>38.038070050000002</v>
      </c>
      <c r="Y719">
        <v>36.544012199999997</v>
      </c>
      <c r="Z719">
        <v>31.105512000000001</v>
      </c>
      <c r="AA719">
        <v>28.4340738</v>
      </c>
      <c r="AB719">
        <v>25.4115225</v>
      </c>
    </row>
    <row r="720" spans="1:28" hidden="1" x14ac:dyDescent="0.25">
      <c r="A720" t="s">
        <v>7</v>
      </c>
      <c r="B720" t="s">
        <v>34</v>
      </c>
      <c r="C720">
        <v>110</v>
      </c>
      <c r="D720" t="s">
        <v>3</v>
      </c>
      <c r="E720">
        <v>8.8014531199999997</v>
      </c>
      <c r="F720">
        <v>8.5959176926000005</v>
      </c>
      <c r="G720">
        <v>8.5537437852</v>
      </c>
      <c r="H720">
        <v>8.5257021918000007</v>
      </c>
      <c r="I720">
        <v>9.0957696770999998</v>
      </c>
      <c r="J720">
        <v>9.8076795404000006</v>
      </c>
      <c r="K720">
        <v>10.136537800899999</v>
      </c>
      <c r="L720">
        <v>11.305972372199999</v>
      </c>
      <c r="M720">
        <v>12.3995276814</v>
      </c>
      <c r="N720">
        <v>13.431437108700001</v>
      </c>
      <c r="O720">
        <v>13.9319991134</v>
      </c>
      <c r="P720">
        <v>14.8735522138</v>
      </c>
      <c r="Q720">
        <v>15.1992708281</v>
      </c>
      <c r="R720">
        <v>15.2148689176</v>
      </c>
      <c r="S720">
        <v>15.4818384141</v>
      </c>
      <c r="T720">
        <v>15.339589803200001</v>
      </c>
      <c r="U720">
        <v>14.9732230287</v>
      </c>
      <c r="V720">
        <v>14.3894692974</v>
      </c>
      <c r="W720">
        <v>15.9802482815</v>
      </c>
      <c r="X720">
        <v>14.0356486236</v>
      </c>
      <c r="Y720">
        <v>13.090831508899999</v>
      </c>
      <c r="Z720">
        <v>11.2132690148</v>
      </c>
      <c r="AA720">
        <v>10.3578742735</v>
      </c>
      <c r="AB720">
        <v>9.5688253396</v>
      </c>
    </row>
    <row r="721" spans="1:28" hidden="1" x14ac:dyDescent="0.25">
      <c r="A721" t="s">
        <v>7</v>
      </c>
      <c r="B721" t="s">
        <v>34</v>
      </c>
      <c r="C721">
        <v>110</v>
      </c>
      <c r="D721" t="s">
        <v>4</v>
      </c>
      <c r="E721">
        <v>0.32203860000000001</v>
      </c>
      <c r="F721">
        <v>0.29888585020000003</v>
      </c>
      <c r="G721">
        <v>0.29906495020000001</v>
      </c>
      <c r="H721">
        <v>0.29348585020000001</v>
      </c>
      <c r="I721">
        <v>0.31124105019999998</v>
      </c>
      <c r="J721">
        <v>0.36639885</v>
      </c>
      <c r="K721">
        <v>0.41871375</v>
      </c>
      <c r="L721">
        <v>0.46165289999999998</v>
      </c>
      <c r="M721">
        <v>0.48824836900000002</v>
      </c>
      <c r="N721">
        <v>0.507957769</v>
      </c>
      <c r="O721">
        <v>0.51715126899999997</v>
      </c>
      <c r="P721">
        <v>0.54453181900000003</v>
      </c>
      <c r="Q721">
        <v>0.54875010000000002</v>
      </c>
      <c r="R721">
        <v>0.55014375000000004</v>
      </c>
      <c r="S721">
        <v>0.55457774999999998</v>
      </c>
      <c r="T721">
        <v>0.54773400000000005</v>
      </c>
      <c r="U721">
        <v>0.53815575000000004</v>
      </c>
      <c r="V721">
        <v>0.52373760000000003</v>
      </c>
      <c r="W721">
        <v>0.58487699999999998</v>
      </c>
      <c r="X721">
        <v>0.57925994999999997</v>
      </c>
      <c r="Y721">
        <v>0.5565078</v>
      </c>
      <c r="Z721">
        <v>0.473688</v>
      </c>
      <c r="AA721">
        <v>0.43300620000000001</v>
      </c>
      <c r="AB721">
        <v>0.38697749999999997</v>
      </c>
    </row>
    <row r="722" spans="1:28" hidden="1" x14ac:dyDescent="0.25">
      <c r="A722" t="s">
        <v>7</v>
      </c>
      <c r="B722" t="s">
        <v>35</v>
      </c>
      <c r="C722">
        <v>46</v>
      </c>
      <c r="D722" t="s">
        <v>2</v>
      </c>
      <c r="E722">
        <v>8.9031643999999996</v>
      </c>
      <c r="F722">
        <v>8.6897450000000003</v>
      </c>
      <c r="G722">
        <v>9.1785765000000001</v>
      </c>
      <c r="H722">
        <v>9.3475602000000002</v>
      </c>
      <c r="I722">
        <v>10.0592492</v>
      </c>
      <c r="J722">
        <v>11.3412691</v>
      </c>
      <c r="K722">
        <v>13.294422300000001</v>
      </c>
      <c r="L722">
        <v>14.8256643</v>
      </c>
      <c r="M722">
        <v>15.1798986</v>
      </c>
      <c r="N722">
        <v>14.9512502</v>
      </c>
      <c r="O722">
        <v>16.356285499999998</v>
      </c>
      <c r="P722">
        <v>17.661178</v>
      </c>
      <c r="Q722">
        <v>16.980587199999999</v>
      </c>
      <c r="R722">
        <v>17.706622500000002</v>
      </c>
      <c r="S722">
        <v>17.009677499999999</v>
      </c>
      <c r="T722">
        <v>18.151881599999999</v>
      </c>
      <c r="U722">
        <v>16.5984072</v>
      </c>
      <c r="V722">
        <v>15.7205184</v>
      </c>
      <c r="W722">
        <v>17.048817</v>
      </c>
      <c r="X722">
        <v>15.7816381</v>
      </c>
      <c r="Y722">
        <v>15.294300399999999</v>
      </c>
      <c r="Z722">
        <v>13.347200000000001</v>
      </c>
      <c r="AA722">
        <v>9.6823847999999995</v>
      </c>
      <c r="AB722">
        <v>7.9638552000000002</v>
      </c>
    </row>
    <row r="723" spans="1:28" hidden="1" x14ac:dyDescent="0.25">
      <c r="A723" t="s">
        <v>7</v>
      </c>
      <c r="B723" t="s">
        <v>35</v>
      </c>
      <c r="C723">
        <v>46</v>
      </c>
      <c r="D723" t="s">
        <v>3</v>
      </c>
      <c r="E723">
        <v>2.6809415728000001</v>
      </c>
      <c r="F723">
        <v>2.7228923962999998</v>
      </c>
      <c r="G723">
        <v>2.8706680806999998</v>
      </c>
      <c r="H723">
        <v>2.9900068956000001</v>
      </c>
      <c r="I723">
        <v>3.0680691751000002</v>
      </c>
      <c r="J723">
        <v>3.4484498767999998</v>
      </c>
      <c r="K723">
        <v>4.0880675309000001</v>
      </c>
      <c r="L723">
        <v>4.7610374974000003</v>
      </c>
      <c r="M723">
        <v>4.9081205943999997</v>
      </c>
      <c r="N723">
        <v>4.7689231861000003</v>
      </c>
      <c r="O723">
        <v>5.2808439849999997</v>
      </c>
      <c r="P723">
        <v>5.7584393154000004</v>
      </c>
      <c r="Q723">
        <v>5.6329010450999997</v>
      </c>
      <c r="R723">
        <v>5.8524939168000003</v>
      </c>
      <c r="S723">
        <v>5.5974474612999998</v>
      </c>
      <c r="T723">
        <v>6.0336004474999996</v>
      </c>
      <c r="U723">
        <v>5.6078739260999999</v>
      </c>
      <c r="V723">
        <v>5.1391384597999998</v>
      </c>
      <c r="W723">
        <v>5.6338669801999997</v>
      </c>
      <c r="X723">
        <v>5.0206152762</v>
      </c>
      <c r="Y723">
        <v>4.9779785277000004</v>
      </c>
      <c r="Z723">
        <v>4.3675630010999997</v>
      </c>
      <c r="AA723">
        <v>3.0626368449000001</v>
      </c>
      <c r="AB723">
        <v>2.4011057145999999</v>
      </c>
    </row>
    <row r="724" spans="1:28" hidden="1" x14ac:dyDescent="0.25">
      <c r="A724" t="s">
        <v>7</v>
      </c>
      <c r="B724" t="s">
        <v>35</v>
      </c>
      <c r="C724">
        <v>46</v>
      </c>
      <c r="D724" t="s">
        <v>4</v>
      </c>
      <c r="E724">
        <v>0.27535559999999998</v>
      </c>
      <c r="F724">
        <v>0.26875500000000002</v>
      </c>
      <c r="G724">
        <v>0.2838735</v>
      </c>
      <c r="H724">
        <v>0.28909980000000002</v>
      </c>
      <c r="I724">
        <v>0.31111080000000002</v>
      </c>
      <c r="J724">
        <v>0.35076089999999999</v>
      </c>
      <c r="K724">
        <v>0.41116770000000002</v>
      </c>
      <c r="L724">
        <v>0.45852569999999998</v>
      </c>
      <c r="M724">
        <v>0.46948139999999999</v>
      </c>
      <c r="N724">
        <v>0.46240979999999998</v>
      </c>
      <c r="O724">
        <v>0.50586450000000005</v>
      </c>
      <c r="P724">
        <v>0.54622199999999999</v>
      </c>
      <c r="Q724">
        <v>0.5251728</v>
      </c>
      <c r="R724">
        <v>0.54762750000000004</v>
      </c>
      <c r="S724">
        <v>0.52607250000000005</v>
      </c>
      <c r="T724">
        <v>0.56139839999999996</v>
      </c>
      <c r="U724">
        <v>0.51335280000000005</v>
      </c>
      <c r="V724">
        <v>0.48620160000000001</v>
      </c>
      <c r="W724">
        <v>0.52728299999999995</v>
      </c>
      <c r="X724">
        <v>0.48809190000000002</v>
      </c>
      <c r="Y724">
        <v>0.47301959999999998</v>
      </c>
      <c r="Z724">
        <v>0.4128</v>
      </c>
      <c r="AA724">
        <v>0.29945519999999998</v>
      </c>
      <c r="AB724">
        <v>0.24630479999999999</v>
      </c>
    </row>
    <row r="725" spans="1:28" hidden="1" x14ac:dyDescent="0.25">
      <c r="A725" t="s">
        <v>7</v>
      </c>
      <c r="B725" t="s">
        <v>36</v>
      </c>
      <c r="C725">
        <v>110</v>
      </c>
      <c r="D725" t="s">
        <v>2</v>
      </c>
      <c r="E725">
        <v>21.098542399999999</v>
      </c>
      <c r="F725">
        <v>21.0263025</v>
      </c>
      <c r="G725">
        <v>21.488700900000001</v>
      </c>
      <c r="H725">
        <v>21.7492728</v>
      </c>
      <c r="I725">
        <v>23.29882555</v>
      </c>
      <c r="J725">
        <v>25.208543550000002</v>
      </c>
      <c r="K725">
        <v>25.658471850000002</v>
      </c>
      <c r="L725">
        <v>27.453102449999999</v>
      </c>
      <c r="M725">
        <v>30.1584936</v>
      </c>
      <c r="N725">
        <v>31.216915499999999</v>
      </c>
      <c r="O725">
        <v>31.746549999999999</v>
      </c>
      <c r="P725">
        <v>32.752875250000002</v>
      </c>
      <c r="Q725">
        <v>31.981836950000002</v>
      </c>
      <c r="R725">
        <v>31.093987500000001</v>
      </c>
      <c r="S725">
        <v>33.601896000000004</v>
      </c>
      <c r="T725">
        <v>32.7588936</v>
      </c>
      <c r="U725">
        <v>32.290634449999999</v>
      </c>
      <c r="V725">
        <v>28.708416</v>
      </c>
      <c r="W725">
        <v>33.271871750000003</v>
      </c>
      <c r="X725">
        <v>34.352663</v>
      </c>
      <c r="Y725">
        <v>33.289335800000003</v>
      </c>
      <c r="Z725">
        <v>28.923382400000001</v>
      </c>
      <c r="AA725">
        <v>25.6672482</v>
      </c>
      <c r="AB725">
        <v>24.908877</v>
      </c>
    </row>
    <row r="726" spans="1:28" hidden="1" x14ac:dyDescent="0.25">
      <c r="A726" t="s">
        <v>7</v>
      </c>
      <c r="B726" t="s">
        <v>36</v>
      </c>
      <c r="C726">
        <v>110</v>
      </c>
      <c r="D726" t="s">
        <v>3</v>
      </c>
      <c r="E726">
        <v>9.3323804987999992</v>
      </c>
      <c r="F726">
        <v>9.6849242271999998</v>
      </c>
      <c r="G726">
        <v>9.9196897797000005</v>
      </c>
      <c r="H726">
        <v>9.9371151719000004</v>
      </c>
      <c r="I726">
        <v>10.416875574800001</v>
      </c>
      <c r="J726">
        <v>10.8660602021</v>
      </c>
      <c r="K726">
        <v>10.305548013399999</v>
      </c>
      <c r="L726">
        <v>11.469507126</v>
      </c>
      <c r="M726">
        <v>13.5006644728</v>
      </c>
      <c r="N726">
        <v>14.2501108676</v>
      </c>
      <c r="O726">
        <v>14.293528544300001</v>
      </c>
      <c r="P726">
        <v>14.996018600999999</v>
      </c>
      <c r="Q726">
        <v>14.9555241864</v>
      </c>
      <c r="R726">
        <v>14.046138412099999</v>
      </c>
      <c r="S726">
        <v>15.0253411546</v>
      </c>
      <c r="T726">
        <v>15.150707821299999</v>
      </c>
      <c r="U726">
        <v>15.108285394199999</v>
      </c>
      <c r="V726">
        <v>13.190090556099999</v>
      </c>
      <c r="W726">
        <v>14.876790159700001</v>
      </c>
      <c r="X726">
        <v>14.24716252</v>
      </c>
      <c r="Y726">
        <v>13.6098398859</v>
      </c>
      <c r="Z726">
        <v>11.8925717062</v>
      </c>
      <c r="AA726">
        <v>10.632471242999999</v>
      </c>
      <c r="AB726">
        <v>10.915938321900001</v>
      </c>
    </row>
    <row r="727" spans="1:28" hidden="1" x14ac:dyDescent="0.25">
      <c r="A727" t="s">
        <v>7</v>
      </c>
      <c r="B727" t="s">
        <v>36</v>
      </c>
      <c r="C727">
        <v>110</v>
      </c>
      <c r="D727" t="s">
        <v>4</v>
      </c>
      <c r="E727">
        <v>0.32129760000000002</v>
      </c>
      <c r="F727">
        <v>0.32019750000000002</v>
      </c>
      <c r="G727">
        <v>0.3272391</v>
      </c>
      <c r="H727">
        <v>0.33120719999999998</v>
      </c>
      <c r="I727">
        <v>0.35480444999999999</v>
      </c>
      <c r="J727">
        <v>0.38388644999999999</v>
      </c>
      <c r="K727">
        <v>0.39073815000000001</v>
      </c>
      <c r="L727">
        <v>0.41806755000000001</v>
      </c>
      <c r="M727">
        <v>0.45926640000000002</v>
      </c>
      <c r="N727">
        <v>0.47538449999999999</v>
      </c>
      <c r="O727">
        <v>0.48344999999999999</v>
      </c>
      <c r="P727">
        <v>0.49877474999999999</v>
      </c>
      <c r="Q727">
        <v>0.48703305000000002</v>
      </c>
      <c r="R727">
        <v>0.4735125</v>
      </c>
      <c r="S727">
        <v>0.51170400000000005</v>
      </c>
      <c r="T727">
        <v>0.49886639999999999</v>
      </c>
      <c r="U727">
        <v>0.49173555000000002</v>
      </c>
      <c r="V727">
        <v>0.43718400000000002</v>
      </c>
      <c r="W727">
        <v>0.50667825</v>
      </c>
      <c r="X727">
        <v>0.52313699999999996</v>
      </c>
      <c r="Y727">
        <v>0.50694419999999996</v>
      </c>
      <c r="Z727">
        <v>0.4404576</v>
      </c>
      <c r="AA727">
        <v>0.39087179999999999</v>
      </c>
      <c r="AB727">
        <v>0.37932300000000002</v>
      </c>
    </row>
    <row r="728" spans="1:28" hidden="1" x14ac:dyDescent="0.25">
      <c r="A728" t="s">
        <v>7</v>
      </c>
      <c r="B728" t="s">
        <v>37</v>
      </c>
      <c r="C728">
        <v>220</v>
      </c>
      <c r="D728" t="s">
        <v>2</v>
      </c>
      <c r="E728">
        <v>0.96823999999999999</v>
      </c>
      <c r="F728">
        <v>0.78849999999999998</v>
      </c>
      <c r="G728">
        <v>0.77031000000000005</v>
      </c>
      <c r="H728">
        <v>0.76302000000000003</v>
      </c>
      <c r="I728">
        <v>0.92091999999999996</v>
      </c>
      <c r="J728">
        <v>1.37883</v>
      </c>
      <c r="K728">
        <v>2.7607499999999998</v>
      </c>
      <c r="L728">
        <v>2.6450900000000002</v>
      </c>
      <c r="M728">
        <v>2.6558999999999999</v>
      </c>
      <c r="N728">
        <v>2.3822399999999999</v>
      </c>
      <c r="O728">
        <v>2.62235</v>
      </c>
      <c r="P728">
        <v>2.9779900000000001</v>
      </c>
      <c r="Q728">
        <v>3.05118</v>
      </c>
      <c r="R728">
        <v>2.6535000000000002</v>
      </c>
      <c r="S728">
        <v>2.5801500000000002</v>
      </c>
      <c r="T728">
        <v>2.48584</v>
      </c>
      <c r="U728">
        <v>2.3968600000000002</v>
      </c>
      <c r="V728">
        <v>2.4435199999999999</v>
      </c>
      <c r="W728">
        <v>3.0286499999999998</v>
      </c>
      <c r="X728">
        <v>3.8938999999999999</v>
      </c>
      <c r="Y728">
        <v>3.6250399999999998</v>
      </c>
      <c r="Z728">
        <v>2.4630399999999999</v>
      </c>
      <c r="AA728">
        <v>1.7556</v>
      </c>
      <c r="AB728">
        <v>1.3041</v>
      </c>
    </row>
    <row r="729" spans="1:28" hidden="1" x14ac:dyDescent="0.25">
      <c r="A729" t="s">
        <v>7</v>
      </c>
      <c r="B729" t="s">
        <v>37</v>
      </c>
      <c r="C729">
        <v>220</v>
      </c>
      <c r="D729" t="s">
        <v>3</v>
      </c>
      <c r="E729">
        <v>0.25117707690000002</v>
      </c>
      <c r="F729">
        <v>0.19713363519999999</v>
      </c>
      <c r="G729">
        <v>0.18420067800000001</v>
      </c>
      <c r="H729">
        <v>0.1581033329</v>
      </c>
      <c r="I729">
        <v>0.1915302797</v>
      </c>
      <c r="J729">
        <v>0.61570276690000003</v>
      </c>
      <c r="K729">
        <v>0.74072140320000002</v>
      </c>
      <c r="L729">
        <v>0.86290532499999995</v>
      </c>
      <c r="M729">
        <v>0.96237632579999999</v>
      </c>
      <c r="N729">
        <v>0.97995687730000003</v>
      </c>
      <c r="O729">
        <v>1.1119715669000001</v>
      </c>
      <c r="P729">
        <v>1.2380734187</v>
      </c>
      <c r="Q729">
        <v>1.2540060989999999</v>
      </c>
      <c r="R729">
        <v>1.1885596888000001</v>
      </c>
      <c r="S729">
        <v>1.199854795</v>
      </c>
      <c r="T729">
        <v>1.3012295046</v>
      </c>
      <c r="U729">
        <v>1.236497709</v>
      </c>
      <c r="V729">
        <v>1.1938125453999999</v>
      </c>
      <c r="W729">
        <v>1.3677827191</v>
      </c>
      <c r="X729">
        <v>1.3438329122999999</v>
      </c>
      <c r="Y729">
        <v>1.1467692717</v>
      </c>
      <c r="Z729">
        <v>0.86781211879999998</v>
      </c>
      <c r="AA729">
        <v>0.73399895120000003</v>
      </c>
      <c r="AB729">
        <v>0.32973538499999999</v>
      </c>
    </row>
    <row r="730" spans="1:28" hidden="1" x14ac:dyDescent="0.25">
      <c r="A730" t="s">
        <v>7</v>
      </c>
      <c r="B730" t="s">
        <v>37</v>
      </c>
      <c r="C730">
        <v>220</v>
      </c>
      <c r="D730" t="s">
        <v>4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</row>
    <row r="731" spans="1:28" hidden="1" x14ac:dyDescent="0.25">
      <c r="A731" t="s">
        <v>7</v>
      </c>
      <c r="B731" t="s">
        <v>38</v>
      </c>
      <c r="C731">
        <v>110</v>
      </c>
      <c r="D731" t="s">
        <v>2</v>
      </c>
      <c r="E731">
        <v>1.3040612</v>
      </c>
      <c r="F731">
        <v>1.253905</v>
      </c>
      <c r="G731">
        <v>1.2926943</v>
      </c>
      <c r="H731">
        <v>1.2897392999999999</v>
      </c>
      <c r="I731">
        <v>1.4000987</v>
      </c>
      <c r="J731">
        <v>1.46856605</v>
      </c>
      <c r="K731">
        <v>1.5470016</v>
      </c>
      <c r="L731">
        <v>1.88667885</v>
      </c>
      <c r="M731">
        <v>1.8513666</v>
      </c>
      <c r="N731">
        <v>1.8716181999999999</v>
      </c>
      <c r="O731">
        <v>1.86150225</v>
      </c>
      <c r="P731">
        <v>1.9454144</v>
      </c>
      <c r="Q731">
        <v>1.92771395</v>
      </c>
      <c r="R731">
        <v>1.9828049999999999</v>
      </c>
      <c r="S731">
        <v>1.9479359999999999</v>
      </c>
      <c r="T731">
        <v>1.8554248</v>
      </c>
      <c r="U731">
        <v>1.8080364499999999</v>
      </c>
      <c r="V731">
        <v>1.7979008000000001</v>
      </c>
      <c r="W731">
        <v>2.086624</v>
      </c>
      <c r="X731">
        <v>2.4680553999999999</v>
      </c>
      <c r="Y731">
        <v>2.3857094000000001</v>
      </c>
      <c r="Z731">
        <v>2.1550224</v>
      </c>
      <c r="AA731">
        <v>1.9516001999999999</v>
      </c>
      <c r="AB731">
        <v>1.7089947000000001</v>
      </c>
    </row>
    <row r="732" spans="1:28" hidden="1" x14ac:dyDescent="0.25">
      <c r="A732" t="s">
        <v>7</v>
      </c>
      <c r="B732" t="s">
        <v>38</v>
      </c>
      <c r="C732">
        <v>110</v>
      </c>
      <c r="D732" t="s">
        <v>3</v>
      </c>
      <c r="E732">
        <v>0.61871181500000005</v>
      </c>
      <c r="F732">
        <v>0.55847931340000001</v>
      </c>
      <c r="G732">
        <v>0.57575575909999999</v>
      </c>
      <c r="H732">
        <v>0.57443962569999996</v>
      </c>
      <c r="I732">
        <v>0.62359282459999998</v>
      </c>
      <c r="J732">
        <v>0.6540876377</v>
      </c>
      <c r="K732">
        <v>0.58563305369999996</v>
      </c>
      <c r="L732">
        <v>0.5262600409</v>
      </c>
      <c r="M732">
        <v>0.55762786360000005</v>
      </c>
      <c r="N732">
        <v>0.60937362640000003</v>
      </c>
      <c r="O732">
        <v>0.7142682709</v>
      </c>
      <c r="P732">
        <v>0.70641376420000002</v>
      </c>
      <c r="Q732">
        <v>0.71629323990000004</v>
      </c>
      <c r="R732">
        <v>0.70222487960000002</v>
      </c>
      <c r="S732">
        <v>0.7131919914</v>
      </c>
      <c r="T732">
        <v>0.72099215039999998</v>
      </c>
      <c r="U732">
        <v>0.71065096579999998</v>
      </c>
      <c r="V732">
        <v>0.70666713609999998</v>
      </c>
      <c r="W732">
        <v>0.82015014740000003</v>
      </c>
      <c r="X732">
        <v>0.81077260669999995</v>
      </c>
      <c r="Y732">
        <v>0.74412830939999997</v>
      </c>
      <c r="Z732">
        <v>0.67217456379999996</v>
      </c>
      <c r="AA732">
        <v>0.66687102990000002</v>
      </c>
      <c r="AB732">
        <v>0.67172248339999996</v>
      </c>
    </row>
    <row r="733" spans="1:28" hidden="1" x14ac:dyDescent="0.25">
      <c r="A733" t="s">
        <v>7</v>
      </c>
      <c r="B733" t="s">
        <v>38</v>
      </c>
      <c r="C733">
        <v>110</v>
      </c>
      <c r="D733" t="s">
        <v>4</v>
      </c>
      <c r="E733">
        <v>1.9858799999999999E-2</v>
      </c>
      <c r="F733">
        <v>1.9095000000000001E-2</v>
      </c>
      <c r="G733">
        <v>1.96857E-2</v>
      </c>
      <c r="H733">
        <v>1.9640700000000001E-2</v>
      </c>
      <c r="I733">
        <v>2.1321300000000001E-2</v>
      </c>
      <c r="J733">
        <v>2.236395E-2</v>
      </c>
      <c r="K733">
        <v>2.35584E-2</v>
      </c>
      <c r="L733">
        <v>2.873115E-2</v>
      </c>
      <c r="M733">
        <v>2.81934E-2</v>
      </c>
      <c r="N733">
        <v>2.8501800000000001E-2</v>
      </c>
      <c r="O733">
        <v>2.8347750000000001E-2</v>
      </c>
      <c r="P733">
        <v>2.9625599999999998E-2</v>
      </c>
      <c r="Q733">
        <v>2.9356050000000002E-2</v>
      </c>
      <c r="R733">
        <v>3.0195E-2</v>
      </c>
      <c r="S733">
        <v>2.9663999999999999E-2</v>
      </c>
      <c r="T733">
        <v>2.8255200000000001E-2</v>
      </c>
      <c r="U733">
        <v>2.753355E-2</v>
      </c>
      <c r="V733">
        <v>2.7379199999999999E-2</v>
      </c>
      <c r="W733">
        <v>3.1775999999999999E-2</v>
      </c>
      <c r="X733">
        <v>3.7584600000000003E-2</v>
      </c>
      <c r="Y733">
        <v>3.6330599999999998E-2</v>
      </c>
      <c r="Z733">
        <v>3.2817600000000002E-2</v>
      </c>
      <c r="AA733">
        <v>2.9719800000000001E-2</v>
      </c>
      <c r="AB733">
        <v>2.6025300000000001E-2</v>
      </c>
    </row>
    <row r="734" spans="1:28" hidden="1" x14ac:dyDescent="0.25">
      <c r="A734" t="s">
        <v>7</v>
      </c>
      <c r="B734" t="s">
        <v>39</v>
      </c>
      <c r="C734">
        <v>110</v>
      </c>
      <c r="D734" t="s">
        <v>2</v>
      </c>
      <c r="E734">
        <v>60.5901868001</v>
      </c>
      <c r="F734">
        <v>59.335907499999998</v>
      </c>
      <c r="G734">
        <v>59.473305150000002</v>
      </c>
      <c r="H734">
        <v>59.192958699999998</v>
      </c>
      <c r="I734">
        <v>64.076362149999994</v>
      </c>
      <c r="J734">
        <v>67.817796000000001</v>
      </c>
      <c r="K734">
        <v>70.236916600000001</v>
      </c>
      <c r="L734">
        <v>83.604258700000003</v>
      </c>
      <c r="M734">
        <v>94.141917800000002</v>
      </c>
      <c r="N734">
        <v>103.1331098</v>
      </c>
      <c r="O734">
        <v>108.3489015</v>
      </c>
      <c r="P734">
        <v>113.8585581</v>
      </c>
      <c r="Q734">
        <v>114.9352507</v>
      </c>
      <c r="R734">
        <v>115.94902875</v>
      </c>
      <c r="S734">
        <v>119.17411575</v>
      </c>
      <c r="T734">
        <v>119.690108</v>
      </c>
      <c r="U734">
        <v>107.0178269</v>
      </c>
      <c r="V734">
        <v>102.3933504</v>
      </c>
      <c r="W734">
        <v>117.50301399999999</v>
      </c>
      <c r="X734">
        <v>107.87736744999999</v>
      </c>
      <c r="Y734">
        <v>97.087312999999995</v>
      </c>
      <c r="Z734">
        <v>81.335153599999998</v>
      </c>
      <c r="AA734">
        <v>73.110896100000005</v>
      </c>
      <c r="AB734">
        <v>67.622574599999993</v>
      </c>
    </row>
    <row r="735" spans="1:28" hidden="1" x14ac:dyDescent="0.25">
      <c r="A735" t="s">
        <v>7</v>
      </c>
      <c r="B735" t="s">
        <v>39</v>
      </c>
      <c r="C735">
        <v>110</v>
      </c>
      <c r="D735" t="s">
        <v>3</v>
      </c>
      <c r="E735">
        <v>21.862422517900001</v>
      </c>
      <c r="F735">
        <v>22.412351575700001</v>
      </c>
      <c r="G735">
        <v>22.977968621900001</v>
      </c>
      <c r="H735">
        <v>22.801638035100002</v>
      </c>
      <c r="I735">
        <v>24.748220433499998</v>
      </c>
      <c r="J735">
        <v>25.697194101099999</v>
      </c>
      <c r="K735">
        <v>23.083265608200001</v>
      </c>
      <c r="L735">
        <v>27.4081235146</v>
      </c>
      <c r="M735">
        <v>32.411966684200003</v>
      </c>
      <c r="N735">
        <v>37.469940581899998</v>
      </c>
      <c r="O735">
        <v>38.990214824399999</v>
      </c>
      <c r="P735">
        <v>43.271233970499999</v>
      </c>
      <c r="Q735">
        <v>44.215276630799998</v>
      </c>
      <c r="R735">
        <v>43.912393117900002</v>
      </c>
      <c r="S735">
        <v>45.387293495000002</v>
      </c>
      <c r="T735">
        <v>45.170616580900003</v>
      </c>
      <c r="U735">
        <v>40.1174911739</v>
      </c>
      <c r="V735">
        <v>39.5179965978</v>
      </c>
      <c r="W735">
        <v>44.307186137899997</v>
      </c>
      <c r="X735">
        <v>39.407795785899999</v>
      </c>
      <c r="Y735">
        <v>33.649031599200001</v>
      </c>
      <c r="Z735">
        <v>28.256281810499999</v>
      </c>
      <c r="AA735">
        <v>25.9936798076</v>
      </c>
      <c r="AB735">
        <v>23.9786527734</v>
      </c>
    </row>
    <row r="736" spans="1:28" hidden="1" x14ac:dyDescent="0.25">
      <c r="A736" t="s">
        <v>7</v>
      </c>
      <c r="B736" t="s">
        <v>39</v>
      </c>
      <c r="C736">
        <v>110</v>
      </c>
      <c r="D736" t="s">
        <v>4</v>
      </c>
      <c r="E736">
        <v>0.92269319989999998</v>
      </c>
      <c r="F736">
        <v>0.90359250000000002</v>
      </c>
      <c r="G736">
        <v>0.90568484999999999</v>
      </c>
      <c r="H736">
        <v>0.90141561469999998</v>
      </c>
      <c r="I736">
        <v>0.97578216470000001</v>
      </c>
      <c r="J736">
        <v>1.0327583146999999</v>
      </c>
      <c r="K736">
        <v>1.0695977147</v>
      </c>
      <c r="L736">
        <v>1.2731612999999999</v>
      </c>
      <c r="M736">
        <v>1.4336332659</v>
      </c>
      <c r="N736">
        <v>1.5705549715</v>
      </c>
      <c r="O736">
        <v>1.6499832715</v>
      </c>
      <c r="P736">
        <v>1.7338866715000001</v>
      </c>
      <c r="Q736">
        <v>1.7502830055</v>
      </c>
      <c r="R736">
        <v>1.7657212499999999</v>
      </c>
      <c r="S736">
        <v>1.8148342500000001</v>
      </c>
      <c r="T736">
        <v>1.822692</v>
      </c>
      <c r="U736">
        <v>1.6297131</v>
      </c>
      <c r="V736">
        <v>1.5592896000000001</v>
      </c>
      <c r="W736">
        <v>1.7893859999999999</v>
      </c>
      <c r="X736">
        <v>1.6428025500000001</v>
      </c>
      <c r="Y736">
        <v>1.4784870000000001</v>
      </c>
      <c r="Z736">
        <v>1.2386064000000001</v>
      </c>
      <c r="AA736">
        <v>1.1133639</v>
      </c>
      <c r="AB736">
        <v>1.0297854</v>
      </c>
    </row>
    <row r="737" spans="1:28" hidden="1" x14ac:dyDescent="0.25">
      <c r="A737" t="s">
        <v>7</v>
      </c>
      <c r="B737" t="s">
        <v>40</v>
      </c>
      <c r="C737">
        <v>115</v>
      </c>
      <c r="D737" t="s">
        <v>2</v>
      </c>
      <c r="E737">
        <v>4.6907275999999998</v>
      </c>
      <c r="F737">
        <v>4.1079425000000001</v>
      </c>
      <c r="G737">
        <v>4.1591034000000002</v>
      </c>
      <c r="H737">
        <v>4.1475789000000001</v>
      </c>
      <c r="I737">
        <v>4.5059514500000004</v>
      </c>
      <c r="J737">
        <v>5.9184315999999999</v>
      </c>
      <c r="K737">
        <v>8.0008988999999993</v>
      </c>
      <c r="L737">
        <v>9.0098541000000001</v>
      </c>
      <c r="M737">
        <v>9.1226760000000002</v>
      </c>
      <c r="N737">
        <v>9.2323853000000007</v>
      </c>
      <c r="O737">
        <v>9.8414304999999995</v>
      </c>
      <c r="P737">
        <v>10.562992250000001</v>
      </c>
      <c r="Q737">
        <v>10.54930075</v>
      </c>
      <c r="R737">
        <v>9.8238974999999993</v>
      </c>
      <c r="S737">
        <v>9.6483705000000004</v>
      </c>
      <c r="T737">
        <v>9.6269171999999994</v>
      </c>
      <c r="U737">
        <v>9.7424774000000003</v>
      </c>
      <c r="V737">
        <v>9.8739551999999993</v>
      </c>
      <c r="W737">
        <v>11.5742425</v>
      </c>
      <c r="X737">
        <v>13.257459750000001</v>
      </c>
      <c r="Y737">
        <v>13.0977026</v>
      </c>
      <c r="Z737">
        <v>10.0567712</v>
      </c>
      <c r="AA737">
        <v>8.3498844000000005</v>
      </c>
      <c r="AB737">
        <v>6.4562021999999999</v>
      </c>
    </row>
    <row r="738" spans="1:28" hidden="1" x14ac:dyDescent="0.25">
      <c r="A738" t="s">
        <v>7</v>
      </c>
      <c r="B738" t="s">
        <v>40</v>
      </c>
      <c r="C738">
        <v>115</v>
      </c>
      <c r="D738" t="s">
        <v>3</v>
      </c>
      <c r="E738">
        <v>0.6999256358</v>
      </c>
      <c r="F738">
        <v>0.76170962890000005</v>
      </c>
      <c r="G738">
        <v>1.0255290238000001</v>
      </c>
      <c r="H738">
        <v>0.59488570809999997</v>
      </c>
      <c r="I738">
        <v>0.53982491499999996</v>
      </c>
      <c r="J738">
        <v>0.58442013159999995</v>
      </c>
      <c r="K738">
        <v>0.43872099580000001</v>
      </c>
      <c r="L738">
        <v>0.59726746919999996</v>
      </c>
      <c r="M738">
        <v>2.2384835465999999</v>
      </c>
      <c r="N738">
        <v>3.0197701757000002</v>
      </c>
      <c r="O738">
        <v>3.5316594323000001</v>
      </c>
      <c r="P738">
        <v>4.1474621572999997</v>
      </c>
      <c r="Q738">
        <v>4.1951865665000003</v>
      </c>
      <c r="R738">
        <v>3.9996674399000001</v>
      </c>
      <c r="S738">
        <v>4.0599942839000001</v>
      </c>
      <c r="T738">
        <v>4.0673096272000002</v>
      </c>
      <c r="U738">
        <v>4.0214202766999998</v>
      </c>
      <c r="V738">
        <v>3.9983408338999999</v>
      </c>
      <c r="W738">
        <v>4.1411002255999998</v>
      </c>
      <c r="X738">
        <v>2.9771975222</v>
      </c>
      <c r="Y738">
        <v>2.5535607082</v>
      </c>
      <c r="Z738">
        <v>1.9535900006</v>
      </c>
      <c r="AA738">
        <v>1.8586402734</v>
      </c>
      <c r="AB738">
        <v>1.4674061241</v>
      </c>
    </row>
    <row r="739" spans="1:28" hidden="1" x14ac:dyDescent="0.25">
      <c r="A739" t="s">
        <v>7</v>
      </c>
      <c r="B739" t="s">
        <v>40</v>
      </c>
      <c r="C739">
        <v>115</v>
      </c>
      <c r="D739" t="s">
        <v>4</v>
      </c>
      <c r="E739">
        <v>7.1432399999999993E-2</v>
      </c>
      <c r="F739">
        <v>6.2557500000000002E-2</v>
      </c>
      <c r="G739">
        <v>6.3336600000000007E-2</v>
      </c>
      <c r="H739">
        <v>6.3161099999999998E-2</v>
      </c>
      <c r="I739">
        <v>6.861855E-2</v>
      </c>
      <c r="J739">
        <v>9.0128399999999997E-2</v>
      </c>
      <c r="K739">
        <v>0.12184109999999999</v>
      </c>
      <c r="L739">
        <v>0.13720589999999999</v>
      </c>
      <c r="M739">
        <v>0.13892399999999999</v>
      </c>
      <c r="N739">
        <v>0.14059469999999999</v>
      </c>
      <c r="O739">
        <v>0.14986949999999999</v>
      </c>
      <c r="P739">
        <v>0.16085774999999999</v>
      </c>
      <c r="Q739">
        <v>0.16064924999999999</v>
      </c>
      <c r="R739">
        <v>0.1496025</v>
      </c>
      <c r="S739">
        <v>0.14692949999999999</v>
      </c>
      <c r="T739">
        <v>0.14660280000000001</v>
      </c>
      <c r="U739">
        <v>0.14836260000000001</v>
      </c>
      <c r="V739">
        <v>0.15036479999999999</v>
      </c>
      <c r="W739">
        <v>0.17625750000000001</v>
      </c>
      <c r="X739">
        <v>0.20189024999999999</v>
      </c>
      <c r="Y739">
        <v>0.19945740000000001</v>
      </c>
      <c r="Z739">
        <v>0.1531488</v>
      </c>
      <c r="AA739">
        <v>0.12715560000000001</v>
      </c>
      <c r="AB739">
        <v>9.8317799999999997E-2</v>
      </c>
    </row>
    <row r="740" spans="1:28" hidden="1" x14ac:dyDescent="0.25">
      <c r="A740" t="s">
        <v>7</v>
      </c>
      <c r="B740" t="s">
        <v>41</v>
      </c>
      <c r="C740">
        <v>110</v>
      </c>
      <c r="D740" t="s">
        <v>2</v>
      </c>
      <c r="E740">
        <v>14.889654</v>
      </c>
      <c r="F740">
        <v>13.8210275</v>
      </c>
      <c r="G740">
        <v>13.66696365</v>
      </c>
      <c r="H740">
        <v>13.0272948</v>
      </c>
      <c r="I740">
        <v>13.3699566</v>
      </c>
      <c r="J740">
        <v>15.5027574</v>
      </c>
      <c r="K740">
        <v>17.802604349999999</v>
      </c>
      <c r="L740">
        <v>17.737348099999998</v>
      </c>
      <c r="M740">
        <v>17.963622300000001</v>
      </c>
      <c r="N740">
        <v>18.4927052</v>
      </c>
      <c r="O740">
        <v>19.451976999999999</v>
      </c>
      <c r="P740">
        <v>20.86760915</v>
      </c>
      <c r="Q740">
        <v>20.870918750000001</v>
      </c>
      <c r="R740">
        <v>20.834473750000001</v>
      </c>
      <c r="S740">
        <v>21.427295999999998</v>
      </c>
      <c r="T740">
        <v>21.094050800000002</v>
      </c>
      <c r="U740">
        <v>20.590696099999999</v>
      </c>
      <c r="V740">
        <v>20.429372799999999</v>
      </c>
      <c r="W740">
        <v>23.604934</v>
      </c>
      <c r="X740">
        <v>25.030751049999999</v>
      </c>
      <c r="Y740">
        <v>24.331075999999999</v>
      </c>
      <c r="Z740">
        <v>21.387580799999999</v>
      </c>
      <c r="AA740">
        <v>19.997726100000001</v>
      </c>
      <c r="AB740">
        <v>17.838330299999999</v>
      </c>
    </row>
    <row r="741" spans="1:28" hidden="1" x14ac:dyDescent="0.25">
      <c r="A741" t="s">
        <v>7</v>
      </c>
      <c r="B741" t="s">
        <v>41</v>
      </c>
      <c r="C741">
        <v>110</v>
      </c>
      <c r="D741" t="s">
        <v>3</v>
      </c>
      <c r="E741">
        <v>7.2862887642</v>
      </c>
      <c r="F741">
        <v>7.1334586961999999</v>
      </c>
      <c r="G741">
        <v>7.2447206093999998</v>
      </c>
      <c r="H741">
        <v>6.9230901623000003</v>
      </c>
      <c r="I741">
        <v>7.0880114742</v>
      </c>
      <c r="J741">
        <v>7.8260779287000002</v>
      </c>
      <c r="K741">
        <v>7.5408776369000003</v>
      </c>
      <c r="L741">
        <v>7.8220350944000003</v>
      </c>
      <c r="M741">
        <v>8.0568413898000006</v>
      </c>
      <c r="N741">
        <v>8.4937966496000001</v>
      </c>
      <c r="O741">
        <v>9.1001583787999998</v>
      </c>
      <c r="P741">
        <v>9.7011162782000007</v>
      </c>
      <c r="Q741">
        <v>9.7945722846999992</v>
      </c>
      <c r="R741">
        <v>9.8085639891999996</v>
      </c>
      <c r="S741">
        <v>10.114679646200001</v>
      </c>
      <c r="T741">
        <v>10.138518942399999</v>
      </c>
      <c r="U741">
        <v>10.031357138100001</v>
      </c>
      <c r="V741">
        <v>9.9157957522999993</v>
      </c>
      <c r="W741">
        <v>11.447763866500001</v>
      </c>
      <c r="X741">
        <v>10.955218994399999</v>
      </c>
      <c r="Y741">
        <v>10.1302940062</v>
      </c>
      <c r="Z741">
        <v>8.9783719901999994</v>
      </c>
      <c r="AA741">
        <v>8.7226717610000009</v>
      </c>
      <c r="AB741">
        <v>8.1916859900999999</v>
      </c>
    </row>
    <row r="742" spans="1:28" hidden="1" x14ac:dyDescent="0.25">
      <c r="A742" t="s">
        <v>7</v>
      </c>
      <c r="B742" t="s">
        <v>41</v>
      </c>
      <c r="C742">
        <v>110</v>
      </c>
      <c r="D742" t="s">
        <v>4</v>
      </c>
      <c r="E742">
        <v>0.226746</v>
      </c>
      <c r="F742">
        <v>0.21047250000000001</v>
      </c>
      <c r="G742">
        <v>0.20812634999999999</v>
      </c>
      <c r="H742">
        <v>0.19838520000000001</v>
      </c>
      <c r="I742">
        <v>0.20360339999999999</v>
      </c>
      <c r="J742">
        <v>0.2360826</v>
      </c>
      <c r="K742">
        <v>0.27110564999999998</v>
      </c>
      <c r="L742">
        <v>0.27011190000000002</v>
      </c>
      <c r="M742">
        <v>0.27355770000000001</v>
      </c>
      <c r="N742">
        <v>0.2816148</v>
      </c>
      <c r="O742">
        <v>0.29622300000000001</v>
      </c>
      <c r="P742">
        <v>0.31778085</v>
      </c>
      <c r="Q742">
        <v>0.31783125000000001</v>
      </c>
      <c r="R742">
        <v>0.31727624999999998</v>
      </c>
      <c r="S742">
        <v>0.32630399999999998</v>
      </c>
      <c r="T742">
        <v>0.32122919999999999</v>
      </c>
      <c r="U742">
        <v>0.31356390000000001</v>
      </c>
      <c r="V742">
        <v>0.31110719999999997</v>
      </c>
      <c r="W742">
        <v>0.35946600000000001</v>
      </c>
      <c r="X742">
        <v>0.38117895000000002</v>
      </c>
      <c r="Y742">
        <v>0.37052400000000002</v>
      </c>
      <c r="Z742">
        <v>0.32569920000000002</v>
      </c>
      <c r="AA742">
        <v>0.30453390000000002</v>
      </c>
      <c r="AB742">
        <v>0.27164969999999999</v>
      </c>
    </row>
    <row r="743" spans="1:28" hidden="1" x14ac:dyDescent="0.25">
      <c r="A743" t="s">
        <v>7</v>
      </c>
      <c r="B743" t="s">
        <v>42</v>
      </c>
      <c r="C743">
        <v>110</v>
      </c>
      <c r="D743" t="s">
        <v>2</v>
      </c>
      <c r="E743">
        <v>20.9817608</v>
      </c>
      <c r="F743">
        <v>19.847257500000001</v>
      </c>
      <c r="G743">
        <v>19.7651085</v>
      </c>
      <c r="H743">
        <v>19.763631</v>
      </c>
      <c r="I743">
        <v>20.89302215</v>
      </c>
      <c r="J743">
        <v>23.684768250000001</v>
      </c>
      <c r="K743">
        <v>26.3231991</v>
      </c>
      <c r="L743">
        <v>28.929075699999999</v>
      </c>
      <c r="M743">
        <v>30.641458799999999</v>
      </c>
      <c r="N743">
        <v>32.278430299999997</v>
      </c>
      <c r="O743">
        <v>33.824506</v>
      </c>
      <c r="P743">
        <v>37.236447499999997</v>
      </c>
      <c r="Q743">
        <v>37.370328700000002</v>
      </c>
      <c r="R743">
        <v>36.952275</v>
      </c>
      <c r="S743">
        <v>37.117311749999999</v>
      </c>
      <c r="T743">
        <v>36.424118</v>
      </c>
      <c r="U743">
        <v>35.921649799999997</v>
      </c>
      <c r="V743">
        <v>34.899574399999999</v>
      </c>
      <c r="W743">
        <v>38.74925975</v>
      </c>
      <c r="X743">
        <v>39.955815800000003</v>
      </c>
      <c r="Y743">
        <v>37.950158799999997</v>
      </c>
      <c r="Z743">
        <v>31.620548800000002</v>
      </c>
      <c r="AA743">
        <v>28.816982700000001</v>
      </c>
      <c r="AB743">
        <v>25.2551439</v>
      </c>
    </row>
    <row r="744" spans="1:28" hidden="1" x14ac:dyDescent="0.25">
      <c r="A744" t="s">
        <v>7</v>
      </c>
      <c r="B744" t="s">
        <v>42</v>
      </c>
      <c r="C744">
        <v>110</v>
      </c>
      <c r="D744" t="s">
        <v>3</v>
      </c>
      <c r="E744">
        <v>8.8868791505000004</v>
      </c>
      <c r="F744">
        <v>8.9853604246999996</v>
      </c>
      <c r="G744">
        <v>9.0936949120000001</v>
      </c>
      <c r="H744">
        <v>8.8722804256999996</v>
      </c>
      <c r="I744">
        <v>9.2581400039999995</v>
      </c>
      <c r="J744">
        <v>10.0209985785</v>
      </c>
      <c r="K744">
        <v>10.1835957503</v>
      </c>
      <c r="L744">
        <v>11.297427861299999</v>
      </c>
      <c r="M744">
        <v>12.8342087944</v>
      </c>
      <c r="N744">
        <v>13.8273108135</v>
      </c>
      <c r="O744">
        <v>14.697232876699999</v>
      </c>
      <c r="P744">
        <v>16.7172615715</v>
      </c>
      <c r="Q744">
        <v>16.845272312300001</v>
      </c>
      <c r="R744">
        <v>16.6178568586</v>
      </c>
      <c r="S744">
        <v>16.623461683999999</v>
      </c>
      <c r="T744">
        <v>16.591074710000001</v>
      </c>
      <c r="U744">
        <v>16.429104145499998</v>
      </c>
      <c r="V744">
        <v>15.7846306015</v>
      </c>
      <c r="W744">
        <v>17.1018899211</v>
      </c>
      <c r="X744">
        <v>16.0442421238</v>
      </c>
      <c r="Y744">
        <v>14.7215624715</v>
      </c>
      <c r="Z744">
        <v>12.3965372985</v>
      </c>
      <c r="AA744">
        <v>11.5750400227</v>
      </c>
      <c r="AB744">
        <v>10.636455013300001</v>
      </c>
    </row>
    <row r="745" spans="1:28" hidden="1" x14ac:dyDescent="0.25">
      <c r="A745" t="s">
        <v>7</v>
      </c>
      <c r="B745" t="s">
        <v>42</v>
      </c>
      <c r="C745">
        <v>110</v>
      </c>
      <c r="D745" t="s">
        <v>4</v>
      </c>
      <c r="E745">
        <v>0.3195192</v>
      </c>
      <c r="F745">
        <v>0.30224250000000003</v>
      </c>
      <c r="G745">
        <v>0.30099150000000002</v>
      </c>
      <c r="H745">
        <v>0.30096899999999999</v>
      </c>
      <c r="I745">
        <v>0.31816784999999997</v>
      </c>
      <c r="J745">
        <v>0.36068175000000002</v>
      </c>
      <c r="K745">
        <v>0.40086090000000002</v>
      </c>
      <c r="L745">
        <v>0.4405443</v>
      </c>
      <c r="M745">
        <v>0.46662120000000001</v>
      </c>
      <c r="N745">
        <v>0.49154969999999998</v>
      </c>
      <c r="O745">
        <v>0.51509400000000005</v>
      </c>
      <c r="P745">
        <v>0.56705249999999996</v>
      </c>
      <c r="Q745">
        <v>0.56909129999999997</v>
      </c>
      <c r="R745">
        <v>0.56272500000000003</v>
      </c>
      <c r="S745">
        <v>0.56523825000000005</v>
      </c>
      <c r="T745">
        <v>0.55468200000000001</v>
      </c>
      <c r="U745">
        <v>0.54703020000000002</v>
      </c>
      <c r="V745">
        <v>0.53146559999999998</v>
      </c>
      <c r="W745">
        <v>0.59009025000000004</v>
      </c>
      <c r="X745">
        <v>0.60846420000000001</v>
      </c>
      <c r="Y745">
        <v>0.57792120000000002</v>
      </c>
      <c r="Z745">
        <v>0.48153119999999999</v>
      </c>
      <c r="AA745">
        <v>0.43883729999999999</v>
      </c>
      <c r="AB745">
        <v>0.3845961</v>
      </c>
    </row>
    <row r="746" spans="1:28" hidden="1" x14ac:dyDescent="0.25">
      <c r="A746" t="s">
        <v>7</v>
      </c>
      <c r="B746" t="s">
        <v>43</v>
      </c>
      <c r="C746">
        <v>110</v>
      </c>
      <c r="D746" t="s">
        <v>2</v>
      </c>
      <c r="E746">
        <v>9.0116467999999994</v>
      </c>
      <c r="F746">
        <v>8.1129525000000005</v>
      </c>
      <c r="G746">
        <v>8.0371863000000001</v>
      </c>
      <c r="H746">
        <v>7.5528617999999996</v>
      </c>
      <c r="I746">
        <v>7.9963383500000003</v>
      </c>
      <c r="J746">
        <v>9.6174513499999996</v>
      </c>
      <c r="K746">
        <v>12.472700400000001</v>
      </c>
      <c r="L746">
        <v>14.233515949999999</v>
      </c>
      <c r="M746">
        <v>14.274304799999999</v>
      </c>
      <c r="N746">
        <v>13.4225753</v>
      </c>
      <c r="O746">
        <v>13.34798125</v>
      </c>
      <c r="P746">
        <v>14.256239900000001</v>
      </c>
      <c r="Q746">
        <v>13.94936315</v>
      </c>
      <c r="R746">
        <v>13.86461375</v>
      </c>
      <c r="S746">
        <v>14.168190750000001</v>
      </c>
      <c r="T746">
        <v>13.4746424</v>
      </c>
      <c r="U746">
        <v>13.0597013</v>
      </c>
      <c r="V746">
        <v>12.962284800000001</v>
      </c>
      <c r="W746">
        <v>15.176929250000001</v>
      </c>
      <c r="X746">
        <v>17.259711750000001</v>
      </c>
      <c r="Y746">
        <v>17.331941799999999</v>
      </c>
      <c r="Z746">
        <v>14.4752448</v>
      </c>
      <c r="AA746">
        <v>12.6359937</v>
      </c>
      <c r="AB746">
        <v>10.164609</v>
      </c>
    </row>
    <row r="747" spans="1:28" hidden="1" x14ac:dyDescent="0.25">
      <c r="A747" t="s">
        <v>7</v>
      </c>
      <c r="B747" t="s">
        <v>43</v>
      </c>
      <c r="C747">
        <v>110</v>
      </c>
      <c r="D747" t="s">
        <v>3</v>
      </c>
      <c r="E747">
        <v>3.5896292936999998</v>
      </c>
      <c r="F747">
        <v>3.6237125001999999</v>
      </c>
      <c r="G747">
        <v>3.4189794043999999</v>
      </c>
      <c r="H747">
        <v>2.9457252173000001</v>
      </c>
      <c r="I747">
        <v>3.1186874787000001</v>
      </c>
      <c r="J747">
        <v>3.3075401904000001</v>
      </c>
      <c r="K747">
        <v>4.2555159296999996</v>
      </c>
      <c r="L747">
        <v>5.2230035403999997</v>
      </c>
      <c r="M747">
        <v>5.4179599244999999</v>
      </c>
      <c r="N747">
        <v>6.0370711006000004</v>
      </c>
      <c r="O747">
        <v>6.0277536013999997</v>
      </c>
      <c r="P747">
        <v>7.0861184640000001</v>
      </c>
      <c r="Q747">
        <v>7.1341073356000004</v>
      </c>
      <c r="R747">
        <v>7.1421682459999998</v>
      </c>
      <c r="S747">
        <v>7.2985518315000002</v>
      </c>
      <c r="T747">
        <v>6.4376472146000001</v>
      </c>
      <c r="U747">
        <v>6.1662824874000002</v>
      </c>
      <c r="V747">
        <v>6.1202862088999996</v>
      </c>
      <c r="W747">
        <v>7.1659550932</v>
      </c>
      <c r="X747">
        <v>5.9843229060000001</v>
      </c>
      <c r="Y747">
        <v>5.4702479910999999</v>
      </c>
      <c r="Z747">
        <v>4.7793221080999997</v>
      </c>
      <c r="AA747">
        <v>4.7421572651000004</v>
      </c>
      <c r="AB747">
        <v>4.5693519364000004</v>
      </c>
    </row>
    <row r="748" spans="1:28" hidden="1" x14ac:dyDescent="0.25">
      <c r="A748" t="s">
        <v>7</v>
      </c>
      <c r="B748" t="s">
        <v>43</v>
      </c>
      <c r="C748">
        <v>110</v>
      </c>
      <c r="D748" t="s">
        <v>4</v>
      </c>
      <c r="E748">
        <v>0.1372332</v>
      </c>
      <c r="F748">
        <v>0.1235475</v>
      </c>
      <c r="G748">
        <v>0.12239369999999999</v>
      </c>
      <c r="H748">
        <v>0.1150182</v>
      </c>
      <c r="I748">
        <v>0.12177165</v>
      </c>
      <c r="J748">
        <v>0.14645865</v>
      </c>
      <c r="K748">
        <v>0.18993959999999999</v>
      </c>
      <c r="L748">
        <v>0.21675405</v>
      </c>
      <c r="M748">
        <v>0.21737519999999999</v>
      </c>
      <c r="N748">
        <v>0.20440469999999999</v>
      </c>
      <c r="O748">
        <v>0.20326875</v>
      </c>
      <c r="P748">
        <v>0.21710009999999999</v>
      </c>
      <c r="Q748">
        <v>0.21242685</v>
      </c>
      <c r="R748">
        <v>0.21113625</v>
      </c>
      <c r="S748">
        <v>0.21575925000000001</v>
      </c>
      <c r="T748">
        <v>0.20519760000000001</v>
      </c>
      <c r="U748">
        <v>0.19887869999999999</v>
      </c>
      <c r="V748">
        <v>0.19739519999999999</v>
      </c>
      <c r="W748">
        <v>0.23112075000000001</v>
      </c>
      <c r="X748">
        <v>0.26283825</v>
      </c>
      <c r="Y748">
        <v>0.26393820000000001</v>
      </c>
      <c r="Z748">
        <v>0.2204352</v>
      </c>
      <c r="AA748">
        <v>0.19242629999999999</v>
      </c>
      <c r="AB748">
        <v>0.15479100000000001</v>
      </c>
    </row>
    <row r="749" spans="1:28" hidden="1" x14ac:dyDescent="0.25">
      <c r="A749" t="s">
        <v>7</v>
      </c>
      <c r="B749" t="s">
        <v>44</v>
      </c>
      <c r="C749">
        <v>110</v>
      </c>
      <c r="D749" t="s">
        <v>2</v>
      </c>
      <c r="E749">
        <v>1.3721838</v>
      </c>
      <c r="F749">
        <v>1.4036249999999999</v>
      </c>
      <c r="G749">
        <v>1.4706739499999999</v>
      </c>
      <c r="H749">
        <v>1.4289198000000001</v>
      </c>
      <c r="I749">
        <v>1.5381366000000001</v>
      </c>
      <c r="J749">
        <v>1.7225286</v>
      </c>
      <c r="K749">
        <v>1.87332225</v>
      </c>
      <c r="L749">
        <v>1.8995134</v>
      </c>
      <c r="M749">
        <v>1.8647822999999999</v>
      </c>
      <c r="N749">
        <v>1.8855854999999999</v>
      </c>
      <c r="O749">
        <v>1.89036275</v>
      </c>
      <c r="P749">
        <v>1.8998187499999999</v>
      </c>
      <c r="Q749">
        <v>1.8518197000000001</v>
      </c>
      <c r="R749">
        <v>1.8476137500000001</v>
      </c>
      <c r="S749">
        <v>1.8566265</v>
      </c>
      <c r="T749">
        <v>1.8097996000000001</v>
      </c>
      <c r="U749">
        <v>1.8080364499999999</v>
      </c>
      <c r="V749">
        <v>1.8413984000000001</v>
      </c>
      <c r="W749">
        <v>2.1029257499999998</v>
      </c>
      <c r="X749">
        <v>2.2345907</v>
      </c>
      <c r="Y749">
        <v>2.1487183999999999</v>
      </c>
      <c r="Z749">
        <v>1.829736</v>
      </c>
      <c r="AA749">
        <v>1.6428027000000001</v>
      </c>
      <c r="AB749">
        <v>1.5191064000000001</v>
      </c>
    </row>
    <row r="750" spans="1:28" hidden="1" x14ac:dyDescent="0.25">
      <c r="A750" t="s">
        <v>7</v>
      </c>
      <c r="B750" t="s">
        <v>44</v>
      </c>
      <c r="C750">
        <v>110</v>
      </c>
      <c r="D750" t="s">
        <v>3</v>
      </c>
      <c r="E750">
        <v>0.44139818920000001</v>
      </c>
      <c r="F750">
        <v>0.4319839157</v>
      </c>
      <c r="G750">
        <v>0.45009615050000001</v>
      </c>
      <c r="H750">
        <v>0.44427196590000001</v>
      </c>
      <c r="I750">
        <v>0.4725223764</v>
      </c>
      <c r="J750">
        <v>0.51181589949999995</v>
      </c>
      <c r="K750">
        <v>0.49896778149999998</v>
      </c>
      <c r="L750">
        <v>0.50182048720000005</v>
      </c>
      <c r="M750">
        <v>0.56623887910000004</v>
      </c>
      <c r="N750">
        <v>0.63817174330000004</v>
      </c>
      <c r="O750">
        <v>0.63365619259999995</v>
      </c>
      <c r="P750">
        <v>0.62672938899999997</v>
      </c>
      <c r="Q750">
        <v>0.60971444860000001</v>
      </c>
      <c r="R750">
        <v>0.61641184240000002</v>
      </c>
      <c r="S750">
        <v>0.62487833820000005</v>
      </c>
      <c r="T750">
        <v>0.62823979860000001</v>
      </c>
      <c r="U750">
        <v>0.61862604730000004</v>
      </c>
      <c r="V750">
        <v>0.62539074809999995</v>
      </c>
      <c r="W750">
        <v>0.68588554499999999</v>
      </c>
      <c r="X750">
        <v>0.64024688919999995</v>
      </c>
      <c r="Y750">
        <v>0.58323477560000003</v>
      </c>
      <c r="Z750">
        <v>0.52711867820000002</v>
      </c>
      <c r="AA750">
        <v>0.48529603459999998</v>
      </c>
      <c r="AB750">
        <v>0.49422056640000001</v>
      </c>
    </row>
    <row r="751" spans="1:28" hidden="1" x14ac:dyDescent="0.25">
      <c r="A751" t="s">
        <v>7</v>
      </c>
      <c r="B751" t="s">
        <v>44</v>
      </c>
      <c r="C751">
        <v>110</v>
      </c>
      <c r="D751" t="s">
        <v>4</v>
      </c>
      <c r="E751">
        <v>2.08962E-2</v>
      </c>
      <c r="F751">
        <v>2.1375000000000002E-2</v>
      </c>
      <c r="G751">
        <v>2.2396050000000001E-2</v>
      </c>
      <c r="H751">
        <v>2.17602E-2</v>
      </c>
      <c r="I751">
        <v>2.34234E-2</v>
      </c>
      <c r="J751">
        <v>2.6231399999999998E-2</v>
      </c>
      <c r="K751">
        <v>2.8527750000000001E-2</v>
      </c>
      <c r="L751">
        <v>2.89266E-2</v>
      </c>
      <c r="M751">
        <v>2.8397700000000001E-2</v>
      </c>
      <c r="N751">
        <v>2.87145E-2</v>
      </c>
      <c r="O751">
        <v>2.878725E-2</v>
      </c>
      <c r="P751">
        <v>2.8931249999999999E-2</v>
      </c>
      <c r="Q751">
        <v>2.8200300000000001E-2</v>
      </c>
      <c r="R751">
        <v>2.8136250000000002E-2</v>
      </c>
      <c r="S751">
        <v>2.82735E-2</v>
      </c>
      <c r="T751">
        <v>2.7560399999999999E-2</v>
      </c>
      <c r="U751">
        <v>2.753355E-2</v>
      </c>
      <c r="V751">
        <v>2.80416E-2</v>
      </c>
      <c r="W751">
        <v>3.2024249999999997E-2</v>
      </c>
      <c r="X751">
        <v>3.4029299999999998E-2</v>
      </c>
      <c r="Y751">
        <v>3.2721600000000003E-2</v>
      </c>
      <c r="Z751">
        <v>2.7864E-2</v>
      </c>
      <c r="AA751">
        <v>2.5017299999999999E-2</v>
      </c>
      <c r="AB751">
        <v>2.3133600000000001E-2</v>
      </c>
    </row>
    <row r="752" spans="1:28" hidden="1" x14ac:dyDescent="0.25">
      <c r="A752" t="s">
        <v>7</v>
      </c>
      <c r="B752" t="s">
        <v>45</v>
      </c>
      <c r="C752">
        <v>220</v>
      </c>
      <c r="D752" t="s">
        <v>2</v>
      </c>
      <c r="E752">
        <v>15.99572</v>
      </c>
      <c r="F752">
        <v>16.795999999999999</v>
      </c>
      <c r="G752">
        <v>16.82319</v>
      </c>
      <c r="H752">
        <v>16.77702</v>
      </c>
      <c r="I752">
        <v>17.217199999999998</v>
      </c>
      <c r="J752">
        <v>17.83511</v>
      </c>
      <c r="K752">
        <v>17.398859999999999</v>
      </c>
      <c r="L752">
        <v>16.469919999999998</v>
      </c>
      <c r="M752">
        <v>15.853680000000001</v>
      </c>
      <c r="N752">
        <v>16.278639999999999</v>
      </c>
      <c r="O752">
        <v>16.657050000000002</v>
      </c>
      <c r="P752">
        <v>17.69821</v>
      </c>
      <c r="Q752">
        <v>17.968060000000001</v>
      </c>
      <c r="R752">
        <v>18.3</v>
      </c>
      <c r="S752">
        <v>19.760549999999999</v>
      </c>
      <c r="T752">
        <v>19.763200000000001</v>
      </c>
      <c r="U752">
        <v>19.614809999999999</v>
      </c>
      <c r="V752">
        <v>19.45984</v>
      </c>
      <c r="W752">
        <v>22.49145</v>
      </c>
      <c r="X752">
        <v>22.415320000000001</v>
      </c>
      <c r="Y752">
        <v>21.42944</v>
      </c>
      <c r="Z752">
        <v>18.809920000000002</v>
      </c>
      <c r="AA752">
        <v>18.646979999999999</v>
      </c>
      <c r="AB752">
        <v>18.007919999999999</v>
      </c>
    </row>
    <row r="753" spans="1:28" hidden="1" x14ac:dyDescent="0.25">
      <c r="A753" t="s">
        <v>7</v>
      </c>
      <c r="B753" t="s">
        <v>45</v>
      </c>
      <c r="C753">
        <v>220</v>
      </c>
      <c r="D753" t="s">
        <v>3</v>
      </c>
      <c r="E753">
        <v>6.5218335843000004</v>
      </c>
      <c r="F753">
        <v>7.1266811452000001</v>
      </c>
      <c r="G753">
        <v>7.0248955440999996</v>
      </c>
      <c r="H753">
        <v>6.6854538929</v>
      </c>
      <c r="I753">
        <v>7.1273556435999996</v>
      </c>
      <c r="J753">
        <v>7.6261921481000003</v>
      </c>
      <c r="K753">
        <v>6.8726378495000002</v>
      </c>
      <c r="L753">
        <v>6.7426168298000002</v>
      </c>
      <c r="M753">
        <v>6.7268470075</v>
      </c>
      <c r="N753">
        <v>6.9145356391000004</v>
      </c>
      <c r="O753">
        <v>6.9702336381999999</v>
      </c>
      <c r="P753">
        <v>7.5889368490000004</v>
      </c>
      <c r="Q753">
        <v>7.7181354181000001</v>
      </c>
      <c r="R753">
        <v>8.0853215219999992</v>
      </c>
      <c r="S753">
        <v>8.60803838</v>
      </c>
      <c r="T753">
        <v>8.9328645127000001</v>
      </c>
      <c r="U753">
        <v>8.7512951122999993</v>
      </c>
      <c r="V753">
        <v>8.6575111412000005</v>
      </c>
      <c r="W753">
        <v>10.112022768299999</v>
      </c>
      <c r="X753">
        <v>9.7551510857999997</v>
      </c>
      <c r="Y753">
        <v>9.0881552840000008</v>
      </c>
      <c r="Z753">
        <v>7.9413713674000004</v>
      </c>
      <c r="AA753">
        <v>7.8392133407999998</v>
      </c>
      <c r="AB753">
        <v>7.5738321070000003</v>
      </c>
    </row>
    <row r="754" spans="1:28" hidden="1" x14ac:dyDescent="0.25">
      <c r="A754" t="s">
        <v>7</v>
      </c>
      <c r="B754" t="s">
        <v>45</v>
      </c>
      <c r="C754">
        <v>220</v>
      </c>
      <c r="D754" t="s">
        <v>4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</row>
    <row r="755" spans="1:28" hidden="1" x14ac:dyDescent="0.25">
      <c r="A755" t="s">
        <v>7</v>
      </c>
      <c r="B755" t="s">
        <v>46</v>
      </c>
      <c r="C755">
        <v>110</v>
      </c>
      <c r="D755" t="s">
        <v>2</v>
      </c>
      <c r="E755">
        <v>19.843140200000001</v>
      </c>
      <c r="F755">
        <v>17.9383275</v>
      </c>
      <c r="G755">
        <v>17.235924000000001</v>
      </c>
      <c r="H755">
        <v>16.651990900000001</v>
      </c>
      <c r="I755">
        <v>17.199276600000001</v>
      </c>
      <c r="J755">
        <v>20.345928050000001</v>
      </c>
      <c r="K755">
        <v>24.298998999999998</v>
      </c>
      <c r="L755">
        <v>24.603832350000001</v>
      </c>
      <c r="M755">
        <v>23.4372279</v>
      </c>
      <c r="N755">
        <v>23.870115699999999</v>
      </c>
      <c r="O755">
        <v>24.978762750000001</v>
      </c>
      <c r="P755">
        <v>26.521469750000001</v>
      </c>
      <c r="Q755">
        <v>26.91210105</v>
      </c>
      <c r="R755">
        <v>26.602633749999999</v>
      </c>
      <c r="S755">
        <v>26.753683500000001</v>
      </c>
      <c r="T755">
        <v>26.416990800000001</v>
      </c>
      <c r="U755">
        <v>25.41710745</v>
      </c>
      <c r="V755">
        <v>25.518592000000002</v>
      </c>
      <c r="W755">
        <v>30.859212750000001</v>
      </c>
      <c r="X755">
        <v>36.670633950000003</v>
      </c>
      <c r="Y755">
        <v>37.333982200000001</v>
      </c>
      <c r="Z755">
        <v>31.945835200000001</v>
      </c>
      <c r="AA755">
        <v>28.7552232</v>
      </c>
      <c r="AB755">
        <v>24.707818799999998</v>
      </c>
    </row>
    <row r="756" spans="1:28" hidden="1" x14ac:dyDescent="0.25">
      <c r="A756" t="s">
        <v>7</v>
      </c>
      <c r="B756" t="s">
        <v>46</v>
      </c>
      <c r="C756">
        <v>110</v>
      </c>
      <c r="D756" t="s">
        <v>3</v>
      </c>
      <c r="E756">
        <v>8.2580975635999998</v>
      </c>
      <c r="F756">
        <v>8.1755556684999995</v>
      </c>
      <c r="G756">
        <v>7.9869117015000004</v>
      </c>
      <c r="H756">
        <v>7.7398816516000002</v>
      </c>
      <c r="I756">
        <v>7.9664509685000002</v>
      </c>
      <c r="J756">
        <v>8.5787616057000005</v>
      </c>
      <c r="K756">
        <v>8.4606775664999994</v>
      </c>
      <c r="L756">
        <v>9.0129961200000004</v>
      </c>
      <c r="M756">
        <v>8.9997420816999991</v>
      </c>
      <c r="N756">
        <v>9.0432087577000004</v>
      </c>
      <c r="O756">
        <v>9.8989322064999996</v>
      </c>
      <c r="P756">
        <v>10.6554702415</v>
      </c>
      <c r="Q756">
        <v>11.0308045118</v>
      </c>
      <c r="R756">
        <v>11.1182456489</v>
      </c>
      <c r="S756">
        <v>11.4179803609</v>
      </c>
      <c r="T756">
        <v>11.344180935100001</v>
      </c>
      <c r="U756">
        <v>11.0925674211</v>
      </c>
      <c r="V756">
        <v>11.015752856900001</v>
      </c>
      <c r="W756">
        <v>13.1254947532</v>
      </c>
      <c r="X756">
        <v>13.8227486153</v>
      </c>
      <c r="Y756">
        <v>13.194394613</v>
      </c>
      <c r="Z756">
        <v>11.579947922700001</v>
      </c>
      <c r="AA756">
        <v>10.6603193486</v>
      </c>
      <c r="AB756">
        <v>9.6066083499000001</v>
      </c>
    </row>
    <row r="757" spans="1:28" hidden="1" x14ac:dyDescent="0.25">
      <c r="A757" t="s">
        <v>7</v>
      </c>
      <c r="B757" t="s">
        <v>46</v>
      </c>
      <c r="C757">
        <v>110</v>
      </c>
      <c r="D757" t="s">
        <v>4</v>
      </c>
      <c r="E757">
        <v>0.3021798</v>
      </c>
      <c r="F757">
        <v>0.27317249999999998</v>
      </c>
      <c r="G757">
        <v>0.26247599999999999</v>
      </c>
      <c r="H757">
        <v>0.25358361769999999</v>
      </c>
      <c r="I757">
        <v>0.2619179177</v>
      </c>
      <c r="J757">
        <v>0.30983646770000001</v>
      </c>
      <c r="K757">
        <v>0.37003551769999998</v>
      </c>
      <c r="L757">
        <v>0.37467764999999997</v>
      </c>
      <c r="M757">
        <v>0.35691210000000001</v>
      </c>
      <c r="N757">
        <v>0.3635043</v>
      </c>
      <c r="O757">
        <v>0.38038725000000001</v>
      </c>
      <c r="P757">
        <v>0.40388025</v>
      </c>
      <c r="Q757">
        <v>0.40982895000000003</v>
      </c>
      <c r="R757">
        <v>0.40511625000000001</v>
      </c>
      <c r="S757">
        <v>0.40741650000000001</v>
      </c>
      <c r="T757">
        <v>0.40228920000000001</v>
      </c>
      <c r="U757">
        <v>0.38706255000000001</v>
      </c>
      <c r="V757">
        <v>0.38860800000000001</v>
      </c>
      <c r="W757">
        <v>0.46993724999999997</v>
      </c>
      <c r="X757">
        <v>0.55843604999999996</v>
      </c>
      <c r="Y757">
        <v>0.56853779999999998</v>
      </c>
      <c r="Z757">
        <v>0.4864848</v>
      </c>
      <c r="AA757">
        <v>0.43789679999999997</v>
      </c>
      <c r="AB757">
        <v>0.37626120000000002</v>
      </c>
    </row>
    <row r="758" spans="1:28" hidden="1" x14ac:dyDescent="0.25">
      <c r="A758" t="s">
        <v>7</v>
      </c>
      <c r="B758" t="s">
        <v>47</v>
      </c>
      <c r="C758">
        <v>110</v>
      </c>
      <c r="D758" t="s">
        <v>2</v>
      </c>
      <c r="E758">
        <v>6.1894248000000003</v>
      </c>
      <c r="F758">
        <v>6.3443849999999999</v>
      </c>
      <c r="G758">
        <v>6.5571450000000002</v>
      </c>
      <c r="H758">
        <v>6.5693196</v>
      </c>
      <c r="I758">
        <v>6.9807737999999997</v>
      </c>
      <c r="J758">
        <v>7.2765791499999999</v>
      </c>
      <c r="K758">
        <v>6.9615071999999998</v>
      </c>
      <c r="L758">
        <v>6.6868005500000001</v>
      </c>
      <c r="M758">
        <v>6.6005244000000003</v>
      </c>
      <c r="N758">
        <v>6.5646310000000003</v>
      </c>
      <c r="O758">
        <v>6.5657637500000003</v>
      </c>
      <c r="P758">
        <v>6.7329576500000003</v>
      </c>
      <c r="Q758">
        <v>6.5572632000000004</v>
      </c>
      <c r="R758">
        <v>6.3239462499999997</v>
      </c>
      <c r="S758">
        <v>6.4373197500000003</v>
      </c>
      <c r="T758">
        <v>6.4635699999999998</v>
      </c>
      <c r="U758">
        <v>6.4850232999999999</v>
      </c>
      <c r="V758">
        <v>6.5391392000000002</v>
      </c>
      <c r="W758">
        <v>7.6455207500000002</v>
      </c>
      <c r="X758">
        <v>7.8544195500000002</v>
      </c>
      <c r="Y758">
        <v>7.2993227999999997</v>
      </c>
      <c r="Z758">
        <v>6.5328352000000001</v>
      </c>
      <c r="AA758">
        <v>6.4723955999999996</v>
      </c>
      <c r="AB758">
        <v>6.3891828000000004</v>
      </c>
    </row>
    <row r="759" spans="1:28" hidden="1" x14ac:dyDescent="0.25">
      <c r="A759" t="s">
        <v>7</v>
      </c>
      <c r="B759" t="s">
        <v>47</v>
      </c>
      <c r="C759">
        <v>110</v>
      </c>
      <c r="D759" t="s">
        <v>3</v>
      </c>
      <c r="E759">
        <v>1.591909019</v>
      </c>
      <c r="F759">
        <v>1.6077235377000001</v>
      </c>
      <c r="G759">
        <v>1.6493864695</v>
      </c>
      <c r="H759">
        <v>1.6472881116</v>
      </c>
      <c r="I759">
        <v>1.7507672522</v>
      </c>
      <c r="J759">
        <v>1.8249547757</v>
      </c>
      <c r="K759">
        <v>1.7180722171</v>
      </c>
      <c r="L759">
        <v>1.7178288123000001</v>
      </c>
      <c r="M759">
        <v>1.7148058901000001</v>
      </c>
      <c r="N759">
        <v>1.705480841</v>
      </c>
      <c r="O759">
        <v>1.7054964721000001</v>
      </c>
      <c r="P759">
        <v>1.7776093797000001</v>
      </c>
      <c r="Q759">
        <v>1.7270975754</v>
      </c>
      <c r="R759">
        <v>1.6475102784</v>
      </c>
      <c r="S759">
        <v>1.5961013399999999</v>
      </c>
      <c r="T759">
        <v>1.6134133613999999</v>
      </c>
      <c r="U759">
        <v>1.6498140627</v>
      </c>
      <c r="V759">
        <v>1.7193017276</v>
      </c>
      <c r="W759">
        <v>2.0252598298</v>
      </c>
      <c r="X759">
        <v>2.0475585434000001</v>
      </c>
      <c r="Y759">
        <v>1.8801829238000001</v>
      </c>
      <c r="Z759">
        <v>1.7283297431</v>
      </c>
      <c r="AA759">
        <v>1.7071889263</v>
      </c>
      <c r="AB759">
        <v>1.6528351773000001</v>
      </c>
    </row>
    <row r="760" spans="1:28" hidden="1" x14ac:dyDescent="0.25">
      <c r="A760" t="s">
        <v>7</v>
      </c>
      <c r="B760" t="s">
        <v>47</v>
      </c>
      <c r="C760">
        <v>110</v>
      </c>
      <c r="D760" t="s">
        <v>4</v>
      </c>
      <c r="E760">
        <v>9.4255199999999997E-2</v>
      </c>
      <c r="F760">
        <v>9.6615000000000006E-2</v>
      </c>
      <c r="G760">
        <v>9.9854999999999999E-2</v>
      </c>
      <c r="H760">
        <v>0.1000404</v>
      </c>
      <c r="I760">
        <v>0.1063062</v>
      </c>
      <c r="J760">
        <v>0.11081085</v>
      </c>
      <c r="K760">
        <v>0.1060128</v>
      </c>
      <c r="L760">
        <v>0.10182945</v>
      </c>
      <c r="M760">
        <v>0.1005156</v>
      </c>
      <c r="N760">
        <v>9.9969000000000002E-2</v>
      </c>
      <c r="O760">
        <v>9.9986249999999999E-2</v>
      </c>
      <c r="P760">
        <v>0.10253234999999999</v>
      </c>
      <c r="Q760">
        <v>9.9856799999999996E-2</v>
      </c>
      <c r="R760">
        <v>9.6303749999999994E-2</v>
      </c>
      <c r="S760">
        <v>9.8030249999999999E-2</v>
      </c>
      <c r="T760">
        <v>9.8430000000000004E-2</v>
      </c>
      <c r="U760">
        <v>9.8756700000000003E-2</v>
      </c>
      <c r="V760">
        <v>9.9580799999999997E-2</v>
      </c>
      <c r="W760">
        <v>0.11642925</v>
      </c>
      <c r="X760">
        <v>0.11961044999999999</v>
      </c>
      <c r="Y760">
        <v>0.1111572</v>
      </c>
      <c r="Z760">
        <v>9.9484799999999998E-2</v>
      </c>
      <c r="AA760">
        <v>9.8564399999999996E-2</v>
      </c>
      <c r="AB760">
        <v>9.72972E-2</v>
      </c>
    </row>
    <row r="761" spans="1:28" hidden="1" x14ac:dyDescent="0.25">
      <c r="A761" t="s">
        <v>7</v>
      </c>
      <c r="B761" t="s">
        <v>48</v>
      </c>
      <c r="C761">
        <v>110</v>
      </c>
      <c r="D761" t="s">
        <v>2</v>
      </c>
      <c r="E761">
        <v>3.8245974</v>
      </c>
      <c r="F761">
        <v>3.8646474999999998</v>
      </c>
      <c r="G761">
        <v>3.9904910999999998</v>
      </c>
      <c r="H761">
        <v>3.9712836</v>
      </c>
      <c r="I761">
        <v>4.0721180500000003</v>
      </c>
      <c r="J761">
        <v>4.2952796500000003</v>
      </c>
      <c r="K761">
        <v>4.2663403500000001</v>
      </c>
      <c r="L761">
        <v>4.24823605</v>
      </c>
      <c r="M761">
        <v>4.4942595000000001</v>
      </c>
      <c r="N761">
        <v>4.4416013999999997</v>
      </c>
      <c r="O761">
        <v>4.4300867500000001</v>
      </c>
      <c r="P761">
        <v>4.5443664500000001</v>
      </c>
      <c r="Q761">
        <v>4.4322242000000003</v>
      </c>
      <c r="R761">
        <v>4.1909287500000003</v>
      </c>
      <c r="S761">
        <v>4.4741654999999998</v>
      </c>
      <c r="T761">
        <v>4.5321031999999999</v>
      </c>
      <c r="U761">
        <v>4.5126198999999998</v>
      </c>
      <c r="V761">
        <v>4.3932576000000001</v>
      </c>
      <c r="W761">
        <v>4.7927144999999998</v>
      </c>
      <c r="X761">
        <v>4.8860826499999996</v>
      </c>
      <c r="Y761">
        <v>4.6608229999999997</v>
      </c>
      <c r="Z761">
        <v>4.2151696000000003</v>
      </c>
      <c r="AA761">
        <v>4.2367017000000002</v>
      </c>
      <c r="AB761">
        <v>4.1216930999999999</v>
      </c>
    </row>
    <row r="762" spans="1:28" hidden="1" x14ac:dyDescent="0.25">
      <c r="A762" t="s">
        <v>7</v>
      </c>
      <c r="B762" t="s">
        <v>48</v>
      </c>
      <c r="C762">
        <v>110</v>
      </c>
      <c r="D762" t="s">
        <v>3</v>
      </c>
      <c r="E762">
        <v>1.1895468087000001</v>
      </c>
      <c r="F762">
        <v>1.2177689639</v>
      </c>
      <c r="G762">
        <v>1.3811335829</v>
      </c>
      <c r="H762">
        <v>1.2440920693999999</v>
      </c>
      <c r="I762">
        <v>1.5560953305</v>
      </c>
      <c r="J762">
        <v>1.6260214198</v>
      </c>
      <c r="K762">
        <v>1.5895895404</v>
      </c>
      <c r="L762">
        <v>1.5784059386</v>
      </c>
      <c r="M762">
        <v>1.7454065329999999</v>
      </c>
      <c r="N762">
        <v>1.4843273844</v>
      </c>
      <c r="O762">
        <v>1.5281175346</v>
      </c>
      <c r="P762">
        <v>1.7725126342999999</v>
      </c>
      <c r="Q762">
        <v>1.6044152052</v>
      </c>
      <c r="R762">
        <v>1.5990738792999999</v>
      </c>
      <c r="S762">
        <v>1.8833891312</v>
      </c>
      <c r="T762">
        <v>1.6491397554</v>
      </c>
      <c r="U762">
        <v>1.6606624329999999</v>
      </c>
      <c r="V762">
        <v>1.5689014581</v>
      </c>
      <c r="W762">
        <v>1.9721174785</v>
      </c>
      <c r="X762">
        <v>1.5092037557</v>
      </c>
      <c r="Y762">
        <v>1.4154284604</v>
      </c>
      <c r="Z762">
        <v>1.4161826120000001</v>
      </c>
      <c r="AA762">
        <v>1.2648325006000001</v>
      </c>
      <c r="AB762">
        <v>1.4140883312999999</v>
      </c>
    </row>
    <row r="763" spans="1:28" hidden="1" x14ac:dyDescent="0.25">
      <c r="A763" t="s">
        <v>7</v>
      </c>
      <c r="B763" t="s">
        <v>48</v>
      </c>
      <c r="C763">
        <v>110</v>
      </c>
      <c r="D763" t="s">
        <v>4</v>
      </c>
      <c r="E763">
        <v>5.8242599999999999E-2</v>
      </c>
      <c r="F763">
        <v>5.8852500000000002E-2</v>
      </c>
      <c r="G763">
        <v>6.0768900000000001E-2</v>
      </c>
      <c r="H763">
        <v>6.04764E-2</v>
      </c>
      <c r="I763">
        <v>6.2011950000000003E-2</v>
      </c>
      <c r="J763">
        <v>6.5410350000000006E-2</v>
      </c>
      <c r="K763">
        <v>6.4969650000000004E-2</v>
      </c>
      <c r="L763">
        <v>6.469395E-2</v>
      </c>
      <c r="M763">
        <v>6.8440500000000001E-2</v>
      </c>
      <c r="N763">
        <v>6.7638599999999993E-2</v>
      </c>
      <c r="O763">
        <v>6.7463250000000002E-2</v>
      </c>
      <c r="P763">
        <v>6.9203550000000003E-2</v>
      </c>
      <c r="Q763">
        <v>6.7495799999999995E-2</v>
      </c>
      <c r="R763">
        <v>6.3821249999999996E-2</v>
      </c>
      <c r="S763">
        <v>6.8134500000000001E-2</v>
      </c>
      <c r="T763">
        <v>6.9016800000000003E-2</v>
      </c>
      <c r="U763">
        <v>6.8720100000000006E-2</v>
      </c>
      <c r="V763">
        <v>6.6902400000000001E-2</v>
      </c>
      <c r="W763">
        <v>7.2985499999999995E-2</v>
      </c>
      <c r="X763">
        <v>7.4407349999999997E-2</v>
      </c>
      <c r="Y763">
        <v>7.0976999999999998E-2</v>
      </c>
      <c r="Z763">
        <v>6.4190399999999995E-2</v>
      </c>
      <c r="AA763">
        <v>6.4518300000000001E-2</v>
      </c>
      <c r="AB763">
        <v>6.27669E-2</v>
      </c>
    </row>
    <row r="764" spans="1:28" hidden="1" x14ac:dyDescent="0.25">
      <c r="A764" t="s">
        <v>7</v>
      </c>
      <c r="B764" t="s">
        <v>49</v>
      </c>
      <c r="C764">
        <v>110</v>
      </c>
      <c r="D764" t="s">
        <v>2</v>
      </c>
      <c r="E764">
        <v>6.9777006000000004</v>
      </c>
      <c r="F764">
        <v>6.6344675000000004</v>
      </c>
      <c r="G764">
        <v>6.7913287499999999</v>
      </c>
      <c r="H764">
        <v>7.0425332999999997</v>
      </c>
      <c r="I764">
        <v>8.5484899500000004</v>
      </c>
      <c r="J764">
        <v>13.4489733</v>
      </c>
      <c r="K764">
        <v>19.953903449999999</v>
      </c>
      <c r="L764">
        <v>21.857238649999999</v>
      </c>
      <c r="M764">
        <v>18.406340400000001</v>
      </c>
      <c r="N764">
        <v>15.880820099999999</v>
      </c>
      <c r="O764">
        <v>14.300377750000001</v>
      </c>
      <c r="P764">
        <v>14.256239900000001</v>
      </c>
      <c r="Q764">
        <v>13.76721695</v>
      </c>
      <c r="R764">
        <v>13.32384875</v>
      </c>
      <c r="S764">
        <v>12.5702745</v>
      </c>
      <c r="T764">
        <v>14.7977732</v>
      </c>
      <c r="U764">
        <v>18.4389833</v>
      </c>
      <c r="V764">
        <v>19.457926400000002</v>
      </c>
      <c r="W764">
        <v>19.040444000000001</v>
      </c>
      <c r="X764">
        <v>17.026247049999998</v>
      </c>
      <c r="Y764">
        <v>14.1878612</v>
      </c>
      <c r="Z764">
        <v>10.8970944</v>
      </c>
      <c r="AA764">
        <v>9.1404060000000005</v>
      </c>
      <c r="AB764">
        <v>8.0199882000000002</v>
      </c>
    </row>
    <row r="765" spans="1:28" hidden="1" x14ac:dyDescent="0.25">
      <c r="A765" t="s">
        <v>7</v>
      </c>
      <c r="B765" t="s">
        <v>49</v>
      </c>
      <c r="C765">
        <v>110</v>
      </c>
      <c r="D765" t="s">
        <v>3</v>
      </c>
      <c r="E765">
        <v>3.3430055308000002</v>
      </c>
      <c r="F765">
        <v>3.4456618717</v>
      </c>
      <c r="G765">
        <v>3.3068665099999999</v>
      </c>
      <c r="H765">
        <v>3.3968796323000001</v>
      </c>
      <c r="I765">
        <v>4.0367538148</v>
      </c>
      <c r="J765">
        <v>7.0694893868999999</v>
      </c>
      <c r="K765">
        <v>10.1574158135</v>
      </c>
      <c r="L765">
        <v>11.2848160506</v>
      </c>
      <c r="M765">
        <v>9.3215682868999998</v>
      </c>
      <c r="N765">
        <v>7.8762617465</v>
      </c>
      <c r="O765">
        <v>7.0486581263000003</v>
      </c>
      <c r="P765">
        <v>7.0849201458</v>
      </c>
      <c r="Q765">
        <v>6.8888869195</v>
      </c>
      <c r="R765">
        <v>6.7487410158000003</v>
      </c>
      <c r="S765">
        <v>6.2797673328999997</v>
      </c>
      <c r="T765">
        <v>7.8587172034000004</v>
      </c>
      <c r="U765">
        <v>8.1303591200999996</v>
      </c>
      <c r="V765">
        <v>7.9928345287999996</v>
      </c>
      <c r="W765">
        <v>10.229282508000001</v>
      </c>
      <c r="X765">
        <v>7.2762284189999997</v>
      </c>
      <c r="Y765">
        <v>5.4824940404999998</v>
      </c>
      <c r="Z765">
        <v>4.3119472216999997</v>
      </c>
      <c r="AA765">
        <v>3.7160217991</v>
      </c>
      <c r="AB765">
        <v>3.7452737627000001</v>
      </c>
    </row>
    <row r="766" spans="1:28" hidden="1" x14ac:dyDescent="0.25">
      <c r="A766" t="s">
        <v>7</v>
      </c>
      <c r="B766" t="s">
        <v>49</v>
      </c>
      <c r="C766">
        <v>110</v>
      </c>
      <c r="D766" t="s">
        <v>4</v>
      </c>
      <c r="E766">
        <v>0.1062594</v>
      </c>
      <c r="F766">
        <v>0.1010325</v>
      </c>
      <c r="G766">
        <v>0.10342125000000001</v>
      </c>
      <c r="H766">
        <v>0.1072467</v>
      </c>
      <c r="I766">
        <v>0.13018004999999999</v>
      </c>
      <c r="J766">
        <v>0.20480670000000001</v>
      </c>
      <c r="K766">
        <v>0.30386655000000001</v>
      </c>
      <c r="L766">
        <v>0.33285134999999999</v>
      </c>
      <c r="M766">
        <v>0.28029959999999998</v>
      </c>
      <c r="N766">
        <v>0.2418399</v>
      </c>
      <c r="O766">
        <v>0.21777225</v>
      </c>
      <c r="P766">
        <v>0.21710009999999999</v>
      </c>
      <c r="Q766">
        <v>0.20965305000000001</v>
      </c>
      <c r="R766">
        <v>0.20290125000000001</v>
      </c>
      <c r="S766">
        <v>0.1914255</v>
      </c>
      <c r="T766">
        <v>0.22534680000000001</v>
      </c>
      <c r="U766">
        <v>0.28079670000000001</v>
      </c>
      <c r="V766">
        <v>0.29631360000000001</v>
      </c>
      <c r="W766">
        <v>0.28995599999999999</v>
      </c>
      <c r="X766">
        <v>0.25928295000000001</v>
      </c>
      <c r="Y766">
        <v>0.2160588</v>
      </c>
      <c r="Z766">
        <v>0.1659456</v>
      </c>
      <c r="AA766">
        <v>0.13919400000000001</v>
      </c>
      <c r="AB766">
        <v>0.1221318</v>
      </c>
    </row>
    <row r="767" spans="1:28" hidden="1" x14ac:dyDescent="0.25">
      <c r="A767" t="s">
        <v>7</v>
      </c>
      <c r="B767" t="s">
        <v>50</v>
      </c>
      <c r="C767">
        <v>110</v>
      </c>
      <c r="D767" t="s">
        <v>2</v>
      </c>
      <c r="E767">
        <v>18.354174799999999</v>
      </c>
      <c r="F767">
        <v>17.273945000000001</v>
      </c>
      <c r="G767">
        <v>17.132883150000001</v>
      </c>
      <c r="H767">
        <v>16.840840499999999</v>
      </c>
      <c r="I767">
        <v>18.211142949999999</v>
      </c>
      <c r="J767">
        <v>20.692426900000001</v>
      </c>
      <c r="K767">
        <v>24.921228899999999</v>
      </c>
      <c r="L767">
        <v>27.607117049999999</v>
      </c>
      <c r="M767">
        <v>27.690004800000001</v>
      </c>
      <c r="N767">
        <v>29.5268722</v>
      </c>
      <c r="O767">
        <v>30.216943499999999</v>
      </c>
      <c r="P767">
        <v>31.278615899999998</v>
      </c>
      <c r="Q767">
        <v>31.647902250000001</v>
      </c>
      <c r="R767">
        <v>31.349348750000001</v>
      </c>
      <c r="S767">
        <v>30.801738</v>
      </c>
      <c r="T767">
        <v>30.553675599999998</v>
      </c>
      <c r="U767">
        <v>30.079151849999999</v>
      </c>
      <c r="V767">
        <v>29.070896000000001</v>
      </c>
      <c r="W767">
        <v>33.923941749999997</v>
      </c>
      <c r="X767">
        <v>36.970802849999998</v>
      </c>
      <c r="Y767">
        <v>35.2010632</v>
      </c>
      <c r="Z767">
        <v>29.1537936</v>
      </c>
      <c r="AA767">
        <v>25.469617800000002</v>
      </c>
      <c r="AB767">
        <v>21.7477953</v>
      </c>
    </row>
    <row r="768" spans="1:28" hidden="1" x14ac:dyDescent="0.25">
      <c r="A768" t="s">
        <v>7</v>
      </c>
      <c r="B768" t="s">
        <v>50</v>
      </c>
      <c r="C768">
        <v>110</v>
      </c>
      <c r="D768" t="s">
        <v>3</v>
      </c>
      <c r="E768">
        <v>5.7633224254000002</v>
      </c>
      <c r="F768">
        <v>5.6715390708999998</v>
      </c>
      <c r="G768">
        <v>5.7729300041</v>
      </c>
      <c r="H768">
        <v>5.5901049709999997</v>
      </c>
      <c r="I768">
        <v>6.1856483135999998</v>
      </c>
      <c r="J768">
        <v>6.4846383935</v>
      </c>
      <c r="K768">
        <v>6.6565253357999996</v>
      </c>
      <c r="L768">
        <v>8.0809222684000002</v>
      </c>
      <c r="M768">
        <v>8.9847889844999997</v>
      </c>
      <c r="N768">
        <v>10.1769140181</v>
      </c>
      <c r="O768">
        <v>10.4209819901</v>
      </c>
      <c r="P768">
        <v>11.2881734636</v>
      </c>
      <c r="Q768">
        <v>11.9744995155</v>
      </c>
      <c r="R768">
        <v>11.913114076999999</v>
      </c>
      <c r="S768">
        <v>11.6682642469</v>
      </c>
      <c r="T768">
        <v>11.798800523800001</v>
      </c>
      <c r="U768">
        <v>11.5039251429</v>
      </c>
      <c r="V768">
        <v>10.745927009400001</v>
      </c>
      <c r="W768">
        <v>11.8904726586</v>
      </c>
      <c r="X768">
        <v>11.347947036700001</v>
      </c>
      <c r="Y768">
        <v>10.175266068499999</v>
      </c>
      <c r="Z768">
        <v>8.4397408080999998</v>
      </c>
      <c r="AA768">
        <v>7.3503484557999998</v>
      </c>
      <c r="AB768">
        <v>6.3733918402</v>
      </c>
    </row>
    <row r="769" spans="1:28" hidden="1" x14ac:dyDescent="0.25">
      <c r="A769" t="s">
        <v>7</v>
      </c>
      <c r="B769" t="s">
        <v>50</v>
      </c>
      <c r="C769">
        <v>110</v>
      </c>
      <c r="D769" t="s">
        <v>4</v>
      </c>
      <c r="E769">
        <v>0.27950520000000001</v>
      </c>
      <c r="F769">
        <v>0.26305499999999998</v>
      </c>
      <c r="G769">
        <v>0.26090685000000002</v>
      </c>
      <c r="H769">
        <v>0.25645950000000001</v>
      </c>
      <c r="I769">
        <v>0.27732705000000002</v>
      </c>
      <c r="J769">
        <v>0.31511309999999998</v>
      </c>
      <c r="K769">
        <v>0.37951109999999999</v>
      </c>
      <c r="L769">
        <v>0.42041295000000001</v>
      </c>
      <c r="M769">
        <v>0.42167519999999997</v>
      </c>
      <c r="N769">
        <v>0.44964779999999999</v>
      </c>
      <c r="O769">
        <v>0.46015650000000002</v>
      </c>
      <c r="P769">
        <v>0.47632409999999997</v>
      </c>
      <c r="Q769">
        <v>0.48194775000000001</v>
      </c>
      <c r="R769">
        <v>0.47740125</v>
      </c>
      <c r="S769">
        <v>0.46906199999999998</v>
      </c>
      <c r="T769">
        <v>0.46528439999999999</v>
      </c>
      <c r="U769">
        <v>0.45805815</v>
      </c>
      <c r="V769">
        <v>0.44270399999999999</v>
      </c>
      <c r="W769">
        <v>0.51660824999999999</v>
      </c>
      <c r="X769">
        <v>0.56300715000000001</v>
      </c>
      <c r="Y769">
        <v>0.5360568</v>
      </c>
      <c r="Z769">
        <v>0.44396639999999998</v>
      </c>
      <c r="AA769">
        <v>0.38786219999999999</v>
      </c>
      <c r="AB769">
        <v>0.3311847</v>
      </c>
    </row>
    <row r="770" spans="1:28" hidden="1" x14ac:dyDescent="0.25">
      <c r="A770" t="s">
        <v>7</v>
      </c>
      <c r="B770" t="s">
        <v>51</v>
      </c>
      <c r="C770">
        <v>44</v>
      </c>
      <c r="D770" t="s">
        <v>2</v>
      </c>
      <c r="E770">
        <v>21.956027599999999</v>
      </c>
      <c r="F770">
        <v>20.835114999999998</v>
      </c>
      <c r="G770">
        <v>20.700226799999999</v>
      </c>
      <c r="H770">
        <v>20.4495012</v>
      </c>
      <c r="I770">
        <v>21.604082500000001</v>
      </c>
      <c r="J770">
        <v>25.7597953</v>
      </c>
      <c r="K770">
        <v>31.635250200000002</v>
      </c>
      <c r="L770">
        <v>34.833359600000001</v>
      </c>
      <c r="M770">
        <v>33.807972599999999</v>
      </c>
      <c r="N770">
        <v>34.111407999999997</v>
      </c>
      <c r="O770">
        <v>34.005726500000002</v>
      </c>
      <c r="P770">
        <v>35.726467700000001</v>
      </c>
      <c r="Q770">
        <v>36.367754099999999</v>
      </c>
      <c r="R770">
        <v>35.442830000000001</v>
      </c>
      <c r="S770">
        <v>34.2141795</v>
      </c>
      <c r="T770">
        <v>34.147103999999999</v>
      </c>
      <c r="U770">
        <v>33.358678300000001</v>
      </c>
      <c r="V770">
        <v>33.011660800000001</v>
      </c>
      <c r="W770">
        <v>36.971210499999998</v>
      </c>
      <c r="X770">
        <v>42.319751699999998</v>
      </c>
      <c r="Y770">
        <v>41.977642400000001</v>
      </c>
      <c r="Z770">
        <v>34.662678399999997</v>
      </c>
      <c r="AA770">
        <v>30.506810399999999</v>
      </c>
      <c r="AB770">
        <v>26.0805258</v>
      </c>
    </row>
    <row r="771" spans="1:28" hidden="1" x14ac:dyDescent="0.25">
      <c r="A771" t="s">
        <v>7</v>
      </c>
      <c r="B771" t="s">
        <v>51</v>
      </c>
      <c r="C771">
        <v>44</v>
      </c>
      <c r="D771" t="s">
        <v>3</v>
      </c>
      <c r="E771">
        <v>8.7561015601999994</v>
      </c>
      <c r="F771">
        <v>8.9371608904999995</v>
      </c>
      <c r="G771">
        <v>9.0050397631999992</v>
      </c>
      <c r="H771">
        <v>9.0144413786000008</v>
      </c>
      <c r="I771">
        <v>9.5457728614999997</v>
      </c>
      <c r="J771">
        <v>10.1143476828</v>
      </c>
      <c r="K771">
        <v>10.262666981900001</v>
      </c>
      <c r="L771">
        <v>10.6489433284</v>
      </c>
      <c r="M771">
        <v>11.996121008999999</v>
      </c>
      <c r="N771">
        <v>12.712857314200001</v>
      </c>
      <c r="O771">
        <v>12.7851700141</v>
      </c>
      <c r="P771">
        <v>13.5373018467</v>
      </c>
      <c r="Q771">
        <v>13.833050242400001</v>
      </c>
      <c r="R771">
        <v>13.756814685</v>
      </c>
      <c r="S771">
        <v>13.3331731915</v>
      </c>
      <c r="T771">
        <v>13.551585856999999</v>
      </c>
      <c r="U771">
        <v>13.535082043599999</v>
      </c>
      <c r="V771">
        <v>12.9929785074</v>
      </c>
      <c r="W771">
        <v>14.020882607400001</v>
      </c>
      <c r="X771">
        <v>13.2715800805</v>
      </c>
      <c r="Y771">
        <v>12.6181601367</v>
      </c>
      <c r="Z771">
        <v>10.5187635558</v>
      </c>
      <c r="AA771">
        <v>9.8023022173999994</v>
      </c>
      <c r="AB771">
        <v>9.3251288333000009</v>
      </c>
    </row>
    <row r="772" spans="1:28" hidden="1" x14ac:dyDescent="0.25">
      <c r="A772" t="s">
        <v>7</v>
      </c>
      <c r="B772" t="s">
        <v>51</v>
      </c>
      <c r="C772">
        <v>44</v>
      </c>
      <c r="D772" t="s">
        <v>4</v>
      </c>
      <c r="E772">
        <v>0.6790524</v>
      </c>
      <c r="F772">
        <v>0.64438499999999999</v>
      </c>
      <c r="G772">
        <v>0.64021320000000004</v>
      </c>
      <c r="H772">
        <v>0.63245879999999999</v>
      </c>
      <c r="I772">
        <v>0.66816750000000003</v>
      </c>
      <c r="J772">
        <v>0.79669469999999998</v>
      </c>
      <c r="K772">
        <v>0.9784098</v>
      </c>
      <c r="L772">
        <v>1.0773204000000001</v>
      </c>
      <c r="M772">
        <v>1.0456074</v>
      </c>
      <c r="N772">
        <v>1.0549919999999999</v>
      </c>
      <c r="O772">
        <v>1.0517235</v>
      </c>
      <c r="P772">
        <v>1.1049423</v>
      </c>
      <c r="Q772">
        <v>1.1247758999999999</v>
      </c>
      <c r="R772">
        <v>1.0961700000000001</v>
      </c>
      <c r="S772">
        <v>1.0581704999999999</v>
      </c>
      <c r="T772">
        <v>1.0560959999999999</v>
      </c>
      <c r="U772">
        <v>1.0317117</v>
      </c>
      <c r="V772">
        <v>1.0209792</v>
      </c>
      <c r="W772">
        <v>1.1434394999999999</v>
      </c>
      <c r="X772">
        <v>1.3088583</v>
      </c>
      <c r="Y772">
        <v>1.2982776</v>
      </c>
      <c r="Z772">
        <v>1.0720415999999999</v>
      </c>
      <c r="AA772">
        <v>0.94350959999999995</v>
      </c>
      <c r="AB772">
        <v>0.80661419999999995</v>
      </c>
    </row>
    <row r="773" spans="1:28" hidden="1" x14ac:dyDescent="0.25">
      <c r="A773" t="s">
        <v>7</v>
      </c>
      <c r="B773" t="s">
        <v>52</v>
      </c>
      <c r="C773">
        <v>110</v>
      </c>
      <c r="D773" t="s">
        <v>2</v>
      </c>
      <c r="E773">
        <v>23.541224199999998</v>
      </c>
      <c r="F773">
        <v>20.923369999999998</v>
      </c>
      <c r="G773">
        <v>20.3833536</v>
      </c>
      <c r="H773">
        <v>19.290417300000001</v>
      </c>
      <c r="I773">
        <v>20.469048600000001</v>
      </c>
      <c r="J773">
        <v>24.093316699999999</v>
      </c>
      <c r="K773">
        <v>28.317380849999999</v>
      </c>
      <c r="L773">
        <v>28.813564750000001</v>
      </c>
      <c r="M773">
        <v>29.688944100000001</v>
      </c>
      <c r="N773">
        <v>30.7420273</v>
      </c>
      <c r="O773">
        <v>32.583504499999997</v>
      </c>
      <c r="P773">
        <v>35.427820050000001</v>
      </c>
      <c r="Q773">
        <v>36.004232199999997</v>
      </c>
      <c r="R773">
        <v>35.525256249999998</v>
      </c>
      <c r="S773">
        <v>36.325962750000002</v>
      </c>
      <c r="T773">
        <v>35.0857788</v>
      </c>
      <c r="U773">
        <v>34.337750100000001</v>
      </c>
      <c r="V773">
        <v>33.304662399999998</v>
      </c>
      <c r="W773">
        <v>38.993786</v>
      </c>
      <c r="X773">
        <v>43.357729999999997</v>
      </c>
      <c r="Y773">
        <v>44.222520600000003</v>
      </c>
      <c r="Z773">
        <v>38.383795200000002</v>
      </c>
      <c r="AA773">
        <v>35.289378300000003</v>
      </c>
      <c r="AB773">
        <v>31.052322</v>
      </c>
    </row>
    <row r="774" spans="1:28" hidden="1" x14ac:dyDescent="0.25">
      <c r="A774" t="s">
        <v>7</v>
      </c>
      <c r="B774" t="s">
        <v>52</v>
      </c>
      <c r="C774">
        <v>110</v>
      </c>
      <c r="D774" t="s">
        <v>3</v>
      </c>
      <c r="E774">
        <v>10.882168083</v>
      </c>
      <c r="F774">
        <v>10.654981852300001</v>
      </c>
      <c r="G774">
        <v>10.8334315921</v>
      </c>
      <c r="H774">
        <v>10.2609861027</v>
      </c>
      <c r="I774">
        <v>10.2166213065</v>
      </c>
      <c r="J774">
        <v>11.5300407965</v>
      </c>
      <c r="K774">
        <v>12.0349653201</v>
      </c>
      <c r="L774">
        <v>12.264970530299999</v>
      </c>
      <c r="M774">
        <v>13.0442135294</v>
      </c>
      <c r="N774">
        <v>13.496867380499999</v>
      </c>
      <c r="O774">
        <v>14.0576988806</v>
      </c>
      <c r="P774">
        <v>14.9658771823</v>
      </c>
      <c r="Q774">
        <v>15.001425190400001</v>
      </c>
      <c r="R774">
        <v>15.3545203767</v>
      </c>
      <c r="S774">
        <v>15.787402456000001</v>
      </c>
      <c r="T774">
        <v>15.7115523703</v>
      </c>
      <c r="U774">
        <v>15.337219620799999</v>
      </c>
      <c r="V774">
        <v>15.206047047</v>
      </c>
      <c r="W774">
        <v>17.8273721612</v>
      </c>
      <c r="X774">
        <v>17.3697164644</v>
      </c>
      <c r="Y774">
        <v>15.975703898000001</v>
      </c>
      <c r="Z774">
        <v>13.758868486300001</v>
      </c>
      <c r="AA774">
        <v>13.447855864999999</v>
      </c>
      <c r="AB774">
        <v>13.330990777</v>
      </c>
    </row>
    <row r="775" spans="1:28" hidden="1" x14ac:dyDescent="0.25">
      <c r="A775" t="s">
        <v>7</v>
      </c>
      <c r="B775" t="s">
        <v>52</v>
      </c>
      <c r="C775">
        <v>110</v>
      </c>
      <c r="D775" t="s">
        <v>4</v>
      </c>
      <c r="E775">
        <v>0.35849579999999998</v>
      </c>
      <c r="F775">
        <v>0.31863000000000002</v>
      </c>
      <c r="G775">
        <v>0.31040640000000003</v>
      </c>
      <c r="H775">
        <v>0.29376269999999999</v>
      </c>
      <c r="I775">
        <v>0.31171140000000003</v>
      </c>
      <c r="J775">
        <v>0.36690329999999999</v>
      </c>
      <c r="K775">
        <v>0.43122915000000001</v>
      </c>
      <c r="L775">
        <v>0.43878525000000002</v>
      </c>
      <c r="M775">
        <v>0.45211590000000001</v>
      </c>
      <c r="N775">
        <v>0.46815269999999998</v>
      </c>
      <c r="O775">
        <v>0.49619550000000001</v>
      </c>
      <c r="P775">
        <v>0.53950995000000002</v>
      </c>
      <c r="Q775">
        <v>0.54828779999999999</v>
      </c>
      <c r="R775">
        <v>0.54099375000000005</v>
      </c>
      <c r="S775">
        <v>0.55318725000000002</v>
      </c>
      <c r="T775">
        <v>0.53430120000000003</v>
      </c>
      <c r="U775">
        <v>0.52290990000000004</v>
      </c>
      <c r="V775">
        <v>0.50717760000000001</v>
      </c>
      <c r="W775">
        <v>0.59381399999999995</v>
      </c>
      <c r="X775">
        <v>0.66027000000000002</v>
      </c>
      <c r="Y775">
        <v>0.67343940000000002</v>
      </c>
      <c r="Z775">
        <v>0.58452479999999996</v>
      </c>
      <c r="AA775">
        <v>0.53740169999999998</v>
      </c>
      <c r="AB775">
        <v>0.47287800000000002</v>
      </c>
    </row>
    <row r="776" spans="1:28" hidden="1" x14ac:dyDescent="0.25">
      <c r="A776" t="s">
        <v>7</v>
      </c>
      <c r="B776" t="s">
        <v>53</v>
      </c>
      <c r="C776">
        <v>44</v>
      </c>
      <c r="D776" t="s">
        <v>2</v>
      </c>
      <c r="E776">
        <v>2.0604740000000001</v>
      </c>
      <c r="F776">
        <v>1.9351499999999999</v>
      </c>
      <c r="G776">
        <v>1.9095129</v>
      </c>
      <c r="H776">
        <v>1.8914418</v>
      </c>
      <c r="I776">
        <v>2.0196176000000001</v>
      </c>
      <c r="J776">
        <v>2.2399822</v>
      </c>
      <c r="K776">
        <v>2.5113009000000002</v>
      </c>
      <c r="L776">
        <v>2.6542110000000001</v>
      </c>
      <c r="M776">
        <v>2.774394</v>
      </c>
      <c r="N776">
        <v>2.8609567999999999</v>
      </c>
      <c r="O776">
        <v>2.8847315</v>
      </c>
      <c r="P776">
        <v>3.0832226</v>
      </c>
      <c r="Q776">
        <v>3.1091215999999999</v>
      </c>
      <c r="R776">
        <v>3.1360100000000002</v>
      </c>
      <c r="S776">
        <v>3.0572460000000001</v>
      </c>
      <c r="T776">
        <v>2.9204759999999998</v>
      </c>
      <c r="U776">
        <v>2.9282651</v>
      </c>
      <c r="V776">
        <v>2.9556287999999999</v>
      </c>
      <c r="W776">
        <v>3.5638770000000002</v>
      </c>
      <c r="X776">
        <v>4.1383691999999996</v>
      </c>
      <c r="Y776">
        <v>3.9208175999999999</v>
      </c>
      <c r="Z776">
        <v>3.2166752000000001</v>
      </c>
      <c r="AA776">
        <v>2.8463292</v>
      </c>
      <c r="AB776">
        <v>2.4309558</v>
      </c>
    </row>
    <row r="777" spans="1:28" hidden="1" x14ac:dyDescent="0.25">
      <c r="A777" t="s">
        <v>7</v>
      </c>
      <c r="B777" t="s">
        <v>53</v>
      </c>
      <c r="C777">
        <v>44</v>
      </c>
      <c r="D777" t="s">
        <v>3</v>
      </c>
      <c r="E777">
        <v>0.94105886289999996</v>
      </c>
      <c r="F777">
        <v>0.90007596889999997</v>
      </c>
      <c r="G777">
        <v>0.89655939200000001</v>
      </c>
      <c r="H777">
        <v>0.88584642700000005</v>
      </c>
      <c r="I777">
        <v>0.94558653650000002</v>
      </c>
      <c r="J777">
        <v>0.97230181950000005</v>
      </c>
      <c r="K777">
        <v>0.94921779880000001</v>
      </c>
      <c r="L777">
        <v>0.916911107</v>
      </c>
      <c r="M777">
        <v>1.0168783457999999</v>
      </c>
      <c r="N777">
        <v>1.1536247198</v>
      </c>
      <c r="O777">
        <v>1.2187802135000001</v>
      </c>
      <c r="P777">
        <v>1.2970329674000001</v>
      </c>
      <c r="Q777">
        <v>1.2954381260000001</v>
      </c>
      <c r="R777">
        <v>1.3439574621999999</v>
      </c>
      <c r="S777">
        <v>1.3685979479999999</v>
      </c>
      <c r="T777">
        <v>1.3385924200999999</v>
      </c>
      <c r="U777">
        <v>1.3290349183000001</v>
      </c>
      <c r="V777">
        <v>1.3111849809</v>
      </c>
      <c r="W777">
        <v>1.440495675</v>
      </c>
      <c r="X777">
        <v>1.4635400376000001</v>
      </c>
      <c r="Y777">
        <v>1.2953765879000001</v>
      </c>
      <c r="Z777">
        <v>1.0999306589</v>
      </c>
      <c r="AA777">
        <v>1.0497050202</v>
      </c>
      <c r="AB777">
        <v>0.97440604149999999</v>
      </c>
    </row>
    <row r="778" spans="1:28" hidden="1" x14ac:dyDescent="0.25">
      <c r="A778" t="s">
        <v>7</v>
      </c>
      <c r="B778" t="s">
        <v>53</v>
      </c>
      <c r="C778">
        <v>44</v>
      </c>
      <c r="D778" t="s">
        <v>4</v>
      </c>
      <c r="E778">
        <v>6.3726000000000005E-2</v>
      </c>
      <c r="F778">
        <v>5.985E-2</v>
      </c>
      <c r="G778">
        <v>5.9057100000000001E-2</v>
      </c>
      <c r="H778">
        <v>5.84982E-2</v>
      </c>
      <c r="I778">
        <v>6.2462400000000001E-2</v>
      </c>
      <c r="J778">
        <v>6.92778E-2</v>
      </c>
      <c r="K778">
        <v>7.7669100000000005E-2</v>
      </c>
      <c r="L778">
        <v>8.2088999999999995E-2</v>
      </c>
      <c r="M778">
        <v>8.5805999999999993E-2</v>
      </c>
      <c r="N778">
        <v>8.8483199999999998E-2</v>
      </c>
      <c r="O778">
        <v>8.9218500000000006E-2</v>
      </c>
      <c r="P778">
        <v>9.5357399999999995E-2</v>
      </c>
      <c r="Q778">
        <v>9.6158400000000005E-2</v>
      </c>
      <c r="R778">
        <v>9.6990000000000007E-2</v>
      </c>
      <c r="S778">
        <v>9.4553999999999999E-2</v>
      </c>
      <c r="T778">
        <v>9.0324000000000002E-2</v>
      </c>
      <c r="U778">
        <v>9.0564900000000004E-2</v>
      </c>
      <c r="V778">
        <v>9.1411199999999998E-2</v>
      </c>
      <c r="W778">
        <v>0.110223</v>
      </c>
      <c r="X778">
        <v>0.12799079999999999</v>
      </c>
      <c r="Y778">
        <v>0.12126240000000001</v>
      </c>
      <c r="Z778">
        <v>9.9484799999999998E-2</v>
      </c>
      <c r="AA778">
        <v>8.8030800000000006E-2</v>
      </c>
      <c r="AB778">
        <v>7.5184200000000007E-2</v>
      </c>
    </row>
    <row r="779" spans="1:28" hidden="1" x14ac:dyDescent="0.25">
      <c r="A779" t="s">
        <v>7</v>
      </c>
      <c r="B779" t="s">
        <v>54</v>
      </c>
      <c r="C779">
        <v>110</v>
      </c>
      <c r="D779" t="s">
        <v>2</v>
      </c>
      <c r="E779">
        <v>24.387890800000001</v>
      </c>
      <c r="F779">
        <v>23.315247500000002</v>
      </c>
      <c r="G779">
        <v>23.545885250000001</v>
      </c>
      <c r="H779">
        <v>22.460011399999999</v>
      </c>
      <c r="I779">
        <v>24.114052950000001</v>
      </c>
      <c r="J779">
        <v>25.451464250000001</v>
      </c>
      <c r="K779">
        <v>27.761427149999999</v>
      </c>
      <c r="L779">
        <v>30.879927299999999</v>
      </c>
      <c r="M779">
        <v>34.079413700000003</v>
      </c>
      <c r="N779">
        <v>36.905693900000003</v>
      </c>
      <c r="O779">
        <v>38.850783249999999</v>
      </c>
      <c r="P779">
        <v>41.588551350000003</v>
      </c>
      <c r="Q779">
        <v>41.848089450000003</v>
      </c>
      <c r="R779">
        <v>41.729032500000002</v>
      </c>
      <c r="S779">
        <v>41.484949499999999</v>
      </c>
      <c r="T779">
        <v>41.929558800000002</v>
      </c>
      <c r="U779">
        <v>41.1216224</v>
      </c>
      <c r="V779">
        <v>40.046790399999999</v>
      </c>
      <c r="W779">
        <v>42.922507750000001</v>
      </c>
      <c r="X779">
        <v>42.724040100000003</v>
      </c>
      <c r="Y779">
        <v>40.225272400000001</v>
      </c>
      <c r="Z779">
        <v>37.136864000000003</v>
      </c>
      <c r="AA779">
        <v>32.917813500000001</v>
      </c>
      <c r="AB779">
        <v>29.253968100000002</v>
      </c>
    </row>
    <row r="780" spans="1:28" hidden="1" x14ac:dyDescent="0.25">
      <c r="A780" t="s">
        <v>7</v>
      </c>
      <c r="B780" t="s">
        <v>54</v>
      </c>
      <c r="C780">
        <v>110</v>
      </c>
      <c r="D780" t="s">
        <v>3</v>
      </c>
      <c r="E780">
        <v>6.3617772205999996</v>
      </c>
      <c r="F780">
        <v>6.3847301769999998</v>
      </c>
      <c r="G780">
        <v>6.2881899916000004</v>
      </c>
      <c r="H780">
        <v>6.2567616565000002</v>
      </c>
      <c r="I780">
        <v>6.7571431236999997</v>
      </c>
      <c r="J780">
        <v>6.8013220766</v>
      </c>
      <c r="K780">
        <v>6.7785661826999997</v>
      </c>
      <c r="L780">
        <v>7.7863721029999997</v>
      </c>
      <c r="M780">
        <v>9.4524936330999996</v>
      </c>
      <c r="N780">
        <v>11.2728139353</v>
      </c>
      <c r="O780">
        <v>12.5895087735</v>
      </c>
      <c r="P780">
        <v>14.0899962198</v>
      </c>
      <c r="Q780">
        <v>14.5010682727</v>
      </c>
      <c r="R780">
        <v>14.512566012100001</v>
      </c>
      <c r="S780">
        <v>14.443245366099999</v>
      </c>
      <c r="T780">
        <v>14.473284268700001</v>
      </c>
      <c r="U780">
        <v>14.297110137100001</v>
      </c>
      <c r="V780">
        <v>13.8055239531</v>
      </c>
      <c r="W780">
        <v>14.456762907</v>
      </c>
      <c r="X780">
        <v>12.346533003599999</v>
      </c>
      <c r="Y780">
        <v>11.334335643699999</v>
      </c>
      <c r="Z780">
        <v>10.2765644851</v>
      </c>
      <c r="AA780">
        <v>8.8183695040999996</v>
      </c>
      <c r="AB780">
        <v>7.6558566079999997</v>
      </c>
    </row>
    <row r="781" spans="1:28" hidden="1" x14ac:dyDescent="0.25">
      <c r="A781" t="s">
        <v>7</v>
      </c>
      <c r="B781" t="s">
        <v>54</v>
      </c>
      <c r="C781">
        <v>110</v>
      </c>
      <c r="D781" t="s">
        <v>4</v>
      </c>
      <c r="E781">
        <v>0.37138919999999997</v>
      </c>
      <c r="F781">
        <v>0.35505453040000001</v>
      </c>
      <c r="G781">
        <v>0.35856678040000001</v>
      </c>
      <c r="H781">
        <v>0.34203063039999998</v>
      </c>
      <c r="I781">
        <v>0.36721908040000001</v>
      </c>
      <c r="J781">
        <v>0.38758575000000001</v>
      </c>
      <c r="K781">
        <v>0.42276285000000002</v>
      </c>
      <c r="L781">
        <v>0.47025270000000002</v>
      </c>
      <c r="M781">
        <v>0.5189758431</v>
      </c>
      <c r="N781">
        <v>0.56201564309999996</v>
      </c>
      <c r="O781">
        <v>0.59163629309999999</v>
      </c>
      <c r="P781">
        <v>0.63332819309999999</v>
      </c>
      <c r="Q781">
        <v>0.63728054999999995</v>
      </c>
      <c r="R781">
        <v>0.63546749999999996</v>
      </c>
      <c r="S781">
        <v>0.63175049999999999</v>
      </c>
      <c r="T781">
        <v>0.63852120000000001</v>
      </c>
      <c r="U781">
        <v>0.62621760000000004</v>
      </c>
      <c r="V781">
        <v>0.60984959999999999</v>
      </c>
      <c r="W781">
        <v>0.65364224999999998</v>
      </c>
      <c r="X781">
        <v>0.65061990000000003</v>
      </c>
      <c r="Y781">
        <v>0.61256759999999999</v>
      </c>
      <c r="Z781">
        <v>0.56553600000000004</v>
      </c>
      <c r="AA781">
        <v>0.50128649999999997</v>
      </c>
      <c r="AB781">
        <v>0.4454919</v>
      </c>
    </row>
    <row r="782" spans="1:28" hidden="1" x14ac:dyDescent="0.25">
      <c r="A782" t="s">
        <v>7</v>
      </c>
      <c r="B782" t="s">
        <v>55</v>
      </c>
      <c r="C782">
        <v>110</v>
      </c>
      <c r="D782" t="s">
        <v>2</v>
      </c>
      <c r="E782">
        <v>5.8098846000000002</v>
      </c>
      <c r="F782">
        <v>5.6612875000000003</v>
      </c>
      <c r="G782">
        <v>5.4143283000000002</v>
      </c>
      <c r="H782">
        <v>4.8898748999999997</v>
      </c>
      <c r="I782">
        <v>5.6299743500000003</v>
      </c>
      <c r="J782">
        <v>6.0067664000000001</v>
      </c>
      <c r="K782">
        <v>6.1880063999999999</v>
      </c>
      <c r="L782">
        <v>6.5841241500000001</v>
      </c>
      <c r="M782">
        <v>4.0177471999999996</v>
      </c>
      <c r="N782">
        <v>4.1796024000000003</v>
      </c>
      <c r="O782">
        <v>4.4343824999999999</v>
      </c>
      <c r="P782">
        <v>4.8564451499999999</v>
      </c>
      <c r="Q782">
        <v>7.5287096</v>
      </c>
      <c r="R782">
        <v>7.1350937500000002</v>
      </c>
      <c r="S782">
        <v>7.3504147499999997</v>
      </c>
      <c r="T782">
        <v>7.4216991999999999</v>
      </c>
      <c r="U782">
        <v>7.03789395</v>
      </c>
      <c r="V782">
        <v>6.5391392000000002</v>
      </c>
      <c r="W782">
        <v>7.7922364999999996</v>
      </c>
      <c r="X782">
        <v>8.05453215</v>
      </c>
      <c r="Y782">
        <v>7.6153107999999996</v>
      </c>
      <c r="Z782">
        <v>6.0991200000000001</v>
      </c>
      <c r="AA782">
        <v>5.8177449000000001</v>
      </c>
      <c r="AB782">
        <v>5.2833626999999996</v>
      </c>
    </row>
    <row r="783" spans="1:28" hidden="1" x14ac:dyDescent="0.25">
      <c r="A783" t="s">
        <v>7</v>
      </c>
      <c r="B783" t="s">
        <v>55</v>
      </c>
      <c r="C783">
        <v>110</v>
      </c>
      <c r="D783" t="s">
        <v>3</v>
      </c>
      <c r="E783">
        <v>2.5701917520999999</v>
      </c>
      <c r="F783">
        <v>2.9587716515000002</v>
      </c>
      <c r="G783">
        <v>2.4996946602999999</v>
      </c>
      <c r="H783">
        <v>2.1270539989000001</v>
      </c>
      <c r="I783">
        <v>2.9363690137999998</v>
      </c>
      <c r="J783">
        <v>3.0318247198999999</v>
      </c>
      <c r="K783">
        <v>2.5523362075999998</v>
      </c>
      <c r="L783">
        <v>3.0487177020999998</v>
      </c>
      <c r="M783">
        <v>1.7807047071</v>
      </c>
      <c r="N783">
        <v>1.8435439267</v>
      </c>
      <c r="O783">
        <v>1.9148782446999999</v>
      </c>
      <c r="P783">
        <v>1.9606809763999999</v>
      </c>
      <c r="Q783">
        <v>3.1910807858000001</v>
      </c>
      <c r="R783">
        <v>2.8989979702999999</v>
      </c>
      <c r="S783">
        <v>2.7892149689000001</v>
      </c>
      <c r="T783">
        <v>2.9309080744</v>
      </c>
      <c r="U783">
        <v>2.8359231520999999</v>
      </c>
      <c r="V783">
        <v>2.5584372271000002</v>
      </c>
      <c r="W783">
        <v>2.7290923137999998</v>
      </c>
      <c r="X783">
        <v>2.5468489462999999</v>
      </c>
      <c r="Y783">
        <v>2.3674296520000002</v>
      </c>
      <c r="Z783">
        <v>2.3768105638999999</v>
      </c>
      <c r="AA783">
        <v>2.4505540257999998</v>
      </c>
      <c r="AB783">
        <v>2.2920704752000001</v>
      </c>
    </row>
    <row r="784" spans="1:28" hidden="1" x14ac:dyDescent="0.25">
      <c r="A784" t="s">
        <v>7</v>
      </c>
      <c r="B784" t="s">
        <v>55</v>
      </c>
      <c r="C784">
        <v>110</v>
      </c>
      <c r="D784" t="s">
        <v>4</v>
      </c>
      <c r="E784">
        <v>8.8475399999999996E-2</v>
      </c>
      <c r="F784">
        <v>8.6212499999999997E-2</v>
      </c>
      <c r="G784">
        <v>8.2451700000000003E-2</v>
      </c>
      <c r="H784">
        <v>7.4465100000000006E-2</v>
      </c>
      <c r="I784">
        <v>8.5735649999999997E-2</v>
      </c>
      <c r="J784">
        <v>9.1473600000000002E-2</v>
      </c>
      <c r="K784">
        <v>9.4233600000000001E-2</v>
      </c>
      <c r="L784">
        <v>0.10026585</v>
      </c>
      <c r="M784">
        <v>6.1183967499999999E-2</v>
      </c>
      <c r="N784">
        <v>6.3648767499999995E-2</v>
      </c>
      <c r="O784">
        <v>6.75286675E-2</v>
      </c>
      <c r="P784">
        <v>7.3956017499999999E-2</v>
      </c>
      <c r="Q784">
        <v>0.1146504</v>
      </c>
      <c r="R784">
        <v>0.10865625</v>
      </c>
      <c r="S784">
        <v>0.11193525</v>
      </c>
      <c r="T784">
        <v>0.1130208</v>
      </c>
      <c r="U784">
        <v>0.10717604999999999</v>
      </c>
      <c r="V784">
        <v>9.9580799999999997E-2</v>
      </c>
      <c r="W784">
        <v>0.11866350000000001</v>
      </c>
      <c r="X784">
        <v>0.12265785</v>
      </c>
      <c r="Y784">
        <v>0.11596919999999999</v>
      </c>
      <c r="Z784">
        <v>9.2880000000000004E-2</v>
      </c>
      <c r="AA784">
        <v>8.8595099999999996E-2</v>
      </c>
      <c r="AB784">
        <v>8.0457299999999995E-2</v>
      </c>
    </row>
    <row r="785" spans="1:28" hidden="1" x14ac:dyDescent="0.25">
      <c r="A785" t="s">
        <v>7</v>
      </c>
      <c r="B785" t="s">
        <v>56</v>
      </c>
      <c r="C785">
        <v>110</v>
      </c>
      <c r="D785" t="s">
        <v>2</v>
      </c>
      <c r="E785">
        <v>5.4692715999999999</v>
      </c>
      <c r="F785">
        <v>5.8577950000000003</v>
      </c>
      <c r="G785">
        <v>6.7819614000000001</v>
      </c>
      <c r="H785">
        <v>7.1074842</v>
      </c>
      <c r="I785">
        <v>7.5329253999999999</v>
      </c>
      <c r="J785">
        <v>7.8397135000000002</v>
      </c>
      <c r="K785">
        <v>7.6624923000000003</v>
      </c>
      <c r="L785">
        <v>7.0076643000000001</v>
      </c>
      <c r="M785">
        <v>6.9895797000000002</v>
      </c>
      <c r="N785">
        <v>6.5925656000000004</v>
      </c>
      <c r="O785">
        <v>6.0318445000000001</v>
      </c>
      <c r="P785">
        <v>5.9426330500000004</v>
      </c>
      <c r="Q785">
        <v>5.8438572500000001</v>
      </c>
      <c r="R785">
        <v>5.5278200000000002</v>
      </c>
      <c r="S785">
        <v>4.6567844999999997</v>
      </c>
      <c r="T785">
        <v>4.4560611999999997</v>
      </c>
      <c r="U785">
        <v>5.5287065000000002</v>
      </c>
      <c r="V785">
        <v>4.6542431999999998</v>
      </c>
      <c r="W785">
        <v>5.1024477499999996</v>
      </c>
      <c r="X785">
        <v>5.2196036499999998</v>
      </c>
      <c r="Y785">
        <v>4.7556193999999996</v>
      </c>
      <c r="Z785">
        <v>4.1474016000000002</v>
      </c>
      <c r="AA785">
        <v>5.6942259000000002</v>
      </c>
      <c r="AB785">
        <v>6.2774837999999997</v>
      </c>
    </row>
    <row r="786" spans="1:28" hidden="1" x14ac:dyDescent="0.25">
      <c r="A786" t="s">
        <v>7</v>
      </c>
      <c r="B786" t="s">
        <v>56</v>
      </c>
      <c r="C786">
        <v>110</v>
      </c>
      <c r="D786" t="s">
        <v>3</v>
      </c>
      <c r="E786">
        <v>2.4894837594000001</v>
      </c>
      <c r="F786">
        <v>2.3700457099999999</v>
      </c>
      <c r="G786">
        <v>2.5735076044</v>
      </c>
      <c r="H786">
        <v>2.4477566458000002</v>
      </c>
      <c r="I786">
        <v>2.4930191231999999</v>
      </c>
      <c r="J786">
        <v>2.9469970933999998</v>
      </c>
      <c r="K786">
        <v>3.0228639848999999</v>
      </c>
      <c r="L786">
        <v>2.2379919755</v>
      </c>
      <c r="M786">
        <v>2.0754821307000002</v>
      </c>
      <c r="N786">
        <v>1.9616221892000001</v>
      </c>
      <c r="O786">
        <v>1.5487961186999999</v>
      </c>
      <c r="P786">
        <v>1.6437338507999999</v>
      </c>
      <c r="Q786">
        <v>1.4352404096</v>
      </c>
      <c r="R786">
        <v>1.1247834744</v>
      </c>
      <c r="S786">
        <v>1.1110128207000001</v>
      </c>
      <c r="T786">
        <v>1.1342157638999999</v>
      </c>
      <c r="U786">
        <v>1.3654416301000001</v>
      </c>
      <c r="V786">
        <v>1.1599370746</v>
      </c>
      <c r="W786">
        <v>1.2049697122</v>
      </c>
      <c r="X786">
        <v>1.3379985496</v>
      </c>
      <c r="Y786">
        <v>1.2761504086</v>
      </c>
      <c r="Z786">
        <v>1.0887098003</v>
      </c>
      <c r="AA786">
        <v>1.6860464558999999</v>
      </c>
      <c r="AB786">
        <v>2.0608577831999999</v>
      </c>
    </row>
    <row r="787" spans="1:28" hidden="1" x14ac:dyDescent="0.25">
      <c r="A787" t="s">
        <v>7</v>
      </c>
      <c r="B787" t="s">
        <v>56</v>
      </c>
      <c r="C787">
        <v>110</v>
      </c>
      <c r="D787" t="s">
        <v>4</v>
      </c>
      <c r="E787">
        <v>8.3288399999999999E-2</v>
      </c>
      <c r="F787">
        <v>8.9205000000000007E-2</v>
      </c>
      <c r="G787">
        <v>0.1032786</v>
      </c>
      <c r="H787">
        <v>0.10823579999999999</v>
      </c>
      <c r="I787">
        <v>0.1147146</v>
      </c>
      <c r="J787">
        <v>0.11938650000000001</v>
      </c>
      <c r="K787">
        <v>0.11668770000000001</v>
      </c>
      <c r="L787">
        <v>0.1067157</v>
      </c>
      <c r="M787">
        <v>0.1064403</v>
      </c>
      <c r="N787">
        <v>0.10039439999999999</v>
      </c>
      <c r="O787">
        <v>9.1855500000000007E-2</v>
      </c>
      <c r="P787">
        <v>9.0496950000000007E-2</v>
      </c>
      <c r="Q787">
        <v>8.8992749999999995E-2</v>
      </c>
      <c r="R787">
        <v>8.4180000000000005E-2</v>
      </c>
      <c r="S787">
        <v>7.0915500000000006E-2</v>
      </c>
      <c r="T787">
        <v>6.7858799999999997E-2</v>
      </c>
      <c r="U787">
        <v>8.4193500000000004E-2</v>
      </c>
      <c r="V787">
        <v>7.0876800000000004E-2</v>
      </c>
      <c r="W787">
        <v>7.770225E-2</v>
      </c>
      <c r="X787">
        <v>7.9486349999999997E-2</v>
      </c>
      <c r="Y787">
        <v>7.2420600000000002E-2</v>
      </c>
      <c r="Z787">
        <v>6.3158400000000003E-2</v>
      </c>
      <c r="AA787">
        <v>8.6714100000000002E-2</v>
      </c>
      <c r="AB787">
        <v>9.5596200000000006E-2</v>
      </c>
    </row>
    <row r="788" spans="1:28" hidden="1" x14ac:dyDescent="0.25">
      <c r="A788" t="s">
        <v>7</v>
      </c>
      <c r="B788" t="s">
        <v>57</v>
      </c>
      <c r="C788">
        <v>110</v>
      </c>
      <c r="D788" t="s">
        <v>2</v>
      </c>
      <c r="E788">
        <v>1.1094252</v>
      </c>
      <c r="F788">
        <v>1.104185</v>
      </c>
      <c r="G788">
        <v>1.1053473</v>
      </c>
      <c r="H788">
        <v>1.0763292</v>
      </c>
      <c r="I788">
        <v>1.1043031999999999</v>
      </c>
      <c r="J788">
        <v>1.1483524000000001</v>
      </c>
      <c r="K788">
        <v>1.1360793</v>
      </c>
      <c r="L788">
        <v>1.026764</v>
      </c>
      <c r="M788">
        <v>1.0061774999999999</v>
      </c>
      <c r="N788">
        <v>1.0335802000000001</v>
      </c>
      <c r="O788">
        <v>1.0534082499999999</v>
      </c>
      <c r="P788">
        <v>1.0942955999999999</v>
      </c>
      <c r="Q788">
        <v>1.0928772</v>
      </c>
      <c r="R788">
        <v>1.1115725000000001</v>
      </c>
      <c r="S788">
        <v>1.14136875</v>
      </c>
      <c r="T788">
        <v>1.1558383999999999</v>
      </c>
      <c r="U788">
        <v>1.1356261999999999</v>
      </c>
      <c r="V788">
        <v>1.1164384000000001</v>
      </c>
      <c r="W788">
        <v>1.2878382500000001</v>
      </c>
      <c r="X788">
        <v>1.4174642500000001</v>
      </c>
      <c r="Y788">
        <v>1.4061466</v>
      </c>
      <c r="Z788">
        <v>1.2740384</v>
      </c>
      <c r="AA788">
        <v>1.2722457</v>
      </c>
      <c r="AB788">
        <v>1.2175191000000001</v>
      </c>
    </row>
    <row r="789" spans="1:28" hidden="1" x14ac:dyDescent="0.25">
      <c r="A789" t="s">
        <v>7</v>
      </c>
      <c r="B789" t="s">
        <v>57</v>
      </c>
      <c r="C789">
        <v>110</v>
      </c>
      <c r="D789" t="s">
        <v>3</v>
      </c>
      <c r="E789">
        <v>0.53838703990000003</v>
      </c>
      <c r="F789">
        <v>0.55208383729999999</v>
      </c>
      <c r="G789">
        <v>0.55266497810000004</v>
      </c>
      <c r="H789">
        <v>0.55609126639999995</v>
      </c>
      <c r="I789">
        <v>0.59023605300000004</v>
      </c>
      <c r="J789">
        <v>0.58462569090000005</v>
      </c>
      <c r="K789">
        <v>0.58761983439999999</v>
      </c>
      <c r="L789">
        <v>0.52386450419999997</v>
      </c>
      <c r="M789">
        <v>0.53388741080000002</v>
      </c>
      <c r="N789">
        <v>0.52691218939999995</v>
      </c>
      <c r="O789">
        <v>0.54622484630000001</v>
      </c>
      <c r="P789">
        <v>0.5759397141</v>
      </c>
      <c r="Q789">
        <v>0.5464300259</v>
      </c>
      <c r="R789">
        <v>0.54667489739999997</v>
      </c>
      <c r="S789">
        <v>0.55227277419999998</v>
      </c>
      <c r="T789">
        <v>0.56844500809999998</v>
      </c>
      <c r="U789">
        <v>0.5585045837</v>
      </c>
      <c r="V789">
        <v>0.54906796260000001</v>
      </c>
      <c r="W789">
        <v>0.61421329849999995</v>
      </c>
      <c r="X789">
        <v>0.62999057599999997</v>
      </c>
      <c r="Y789">
        <v>0.59024877580000001</v>
      </c>
      <c r="Z789">
        <v>0.53900565030000003</v>
      </c>
      <c r="AA789">
        <v>0.53824721519999996</v>
      </c>
      <c r="AB789">
        <v>0.54295446599999997</v>
      </c>
    </row>
    <row r="790" spans="1:28" hidden="1" x14ac:dyDescent="0.25">
      <c r="A790" t="s">
        <v>7</v>
      </c>
      <c r="B790" t="s">
        <v>57</v>
      </c>
      <c r="C790">
        <v>110</v>
      </c>
      <c r="D790" t="s">
        <v>4</v>
      </c>
      <c r="E790">
        <v>1.6894800000000001E-2</v>
      </c>
      <c r="F790">
        <v>1.6815E-2</v>
      </c>
      <c r="G790">
        <v>1.6832699999999999E-2</v>
      </c>
      <c r="H790">
        <v>1.6390800000000001E-2</v>
      </c>
      <c r="I790">
        <v>1.68168E-2</v>
      </c>
      <c r="J790">
        <v>1.7487599999999999E-2</v>
      </c>
      <c r="K790">
        <v>1.7300699999999999E-2</v>
      </c>
      <c r="L790">
        <v>1.5636000000000001E-2</v>
      </c>
      <c r="M790">
        <v>1.5322499999999999E-2</v>
      </c>
      <c r="N790">
        <v>1.5739800000000002E-2</v>
      </c>
      <c r="O790">
        <v>1.604175E-2</v>
      </c>
      <c r="P790">
        <v>1.6664399999999999E-2</v>
      </c>
      <c r="Q790">
        <v>1.6642799999999999E-2</v>
      </c>
      <c r="R790">
        <v>1.6927500000000002E-2</v>
      </c>
      <c r="S790">
        <v>1.7381250000000001E-2</v>
      </c>
      <c r="T790">
        <v>1.7601599999999998E-2</v>
      </c>
      <c r="U790">
        <v>1.7293800000000002E-2</v>
      </c>
      <c r="V790">
        <v>1.7001599999999999E-2</v>
      </c>
      <c r="W790">
        <v>1.9611750000000001E-2</v>
      </c>
      <c r="X790">
        <v>2.1585750000000001E-2</v>
      </c>
      <c r="Y790">
        <v>2.1413399999999999E-2</v>
      </c>
      <c r="Z790">
        <v>1.9401600000000001E-2</v>
      </c>
      <c r="AA790">
        <v>1.9374300000000001E-2</v>
      </c>
      <c r="AB790">
        <v>1.8540899999999999E-2</v>
      </c>
    </row>
    <row r="791" spans="1:28" hidden="1" x14ac:dyDescent="0.25">
      <c r="A791" t="s">
        <v>7</v>
      </c>
      <c r="B791" t="s">
        <v>58</v>
      </c>
      <c r="C791">
        <v>110</v>
      </c>
      <c r="D791" t="s">
        <v>2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</row>
    <row r="792" spans="1:28" hidden="1" x14ac:dyDescent="0.25">
      <c r="A792" t="s">
        <v>7</v>
      </c>
      <c r="B792" t="s">
        <v>58</v>
      </c>
      <c r="C792">
        <v>110</v>
      </c>
      <c r="D792" t="s">
        <v>3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</row>
    <row r="793" spans="1:28" hidden="1" x14ac:dyDescent="0.25">
      <c r="A793" t="s">
        <v>7</v>
      </c>
      <c r="B793" t="s">
        <v>58</v>
      </c>
      <c r="C793">
        <v>110</v>
      </c>
      <c r="D793" t="s">
        <v>4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</row>
    <row r="794" spans="1:28" hidden="1" x14ac:dyDescent="0.25">
      <c r="A794" t="s">
        <v>7</v>
      </c>
      <c r="B794" t="s">
        <v>59</v>
      </c>
      <c r="C794">
        <v>110</v>
      </c>
      <c r="D794" t="s">
        <v>2</v>
      </c>
      <c r="E794">
        <v>3.4742525999999998</v>
      </c>
      <c r="F794">
        <v>3.2283374999999999</v>
      </c>
      <c r="G794">
        <v>3.8218787999999999</v>
      </c>
      <c r="H794">
        <v>3.8599391999999999</v>
      </c>
      <c r="I794">
        <v>4.6932885999999998</v>
      </c>
      <c r="J794">
        <v>5.1565439499999997</v>
      </c>
      <c r="K794">
        <v>3.9279337499999998</v>
      </c>
      <c r="L794">
        <v>3.4653285</v>
      </c>
      <c r="M794">
        <v>3.4478349000000001</v>
      </c>
      <c r="N794">
        <v>3.1985117000000001</v>
      </c>
      <c r="O794">
        <v>3.0592130000000002</v>
      </c>
      <c r="P794">
        <v>3.5868578000000002</v>
      </c>
      <c r="Q794">
        <v>3.71881825</v>
      </c>
      <c r="R794">
        <v>3.6051000000000002</v>
      </c>
      <c r="S794">
        <v>3.7893442500000001</v>
      </c>
      <c r="T794">
        <v>3.4218899999999999</v>
      </c>
      <c r="U794">
        <v>3.78043985</v>
      </c>
      <c r="V794">
        <v>3.6682975999999998</v>
      </c>
      <c r="W794">
        <v>4.1080410000000001</v>
      </c>
      <c r="X794">
        <v>3.4519423499999999</v>
      </c>
      <c r="Y794">
        <v>2.211916</v>
      </c>
      <c r="Z794">
        <v>1.9788256</v>
      </c>
      <c r="AA794">
        <v>2.9891597999999999</v>
      </c>
      <c r="AB794">
        <v>3.6525572999999998</v>
      </c>
    </row>
    <row r="795" spans="1:28" hidden="1" x14ac:dyDescent="0.25">
      <c r="A795" t="s">
        <v>7</v>
      </c>
      <c r="B795" t="s">
        <v>59</v>
      </c>
      <c r="C795">
        <v>110</v>
      </c>
      <c r="D795" t="s">
        <v>3</v>
      </c>
      <c r="E795">
        <v>1.0675647370000001</v>
      </c>
      <c r="F795">
        <v>1.0826018906999999</v>
      </c>
      <c r="G795">
        <v>1.2908460740000001</v>
      </c>
      <c r="H795">
        <v>1.3551498747999999</v>
      </c>
      <c r="I795">
        <v>1.706703662</v>
      </c>
      <c r="J795">
        <v>1.4260932275</v>
      </c>
      <c r="K795">
        <v>1.3123905429</v>
      </c>
      <c r="L795">
        <v>1.1102100021000001</v>
      </c>
      <c r="M795">
        <v>1.0808699555000001</v>
      </c>
      <c r="N795">
        <v>1.3326831612000001</v>
      </c>
      <c r="O795">
        <v>1.027491809</v>
      </c>
      <c r="P795">
        <v>1.1331197771999999</v>
      </c>
      <c r="Q795">
        <v>1.1058269114999999</v>
      </c>
      <c r="R795">
        <v>1.5772026690000001</v>
      </c>
      <c r="S795">
        <v>1.5037164926</v>
      </c>
      <c r="T795">
        <v>1.3134356073</v>
      </c>
      <c r="U795">
        <v>1.1833336337</v>
      </c>
      <c r="V795">
        <v>1.0990454089999999</v>
      </c>
      <c r="W795">
        <v>1.4740591092999999</v>
      </c>
      <c r="X795">
        <v>1.3356650275999999</v>
      </c>
      <c r="Y795">
        <v>0.86695100449999996</v>
      </c>
      <c r="Z795">
        <v>0.7656698408</v>
      </c>
      <c r="AA795">
        <v>1.1315765813000001</v>
      </c>
      <c r="AB795">
        <v>1.3786983812</v>
      </c>
    </row>
    <row r="796" spans="1:28" hidden="1" x14ac:dyDescent="0.25">
      <c r="A796" t="s">
        <v>7</v>
      </c>
      <c r="B796" t="s">
        <v>59</v>
      </c>
      <c r="C796">
        <v>110</v>
      </c>
      <c r="D796" t="s">
        <v>4</v>
      </c>
      <c r="E796">
        <v>5.29074E-2</v>
      </c>
      <c r="F796">
        <v>4.9162499999999998E-2</v>
      </c>
      <c r="G796">
        <v>5.8201200000000002E-2</v>
      </c>
      <c r="H796">
        <v>5.8780800000000001E-2</v>
      </c>
      <c r="I796">
        <v>7.1471400000000004E-2</v>
      </c>
      <c r="J796">
        <v>7.852605E-2</v>
      </c>
      <c r="K796">
        <v>5.9816250000000001E-2</v>
      </c>
      <c r="L796">
        <v>5.2771499999999999E-2</v>
      </c>
      <c r="M796">
        <v>5.2505099999999999E-2</v>
      </c>
      <c r="N796">
        <v>4.8708300000000003E-2</v>
      </c>
      <c r="O796">
        <v>4.6587000000000003E-2</v>
      </c>
      <c r="P796">
        <v>5.4622200000000003E-2</v>
      </c>
      <c r="Q796">
        <v>5.6631750000000002E-2</v>
      </c>
      <c r="R796">
        <v>5.4899999999999997E-2</v>
      </c>
      <c r="S796">
        <v>5.770575E-2</v>
      </c>
      <c r="T796">
        <v>5.2109999999999997E-2</v>
      </c>
      <c r="U796">
        <v>5.757015E-2</v>
      </c>
      <c r="V796">
        <v>5.58624E-2</v>
      </c>
      <c r="W796">
        <v>6.2559000000000003E-2</v>
      </c>
      <c r="X796">
        <v>5.256765E-2</v>
      </c>
      <c r="Y796">
        <v>3.3683999999999999E-2</v>
      </c>
      <c r="Z796">
        <v>3.0134399999999999E-2</v>
      </c>
      <c r="AA796">
        <v>4.5520199999999997E-2</v>
      </c>
      <c r="AB796">
        <v>5.5622699999999997E-2</v>
      </c>
    </row>
    <row r="797" spans="1:28" hidden="1" x14ac:dyDescent="0.25">
      <c r="A797" t="s">
        <v>7</v>
      </c>
      <c r="B797" t="s">
        <v>60</v>
      </c>
      <c r="C797">
        <v>44</v>
      </c>
      <c r="D797" t="s">
        <v>2</v>
      </c>
      <c r="E797">
        <v>3.4213452000000002</v>
      </c>
      <c r="F797">
        <v>3.7689349999999999</v>
      </c>
      <c r="G797">
        <v>3.7636775999999998</v>
      </c>
      <c r="H797">
        <v>7.4652558000000004</v>
      </c>
      <c r="I797">
        <v>8.4474389999999993</v>
      </c>
      <c r="J797">
        <v>7.1005260999999997</v>
      </c>
      <c r="K797">
        <v>8.4146432999999998</v>
      </c>
      <c r="L797">
        <v>7.4823472000000004</v>
      </c>
      <c r="M797">
        <v>6.2886264000000001</v>
      </c>
      <c r="N797">
        <v>5.8319504000000002</v>
      </c>
      <c r="O797">
        <v>6.3094619999999999</v>
      </c>
      <c r="P797">
        <v>6.1215438999999998</v>
      </c>
      <c r="Q797">
        <v>5.5754921</v>
      </c>
      <c r="R797">
        <v>5.1329975000000001</v>
      </c>
      <c r="S797">
        <v>4.8406395</v>
      </c>
      <c r="T797">
        <v>5.3766711999999997</v>
      </c>
      <c r="U797">
        <v>5.7829556999999996</v>
      </c>
      <c r="V797">
        <v>5.2258943999999996</v>
      </c>
      <c r="W797">
        <v>5.6829390000000002</v>
      </c>
      <c r="X797">
        <v>5.4521372000000001</v>
      </c>
      <c r="Y797">
        <v>4.7298752000000004</v>
      </c>
      <c r="Z797">
        <v>3.5770496000000001</v>
      </c>
      <c r="AA797">
        <v>3.2842259999999999</v>
      </c>
      <c r="AB797">
        <v>3.1129433999999998</v>
      </c>
    </row>
    <row r="798" spans="1:28" hidden="1" x14ac:dyDescent="0.25">
      <c r="A798" t="s">
        <v>7</v>
      </c>
      <c r="B798" t="s">
        <v>60</v>
      </c>
      <c r="C798">
        <v>44</v>
      </c>
      <c r="D798" t="s">
        <v>3</v>
      </c>
      <c r="E798">
        <v>0.16915674789999999</v>
      </c>
      <c r="F798">
        <v>0.28716107400000002</v>
      </c>
      <c r="G798">
        <v>0.35625478869999999</v>
      </c>
      <c r="H798">
        <v>0.633387688</v>
      </c>
      <c r="I798">
        <v>0.56636254409999998</v>
      </c>
      <c r="J798">
        <v>0.19057851519999999</v>
      </c>
      <c r="K798">
        <v>0.91498670859999998</v>
      </c>
      <c r="L798">
        <v>1.1512157722</v>
      </c>
      <c r="M798">
        <v>1.0423469400000001</v>
      </c>
      <c r="N798">
        <v>0.97831404239999997</v>
      </c>
      <c r="O798">
        <v>1.0638934542</v>
      </c>
      <c r="P798">
        <v>1.1263660835</v>
      </c>
      <c r="Q798">
        <v>1.0156531215</v>
      </c>
      <c r="R798">
        <v>0.85658756020000004</v>
      </c>
      <c r="S798">
        <v>0.72095225119999995</v>
      </c>
      <c r="T798">
        <v>1.1457518638999999</v>
      </c>
      <c r="U798">
        <v>1.5309088101999999</v>
      </c>
      <c r="V798">
        <v>1.2532031658</v>
      </c>
      <c r="W798">
        <v>0.79107523400000002</v>
      </c>
      <c r="X798">
        <v>0.83148219249999999</v>
      </c>
      <c r="Y798">
        <v>0.69587326630000002</v>
      </c>
      <c r="Z798">
        <v>0.3060404189</v>
      </c>
      <c r="AA798">
        <v>0.12206658669999999</v>
      </c>
      <c r="AB798">
        <v>3.4102632299999998E-2</v>
      </c>
    </row>
    <row r="799" spans="1:28" hidden="1" x14ac:dyDescent="0.25">
      <c r="A799" t="s">
        <v>7</v>
      </c>
      <c r="B799" t="s">
        <v>60</v>
      </c>
      <c r="C799">
        <v>44</v>
      </c>
      <c r="D799" t="s">
        <v>4</v>
      </c>
      <c r="E799">
        <v>0.1058148</v>
      </c>
      <c r="F799">
        <v>0.116565</v>
      </c>
      <c r="G799">
        <v>0.1164024</v>
      </c>
      <c r="H799">
        <v>0.23088420000000001</v>
      </c>
      <c r="I799">
        <v>0.26126100000000002</v>
      </c>
      <c r="J799">
        <v>0.21960389999999999</v>
      </c>
      <c r="K799">
        <v>0.2602467</v>
      </c>
      <c r="L799">
        <v>0.2314128</v>
      </c>
      <c r="M799">
        <v>0.19449359999999999</v>
      </c>
      <c r="N799">
        <v>0.18036959999999999</v>
      </c>
      <c r="O799">
        <v>0.19513800000000001</v>
      </c>
      <c r="P799">
        <v>0.1893261</v>
      </c>
      <c r="Q799">
        <v>0.17243790000000001</v>
      </c>
      <c r="R799">
        <v>0.15875249999999999</v>
      </c>
      <c r="S799">
        <v>0.1497105</v>
      </c>
      <c r="T799">
        <v>0.16628879999999999</v>
      </c>
      <c r="U799">
        <v>0.17885429999999999</v>
      </c>
      <c r="V799">
        <v>0.16162560000000001</v>
      </c>
      <c r="W799">
        <v>0.175761</v>
      </c>
      <c r="X799">
        <v>0.16862279999999999</v>
      </c>
      <c r="Y799">
        <v>0.14628479999999999</v>
      </c>
      <c r="Z799">
        <v>0.1106304</v>
      </c>
      <c r="AA799">
        <v>0.101574</v>
      </c>
      <c r="AB799">
        <v>9.6276600000000004E-2</v>
      </c>
    </row>
    <row r="800" spans="1:28" hidden="1" x14ac:dyDescent="0.25">
      <c r="A800" t="s">
        <v>7</v>
      </c>
      <c r="B800" t="s">
        <v>61</v>
      </c>
      <c r="C800">
        <v>110</v>
      </c>
      <c r="D800" t="s">
        <v>2</v>
      </c>
      <c r="E800">
        <v>28.008120399999999</v>
      </c>
      <c r="F800">
        <v>28.278365000000001</v>
      </c>
      <c r="G800">
        <v>29.347907549999999</v>
      </c>
      <c r="H800">
        <v>29.506266</v>
      </c>
      <c r="I800">
        <v>31.93605415</v>
      </c>
      <c r="J800">
        <v>34.737660099999999</v>
      </c>
      <c r="K800">
        <v>34.904223600000002</v>
      </c>
      <c r="L800">
        <v>35.782725399999997</v>
      </c>
      <c r="M800">
        <v>37.161489000000003</v>
      </c>
      <c r="N800">
        <v>36.356881899999998</v>
      </c>
      <c r="O800">
        <v>36.378660250000003</v>
      </c>
      <c r="P800">
        <v>37.0540649</v>
      </c>
      <c r="Q800">
        <v>36.110484149999998</v>
      </c>
      <c r="R800">
        <v>35.104661249999999</v>
      </c>
      <c r="S800">
        <v>35.062848000000002</v>
      </c>
      <c r="T800">
        <v>35.344321600000001</v>
      </c>
      <c r="U800">
        <v>35.876822449999999</v>
      </c>
      <c r="V800">
        <v>35.566537599999997</v>
      </c>
      <c r="W800">
        <v>40.5261505</v>
      </c>
      <c r="X800">
        <v>42.40719515</v>
      </c>
      <c r="Y800">
        <v>40.383266399999997</v>
      </c>
      <c r="Z800">
        <v>35.510432000000002</v>
      </c>
      <c r="AA800">
        <v>31.855550099999999</v>
      </c>
      <c r="AB800">
        <v>29.5220457</v>
      </c>
    </row>
    <row r="801" spans="1:28" hidden="1" x14ac:dyDescent="0.25">
      <c r="A801" t="s">
        <v>7</v>
      </c>
      <c r="B801" t="s">
        <v>61</v>
      </c>
      <c r="C801">
        <v>110</v>
      </c>
      <c r="D801" t="s">
        <v>3</v>
      </c>
      <c r="E801">
        <v>11.9659998342</v>
      </c>
      <c r="F801">
        <v>12.048237949500001</v>
      </c>
      <c r="G801">
        <v>12.494192334999999</v>
      </c>
      <c r="H801">
        <v>12.6610560846</v>
      </c>
      <c r="I801">
        <v>13.7487052494</v>
      </c>
      <c r="J801">
        <v>14.6795900479</v>
      </c>
      <c r="K801">
        <v>13.5732739831</v>
      </c>
      <c r="L801">
        <v>14.2623741761</v>
      </c>
      <c r="M801">
        <v>15.7488340331</v>
      </c>
      <c r="N801">
        <v>15.9447281959</v>
      </c>
      <c r="O801">
        <v>16.1029606685</v>
      </c>
      <c r="P801">
        <v>16.2548854904</v>
      </c>
      <c r="Q801">
        <v>16.671538815600002</v>
      </c>
      <c r="R801">
        <v>16.372382198499999</v>
      </c>
      <c r="S801">
        <v>16.054666315599999</v>
      </c>
      <c r="T801">
        <v>16.255360076199999</v>
      </c>
      <c r="U801">
        <v>16.504425559600001</v>
      </c>
      <c r="V801">
        <v>16.275994751900001</v>
      </c>
      <c r="W801">
        <v>17.687681951199998</v>
      </c>
      <c r="X801">
        <v>17.370219117600001</v>
      </c>
      <c r="Y801">
        <v>16.341450328299999</v>
      </c>
      <c r="Z801">
        <v>14.6217352931</v>
      </c>
      <c r="AA801">
        <v>12.928157107800001</v>
      </c>
      <c r="AB801">
        <v>12.233811748300001</v>
      </c>
    </row>
    <row r="802" spans="1:28" hidden="1" x14ac:dyDescent="0.25">
      <c r="A802" t="s">
        <v>7</v>
      </c>
      <c r="B802" t="s">
        <v>61</v>
      </c>
      <c r="C802">
        <v>110</v>
      </c>
      <c r="D802" t="s">
        <v>4</v>
      </c>
      <c r="E802">
        <v>0.4265196</v>
      </c>
      <c r="F802">
        <v>0.43063499999999999</v>
      </c>
      <c r="G802">
        <v>0.44692245000000003</v>
      </c>
      <c r="H802">
        <v>0.44933400000000001</v>
      </c>
      <c r="I802">
        <v>0.48633585000000001</v>
      </c>
      <c r="J802">
        <v>0.52899989999999997</v>
      </c>
      <c r="K802">
        <v>0.53153640000000002</v>
      </c>
      <c r="L802">
        <v>0.54491460000000003</v>
      </c>
      <c r="M802">
        <v>0.56591100000000005</v>
      </c>
      <c r="N802">
        <v>0.55365810000000004</v>
      </c>
      <c r="O802">
        <v>0.55398974999999995</v>
      </c>
      <c r="P802">
        <v>0.56427510000000003</v>
      </c>
      <c r="Q802">
        <v>0.54990585000000003</v>
      </c>
      <c r="R802">
        <v>0.53458874999999995</v>
      </c>
      <c r="S802">
        <v>0.53395199999999998</v>
      </c>
      <c r="T802">
        <v>0.53823840000000001</v>
      </c>
      <c r="U802">
        <v>0.54634755000000002</v>
      </c>
      <c r="V802">
        <v>0.54162239999999995</v>
      </c>
      <c r="W802">
        <v>0.61714950000000002</v>
      </c>
      <c r="X802">
        <v>0.64579485000000003</v>
      </c>
      <c r="Y802">
        <v>0.61497360000000001</v>
      </c>
      <c r="Z802">
        <v>0.54076800000000003</v>
      </c>
      <c r="AA802">
        <v>0.48510989999999998</v>
      </c>
      <c r="AB802">
        <v>0.44957429999999998</v>
      </c>
    </row>
    <row r="803" spans="1:28" hidden="1" x14ac:dyDescent="0.25">
      <c r="A803" t="s">
        <v>7</v>
      </c>
      <c r="B803" t="s">
        <v>62</v>
      </c>
      <c r="C803">
        <v>110</v>
      </c>
      <c r="D803" t="s">
        <v>2</v>
      </c>
      <c r="E803">
        <v>20.475707199999999</v>
      </c>
      <c r="F803">
        <v>19.426169999999999</v>
      </c>
      <c r="G803">
        <v>19.662067650000001</v>
      </c>
      <c r="H803">
        <v>19.7079588</v>
      </c>
      <c r="I803">
        <v>20.73526455</v>
      </c>
      <c r="J803">
        <v>23.011215400000001</v>
      </c>
      <c r="K803">
        <v>30.1181874</v>
      </c>
      <c r="L803">
        <v>33.626520999999997</v>
      </c>
      <c r="M803">
        <v>36.5175354</v>
      </c>
      <c r="N803">
        <v>37.292690999999998</v>
      </c>
      <c r="O803">
        <v>38.499907</v>
      </c>
      <c r="P803">
        <v>40.595327050000002</v>
      </c>
      <c r="Q803">
        <v>40.436456399999997</v>
      </c>
      <c r="R803">
        <v>39.821333750000001</v>
      </c>
      <c r="S803">
        <v>40.602291000000001</v>
      </c>
      <c r="T803">
        <v>39.9068416</v>
      </c>
      <c r="U803">
        <v>39.164161450000002</v>
      </c>
      <c r="V803">
        <v>37.1759488</v>
      </c>
      <c r="W803">
        <v>35.717134250000001</v>
      </c>
      <c r="X803">
        <v>35.970239849999999</v>
      </c>
      <c r="Y803">
        <v>34.221500399999996</v>
      </c>
      <c r="Z803">
        <v>28.828507200000001</v>
      </c>
      <c r="AA803">
        <v>26.5442331</v>
      </c>
      <c r="AB803">
        <v>24.216343200000001</v>
      </c>
    </row>
    <row r="804" spans="1:28" hidden="1" x14ac:dyDescent="0.25">
      <c r="A804" t="s">
        <v>7</v>
      </c>
      <c r="B804" t="s">
        <v>62</v>
      </c>
      <c r="C804">
        <v>110</v>
      </c>
      <c r="D804" t="s">
        <v>3</v>
      </c>
      <c r="E804">
        <v>7.8027546083999999</v>
      </c>
      <c r="F804">
        <v>8.0435814660999991</v>
      </c>
      <c r="G804">
        <v>7.8738326486999997</v>
      </c>
      <c r="H804">
        <v>8.1831727870000002</v>
      </c>
      <c r="I804">
        <v>8.3178345433</v>
      </c>
      <c r="J804">
        <v>8.6746676616999991</v>
      </c>
      <c r="K804">
        <v>10.2394263278</v>
      </c>
      <c r="L804">
        <v>11.6187634814</v>
      </c>
      <c r="M804">
        <v>13.761491293700001</v>
      </c>
      <c r="N804">
        <v>14.198069155500001</v>
      </c>
      <c r="O804">
        <v>14.9580791163</v>
      </c>
      <c r="P804">
        <v>16.297242073500001</v>
      </c>
      <c r="Q804">
        <v>16.676141965700001</v>
      </c>
      <c r="R804">
        <v>16.4041257218</v>
      </c>
      <c r="S804">
        <v>16.540715433700001</v>
      </c>
      <c r="T804">
        <v>16.373095962400001</v>
      </c>
      <c r="U804">
        <v>16.126190796500001</v>
      </c>
      <c r="V804">
        <v>15.034352265400001</v>
      </c>
      <c r="W804">
        <v>14.2563446882</v>
      </c>
      <c r="X804">
        <v>13.263194622</v>
      </c>
      <c r="Y804">
        <v>11.992444516300001</v>
      </c>
      <c r="Z804">
        <v>10.3009114981</v>
      </c>
      <c r="AA804">
        <v>9.5113652743999992</v>
      </c>
      <c r="AB804">
        <v>9.3267970553000001</v>
      </c>
    </row>
    <row r="805" spans="1:28" hidden="1" x14ac:dyDescent="0.25">
      <c r="A805" t="s">
        <v>7</v>
      </c>
      <c r="B805" t="s">
        <v>62</v>
      </c>
      <c r="C805">
        <v>110</v>
      </c>
      <c r="D805" t="s">
        <v>4</v>
      </c>
      <c r="E805">
        <v>0.3118128</v>
      </c>
      <c r="F805">
        <v>0.29582999999999998</v>
      </c>
      <c r="G805">
        <v>0.29942235</v>
      </c>
      <c r="H805">
        <v>0.30012119999999998</v>
      </c>
      <c r="I805">
        <v>0.31576545</v>
      </c>
      <c r="J805">
        <v>0.35042459999999997</v>
      </c>
      <c r="K805">
        <v>0.45865260000000002</v>
      </c>
      <c r="L805">
        <v>0.51207899999999995</v>
      </c>
      <c r="M805">
        <v>0.55610459999999995</v>
      </c>
      <c r="N805">
        <v>0.567909</v>
      </c>
      <c r="O805">
        <v>0.58629299999999995</v>
      </c>
      <c r="P805">
        <v>0.61820295000000003</v>
      </c>
      <c r="Q805">
        <v>0.61578359999999999</v>
      </c>
      <c r="R805">
        <v>0.60641624999999999</v>
      </c>
      <c r="S805">
        <v>0.618309</v>
      </c>
      <c r="T805">
        <v>0.60771839999999999</v>
      </c>
      <c r="U805">
        <v>0.59640855000000004</v>
      </c>
      <c r="V805">
        <v>0.56613119999999995</v>
      </c>
      <c r="W805">
        <v>0.54391575000000003</v>
      </c>
      <c r="X805">
        <v>0.54777014999999996</v>
      </c>
      <c r="Y805">
        <v>0.52113960000000004</v>
      </c>
      <c r="Z805">
        <v>0.43901279999999998</v>
      </c>
      <c r="AA805">
        <v>0.4042269</v>
      </c>
      <c r="AB805">
        <v>0.36877680000000002</v>
      </c>
    </row>
    <row r="806" spans="1:28" hidden="1" x14ac:dyDescent="0.25">
      <c r="A806" t="s">
        <v>7</v>
      </c>
      <c r="B806" t="s">
        <v>63</v>
      </c>
      <c r="C806">
        <v>110</v>
      </c>
      <c r="D806" t="s">
        <v>2</v>
      </c>
      <c r="E806">
        <v>6.0921067999999998</v>
      </c>
      <c r="F806">
        <v>5.9513699999999998</v>
      </c>
      <c r="G806">
        <v>5.9576345999999996</v>
      </c>
      <c r="H806">
        <v>5.4929904000000001</v>
      </c>
      <c r="I806">
        <v>5.7778720999999997</v>
      </c>
      <c r="J806">
        <v>6.1503104500000001</v>
      </c>
      <c r="K806">
        <v>6.5264129999999998</v>
      </c>
      <c r="L806">
        <v>7.1231752500000001</v>
      </c>
      <c r="M806">
        <v>7.1908152000000003</v>
      </c>
      <c r="N806">
        <v>7.1652249000000001</v>
      </c>
      <c r="O806">
        <v>7.4315787499999999</v>
      </c>
      <c r="P806">
        <v>7.6448706499999997</v>
      </c>
      <c r="Q806">
        <v>7.8930020000000001</v>
      </c>
      <c r="R806">
        <v>7.82607125</v>
      </c>
      <c r="S806">
        <v>7.9743630000000003</v>
      </c>
      <c r="T806">
        <v>7.9539932000000002</v>
      </c>
      <c r="U806">
        <v>7.8896135999999997</v>
      </c>
      <c r="V806">
        <v>7.8585664</v>
      </c>
      <c r="W806">
        <v>8.2975907499999995</v>
      </c>
      <c r="X806">
        <v>9.2051795999999992</v>
      </c>
      <c r="Y806">
        <v>9.2110502000000007</v>
      </c>
      <c r="Z806">
        <v>8.2948032000000005</v>
      </c>
      <c r="AA806">
        <v>7.6828817999999997</v>
      </c>
      <c r="AB806">
        <v>7.0928864999999996</v>
      </c>
    </row>
    <row r="807" spans="1:28" hidden="1" x14ac:dyDescent="0.25">
      <c r="A807" t="s">
        <v>7</v>
      </c>
      <c r="B807" t="s">
        <v>63</v>
      </c>
      <c r="C807">
        <v>110</v>
      </c>
      <c r="D807" t="s">
        <v>3</v>
      </c>
      <c r="E807">
        <v>2.6590878671999998</v>
      </c>
      <c r="F807">
        <v>2.6631239841999998</v>
      </c>
      <c r="G807">
        <v>2.6597964333999999</v>
      </c>
      <c r="H807">
        <v>2.4824821088000002</v>
      </c>
      <c r="I807">
        <v>2.6370181408</v>
      </c>
      <c r="J807">
        <v>2.7349499899</v>
      </c>
      <c r="K807">
        <v>2.6421861153999999</v>
      </c>
      <c r="L807">
        <v>2.7609437889000001</v>
      </c>
      <c r="M807">
        <v>3.0585034018999999</v>
      </c>
      <c r="N807">
        <v>3.18267539</v>
      </c>
      <c r="O807">
        <v>3.3154360340000002</v>
      </c>
      <c r="P807">
        <v>3.4715181024000001</v>
      </c>
      <c r="Q807">
        <v>3.5747471569</v>
      </c>
      <c r="R807">
        <v>3.5795547785999999</v>
      </c>
      <c r="S807">
        <v>3.6473817156999999</v>
      </c>
      <c r="T807">
        <v>3.7073531863999998</v>
      </c>
      <c r="U807">
        <v>3.6173289758</v>
      </c>
      <c r="V807">
        <v>3.6352014447999998</v>
      </c>
      <c r="W807">
        <v>3.7778351802999999</v>
      </c>
      <c r="X807">
        <v>3.5444440675000002</v>
      </c>
      <c r="Y807">
        <v>3.2272577770000002</v>
      </c>
      <c r="Z807">
        <v>2.9042620886999999</v>
      </c>
      <c r="AA807">
        <v>2.8755661212999999</v>
      </c>
      <c r="AB807">
        <v>2.8565380422</v>
      </c>
    </row>
    <row r="808" spans="1:28" hidden="1" x14ac:dyDescent="0.25">
      <c r="A808" t="s">
        <v>7</v>
      </c>
      <c r="B808" t="s">
        <v>63</v>
      </c>
      <c r="C808">
        <v>110</v>
      </c>
      <c r="D808" t="s">
        <v>4</v>
      </c>
      <c r="E808">
        <v>9.27732E-2</v>
      </c>
      <c r="F808">
        <v>9.0630000000000002E-2</v>
      </c>
      <c r="G808">
        <v>9.0725399999999998E-2</v>
      </c>
      <c r="H808">
        <v>8.3649600000000005E-2</v>
      </c>
      <c r="I808">
        <v>8.7987899999999994E-2</v>
      </c>
      <c r="J808">
        <v>9.3659549999999994E-2</v>
      </c>
      <c r="K808">
        <v>9.9387000000000003E-2</v>
      </c>
      <c r="L808">
        <v>0.10847474999999999</v>
      </c>
      <c r="M808">
        <v>0.1095048</v>
      </c>
      <c r="N808">
        <v>0.10911510000000001</v>
      </c>
      <c r="O808">
        <v>0.11317125</v>
      </c>
      <c r="P808">
        <v>0.11641935</v>
      </c>
      <c r="Q808">
        <v>0.120198</v>
      </c>
      <c r="R808">
        <v>0.11917875</v>
      </c>
      <c r="S808">
        <v>0.121437</v>
      </c>
      <c r="T808">
        <v>0.12112680000000001</v>
      </c>
      <c r="U808">
        <v>0.1201464</v>
      </c>
      <c r="V808">
        <v>0.1196736</v>
      </c>
      <c r="W808">
        <v>0.12635925000000001</v>
      </c>
      <c r="X808">
        <v>0.14018040000000001</v>
      </c>
      <c r="Y808">
        <v>0.1402698</v>
      </c>
      <c r="Z808">
        <v>0.12631680000000001</v>
      </c>
      <c r="AA808">
        <v>0.1169982</v>
      </c>
      <c r="AB808">
        <v>0.1080135</v>
      </c>
    </row>
    <row r="809" spans="1:28" hidden="1" x14ac:dyDescent="0.25">
      <c r="A809" t="s">
        <v>7</v>
      </c>
      <c r="B809" t="s">
        <v>64</v>
      </c>
      <c r="C809">
        <v>44</v>
      </c>
      <c r="D809" t="s">
        <v>2</v>
      </c>
      <c r="E809">
        <v>2.5492376000000001</v>
      </c>
      <c r="F809">
        <v>2.534125</v>
      </c>
      <c r="G809">
        <v>2.6198147999999999</v>
      </c>
      <c r="H809">
        <v>2.5676093999999998</v>
      </c>
      <c r="I809">
        <v>2.5245220000000002</v>
      </c>
      <c r="J809">
        <v>2.5988142999999999</v>
      </c>
      <c r="K809">
        <v>2.7255351000000001</v>
      </c>
      <c r="L809">
        <v>2.8437975</v>
      </c>
      <c r="M809">
        <v>2.8536624000000002</v>
      </c>
      <c r="N809">
        <v>2.8747113999999998</v>
      </c>
      <c r="O809">
        <v>2.7852579999999998</v>
      </c>
      <c r="P809">
        <v>2.7389793</v>
      </c>
      <c r="Q809">
        <v>2.7503768000000002</v>
      </c>
      <c r="R809">
        <v>2.810575</v>
      </c>
      <c r="S809">
        <v>2.8624215</v>
      </c>
      <c r="T809">
        <v>2.7557312</v>
      </c>
      <c r="U809">
        <v>2.7664011999999998</v>
      </c>
      <c r="V809">
        <v>2.8985151999999998</v>
      </c>
      <c r="W809">
        <v>3.114379</v>
      </c>
      <c r="X809">
        <v>3.2187315999999999</v>
      </c>
      <c r="Y809">
        <v>3.2362304000000002</v>
      </c>
      <c r="Z809">
        <v>2.8963424</v>
      </c>
      <c r="AA809">
        <v>2.7733463999999999</v>
      </c>
      <c r="AB809">
        <v>2.7279504000000001</v>
      </c>
    </row>
    <row r="810" spans="1:28" hidden="1" x14ac:dyDescent="0.25">
      <c r="A810" t="s">
        <v>7</v>
      </c>
      <c r="B810" t="s">
        <v>64</v>
      </c>
      <c r="C810">
        <v>44</v>
      </c>
      <c r="D810" t="s">
        <v>3</v>
      </c>
      <c r="E810">
        <v>1.0924923375</v>
      </c>
      <c r="F810">
        <v>0.78836428089999999</v>
      </c>
      <c r="G810">
        <v>1.0017093311</v>
      </c>
      <c r="H810">
        <v>1.0430641173999999</v>
      </c>
      <c r="I810">
        <v>0.88699541739999999</v>
      </c>
      <c r="J810">
        <v>0.78570205230000001</v>
      </c>
      <c r="K810">
        <v>0.86310819920000004</v>
      </c>
      <c r="L810">
        <v>0.87828110770000001</v>
      </c>
      <c r="M810">
        <v>0.63892268539999997</v>
      </c>
      <c r="N810">
        <v>0.98814839860000003</v>
      </c>
      <c r="O810">
        <v>1.0009959719999999</v>
      </c>
      <c r="P810">
        <v>0.86496747220000003</v>
      </c>
      <c r="Q810">
        <v>0.91682414879999996</v>
      </c>
      <c r="R810">
        <v>1.0487457626000001</v>
      </c>
      <c r="S810">
        <v>1.0842454232000001</v>
      </c>
      <c r="T810">
        <v>1.1022639989</v>
      </c>
      <c r="U810">
        <v>1.1460463132000001</v>
      </c>
      <c r="V810">
        <v>1.1593761230999999</v>
      </c>
      <c r="W810">
        <v>1.311273774</v>
      </c>
      <c r="X810">
        <v>1.0873562076000001</v>
      </c>
      <c r="Y810">
        <v>0.97474603039999996</v>
      </c>
      <c r="Z810">
        <v>0.92833880589999995</v>
      </c>
      <c r="AA810">
        <v>0.95473559760000004</v>
      </c>
      <c r="AB810">
        <v>0.94238476930000004</v>
      </c>
    </row>
    <row r="811" spans="1:28" hidden="1" x14ac:dyDescent="0.25">
      <c r="A811" t="s">
        <v>7</v>
      </c>
      <c r="B811" t="s">
        <v>64</v>
      </c>
      <c r="C811">
        <v>44</v>
      </c>
      <c r="D811" t="s">
        <v>4</v>
      </c>
      <c r="E811">
        <v>7.8842400000000007E-2</v>
      </c>
      <c r="F811">
        <v>7.8375E-2</v>
      </c>
      <c r="G811">
        <v>8.1025200000000006E-2</v>
      </c>
      <c r="H811">
        <v>7.9410599999999998E-2</v>
      </c>
      <c r="I811">
        <v>7.8077999999999995E-2</v>
      </c>
      <c r="J811">
        <v>8.0375699999999994E-2</v>
      </c>
      <c r="K811">
        <v>8.4294900000000006E-2</v>
      </c>
      <c r="L811">
        <v>8.7952500000000003E-2</v>
      </c>
      <c r="M811">
        <v>8.8257600000000005E-2</v>
      </c>
      <c r="N811">
        <v>8.8908600000000004E-2</v>
      </c>
      <c r="O811">
        <v>8.6141999999999996E-2</v>
      </c>
      <c r="P811">
        <v>8.47107E-2</v>
      </c>
      <c r="Q811">
        <v>8.5063200000000005E-2</v>
      </c>
      <c r="R811">
        <v>8.6925000000000002E-2</v>
      </c>
      <c r="S811">
        <v>8.8528499999999996E-2</v>
      </c>
      <c r="T811">
        <v>8.5228799999999993E-2</v>
      </c>
      <c r="U811">
        <v>8.5558800000000004E-2</v>
      </c>
      <c r="V811">
        <v>8.9644799999999997E-2</v>
      </c>
      <c r="W811">
        <v>9.6321000000000004E-2</v>
      </c>
      <c r="X811">
        <v>9.9548399999999995E-2</v>
      </c>
      <c r="Y811">
        <v>0.1000896</v>
      </c>
      <c r="Z811">
        <v>8.9577599999999993E-2</v>
      </c>
      <c r="AA811">
        <v>8.5773600000000005E-2</v>
      </c>
      <c r="AB811">
        <v>8.4369600000000003E-2</v>
      </c>
    </row>
    <row r="812" spans="1:28" hidden="1" x14ac:dyDescent="0.25">
      <c r="A812" t="s">
        <v>7</v>
      </c>
      <c r="B812" t="s">
        <v>65</v>
      </c>
      <c r="C812">
        <v>110</v>
      </c>
      <c r="D812" t="s">
        <v>2</v>
      </c>
      <c r="E812">
        <v>19.775017600000002</v>
      </c>
      <c r="F812">
        <v>18.209695</v>
      </c>
      <c r="G812">
        <v>18.397475400000001</v>
      </c>
      <c r="H812">
        <v>17.5715957</v>
      </c>
      <c r="I812">
        <v>18.82021125</v>
      </c>
      <c r="J812">
        <v>22.707671349999998</v>
      </c>
      <c r="K812">
        <v>27.794802350000001</v>
      </c>
      <c r="L812">
        <v>33.1644772</v>
      </c>
      <c r="M812">
        <v>39.281169599999998</v>
      </c>
      <c r="N812">
        <v>43.326564599999998</v>
      </c>
      <c r="O812">
        <v>46.508695750000001</v>
      </c>
      <c r="P812">
        <v>49.501677350000001</v>
      </c>
      <c r="Q812">
        <v>50.105383850000003</v>
      </c>
      <c r="R812">
        <v>50.336208749999997</v>
      </c>
      <c r="S812">
        <v>50.920264500000002</v>
      </c>
      <c r="T812">
        <v>51.921477600000003</v>
      </c>
      <c r="U812">
        <v>51.910071299999998</v>
      </c>
      <c r="V812">
        <v>50.689203200000001</v>
      </c>
      <c r="W812">
        <v>53.812076750000003</v>
      </c>
      <c r="X812">
        <v>49.044263049999998</v>
      </c>
      <c r="Y812">
        <v>40.999442999999999</v>
      </c>
      <c r="Z812">
        <v>31.241047999999999</v>
      </c>
      <c r="AA812">
        <v>26.939493899999999</v>
      </c>
      <c r="AB812">
        <v>24.238683000000002</v>
      </c>
    </row>
    <row r="813" spans="1:28" hidden="1" x14ac:dyDescent="0.25">
      <c r="A813" t="s">
        <v>7</v>
      </c>
      <c r="B813" t="s">
        <v>65</v>
      </c>
      <c r="C813">
        <v>110</v>
      </c>
      <c r="D813" t="s">
        <v>3</v>
      </c>
      <c r="E813">
        <v>5.7231341051999998</v>
      </c>
      <c r="F813">
        <v>5.3547761206000004</v>
      </c>
      <c r="G813">
        <v>5.5266561862000003</v>
      </c>
      <c r="H813">
        <v>5.3091231968999999</v>
      </c>
      <c r="I813">
        <v>5.6906423538000004</v>
      </c>
      <c r="J813">
        <v>6.4353453135000001</v>
      </c>
      <c r="K813">
        <v>6.7904397206000002</v>
      </c>
      <c r="L813">
        <v>8.1215154736000006</v>
      </c>
      <c r="M813">
        <v>10.2101880347</v>
      </c>
      <c r="N813">
        <v>11.9526147851</v>
      </c>
      <c r="O813">
        <v>13.3218488727</v>
      </c>
      <c r="P813">
        <v>14.7368128362</v>
      </c>
      <c r="Q813">
        <v>15.3981974569</v>
      </c>
      <c r="R813">
        <v>15.341216134</v>
      </c>
      <c r="S813">
        <v>15.6163475862</v>
      </c>
      <c r="T813">
        <v>16.125875753599999</v>
      </c>
      <c r="U813">
        <v>16.292461942500001</v>
      </c>
      <c r="V813">
        <v>15.866470938599999</v>
      </c>
      <c r="W813">
        <v>16.1897641471</v>
      </c>
      <c r="X813">
        <v>13.2417662982</v>
      </c>
      <c r="Y813">
        <v>10.7435199963</v>
      </c>
      <c r="Z813">
        <v>8.3730607477000003</v>
      </c>
      <c r="AA813">
        <v>7.4318699409000004</v>
      </c>
      <c r="AB813">
        <v>6.8509675441000004</v>
      </c>
    </row>
    <row r="814" spans="1:28" hidden="1" x14ac:dyDescent="0.25">
      <c r="A814" t="s">
        <v>7</v>
      </c>
      <c r="B814" t="s">
        <v>65</v>
      </c>
      <c r="C814">
        <v>110</v>
      </c>
      <c r="D814" t="s">
        <v>4</v>
      </c>
      <c r="E814">
        <v>0.30114239999999998</v>
      </c>
      <c r="F814">
        <v>0.27730500000000002</v>
      </c>
      <c r="G814">
        <v>0.28016459999999999</v>
      </c>
      <c r="H814">
        <v>0.26758775169999999</v>
      </c>
      <c r="I814">
        <v>0.2866022017</v>
      </c>
      <c r="J814">
        <v>0.34580210169999998</v>
      </c>
      <c r="K814">
        <v>0.42327110169999999</v>
      </c>
      <c r="L814">
        <v>0.50504280000000001</v>
      </c>
      <c r="M814">
        <v>0.59819040000000001</v>
      </c>
      <c r="N814">
        <v>0.65979540000000003</v>
      </c>
      <c r="O814">
        <v>0.70825424999999997</v>
      </c>
      <c r="P814">
        <v>0.75383264999999999</v>
      </c>
      <c r="Q814">
        <v>0.76302614999999996</v>
      </c>
      <c r="R814">
        <v>0.76654124999999995</v>
      </c>
      <c r="S814">
        <v>0.77543550000000006</v>
      </c>
      <c r="T814">
        <v>0.79068240000000001</v>
      </c>
      <c r="U814">
        <v>0.79050869999999995</v>
      </c>
      <c r="V814">
        <v>0.77191679999999996</v>
      </c>
      <c r="W814">
        <v>0.81947325000000004</v>
      </c>
      <c r="X814">
        <v>0.74686695000000003</v>
      </c>
      <c r="Y814">
        <v>0.62435700000000005</v>
      </c>
      <c r="Z814">
        <v>0.47575200000000001</v>
      </c>
      <c r="AA814">
        <v>0.4102461</v>
      </c>
      <c r="AB814">
        <v>0.36911699999999997</v>
      </c>
    </row>
    <row r="815" spans="1:28" hidden="1" x14ac:dyDescent="0.25">
      <c r="A815" t="s">
        <v>7</v>
      </c>
      <c r="B815" t="s">
        <v>66</v>
      </c>
      <c r="C815">
        <v>110</v>
      </c>
      <c r="D815" t="s">
        <v>2</v>
      </c>
      <c r="E815">
        <v>3.6007660000000001</v>
      </c>
      <c r="F815">
        <v>3.6400674999999998</v>
      </c>
      <c r="G815">
        <v>3.7375726500000002</v>
      </c>
      <c r="H815">
        <v>3.6836438999999999</v>
      </c>
      <c r="I815">
        <v>3.9242203</v>
      </c>
      <c r="J815">
        <v>5.2559205999999996</v>
      </c>
      <c r="K815">
        <v>7.1911402500000001</v>
      </c>
      <c r="L815">
        <v>8.1371047000000001</v>
      </c>
      <c r="M815">
        <v>7.9420944000000002</v>
      </c>
      <c r="N815">
        <v>7.0255519</v>
      </c>
      <c r="O815">
        <v>6.6234847500000003</v>
      </c>
      <c r="P815">
        <v>6.5961707000000001</v>
      </c>
      <c r="Q815">
        <v>7.1947748999999996</v>
      </c>
      <c r="R815">
        <v>6.7745837499999997</v>
      </c>
      <c r="S815">
        <v>6.1938277499999996</v>
      </c>
      <c r="T815">
        <v>6.3875279999999997</v>
      </c>
      <c r="U815">
        <v>6.5597355500000001</v>
      </c>
      <c r="V815">
        <v>6.669632</v>
      </c>
      <c r="W815">
        <v>7.9226504999999996</v>
      </c>
      <c r="X815">
        <v>8.9550388499999993</v>
      </c>
      <c r="Y815">
        <v>8.4368795999999993</v>
      </c>
      <c r="Z815">
        <v>6.5734959999999996</v>
      </c>
      <c r="AA815">
        <v>5.4471879000000003</v>
      </c>
      <c r="AB815">
        <v>4.3339211999999998</v>
      </c>
    </row>
    <row r="816" spans="1:28" hidden="1" x14ac:dyDescent="0.25">
      <c r="A816" t="s">
        <v>7</v>
      </c>
      <c r="B816" t="s">
        <v>66</v>
      </c>
      <c r="C816">
        <v>110</v>
      </c>
      <c r="D816" t="s">
        <v>3</v>
      </c>
      <c r="E816">
        <v>1.2333810026000001</v>
      </c>
      <c r="F816">
        <v>1.5749217263999999</v>
      </c>
      <c r="G816">
        <v>1.6405975364000001</v>
      </c>
      <c r="H816">
        <v>1.6501996860000001</v>
      </c>
      <c r="I816">
        <v>1.8030980396</v>
      </c>
      <c r="J816">
        <v>2.4171208215000002</v>
      </c>
      <c r="K816">
        <v>3.0670970355999998</v>
      </c>
      <c r="L816">
        <v>3.6242017115</v>
      </c>
      <c r="M816">
        <v>3.8579966627000002</v>
      </c>
      <c r="N816">
        <v>3.0980067674999998</v>
      </c>
      <c r="O816">
        <v>3.1548061101</v>
      </c>
      <c r="P816">
        <v>3.438483749</v>
      </c>
      <c r="Q816">
        <v>3.2402098965000001</v>
      </c>
      <c r="R816">
        <v>2.9087855381000001</v>
      </c>
      <c r="S816">
        <v>2.4465933414999999</v>
      </c>
      <c r="T816">
        <v>2.3411739309000001</v>
      </c>
      <c r="U816">
        <v>2.4400147816</v>
      </c>
      <c r="V816">
        <v>3.3608224583999999</v>
      </c>
      <c r="W816">
        <v>3.6913745815999999</v>
      </c>
      <c r="X816">
        <v>4.5239100104999999</v>
      </c>
      <c r="Y816">
        <v>3.8299368427</v>
      </c>
      <c r="Z816">
        <v>2.8733117520000002</v>
      </c>
      <c r="AA816">
        <v>2.7323762581</v>
      </c>
      <c r="AB816">
        <v>1.9338666441000001</v>
      </c>
    </row>
    <row r="817" spans="1:28" hidden="1" x14ac:dyDescent="0.25">
      <c r="A817" t="s">
        <v>7</v>
      </c>
      <c r="B817" t="s">
        <v>66</v>
      </c>
      <c r="C817">
        <v>110</v>
      </c>
      <c r="D817" t="s">
        <v>4</v>
      </c>
      <c r="E817">
        <v>5.4834000000000001E-2</v>
      </c>
      <c r="F817">
        <v>5.5432500000000003E-2</v>
      </c>
      <c r="G817">
        <v>5.6917349999999998E-2</v>
      </c>
      <c r="H817">
        <v>5.6096100000000003E-2</v>
      </c>
      <c r="I817">
        <v>5.9759699999999999E-2</v>
      </c>
      <c r="J817">
        <v>8.0039399999999997E-2</v>
      </c>
      <c r="K817">
        <v>0.10950975</v>
      </c>
      <c r="L817">
        <v>0.12391530000000001</v>
      </c>
      <c r="M817">
        <v>0.1209456</v>
      </c>
      <c r="N817">
        <v>0.1069881</v>
      </c>
      <c r="O817">
        <v>0.10086525</v>
      </c>
      <c r="P817">
        <v>0.10044930000000001</v>
      </c>
      <c r="Q817">
        <v>0.1095651</v>
      </c>
      <c r="R817">
        <v>0.10316625</v>
      </c>
      <c r="S817">
        <v>9.4322249999999996E-2</v>
      </c>
      <c r="T817">
        <v>9.7271999999999997E-2</v>
      </c>
      <c r="U817">
        <v>9.9894449999999996E-2</v>
      </c>
      <c r="V817">
        <v>0.10156800000000001</v>
      </c>
      <c r="W817">
        <v>0.12064950000000001</v>
      </c>
      <c r="X817">
        <v>0.13637115</v>
      </c>
      <c r="Y817">
        <v>0.12848039999999999</v>
      </c>
      <c r="Z817">
        <v>0.100104</v>
      </c>
      <c r="AA817">
        <v>8.2952100000000001E-2</v>
      </c>
      <c r="AB817">
        <v>6.5998799999999996E-2</v>
      </c>
    </row>
    <row r="818" spans="1:28" hidden="1" x14ac:dyDescent="0.25">
      <c r="A818" t="s">
        <v>7</v>
      </c>
      <c r="B818" t="s">
        <v>67</v>
      </c>
      <c r="C818">
        <v>110</v>
      </c>
      <c r="D818" t="s">
        <v>2</v>
      </c>
      <c r="E818">
        <v>2.1507277999999999</v>
      </c>
      <c r="F818">
        <v>2.1241525000000001</v>
      </c>
      <c r="G818">
        <v>2.3699395499999998</v>
      </c>
      <c r="H818">
        <v>2.3567898</v>
      </c>
      <c r="I818">
        <v>2.5044019</v>
      </c>
      <c r="J818">
        <v>2.63900215</v>
      </c>
      <c r="K818">
        <v>2.2721586</v>
      </c>
      <c r="L818">
        <v>2.1305353</v>
      </c>
      <c r="M818">
        <v>2.2001748000000001</v>
      </c>
      <c r="N818">
        <v>2.1509642000000002</v>
      </c>
      <c r="O818">
        <v>2.15010725</v>
      </c>
      <c r="P818">
        <v>2.2341868499999999</v>
      </c>
      <c r="Q818">
        <v>2.3830794499999999</v>
      </c>
      <c r="R818">
        <v>2.3282937499999998</v>
      </c>
      <c r="S818">
        <v>2.374047</v>
      </c>
      <c r="T818">
        <v>2.2052179999999999</v>
      </c>
      <c r="U818">
        <v>2.1517127999999999</v>
      </c>
      <c r="V818">
        <v>2.1748799999999999</v>
      </c>
      <c r="W818">
        <v>2.5756765000000001</v>
      </c>
      <c r="X818">
        <v>2.8182524500000001</v>
      </c>
      <c r="Y818">
        <v>2.6384998</v>
      </c>
      <c r="Z818">
        <v>2.2092367999999998</v>
      </c>
      <c r="AA818">
        <v>2.1615825000000002</v>
      </c>
      <c r="AB818">
        <v>2.1557906999999998</v>
      </c>
    </row>
    <row r="819" spans="1:28" hidden="1" x14ac:dyDescent="0.25">
      <c r="A819" t="s">
        <v>7</v>
      </c>
      <c r="B819" t="s">
        <v>67</v>
      </c>
      <c r="C819">
        <v>110</v>
      </c>
      <c r="D819" t="s">
        <v>3</v>
      </c>
      <c r="E819">
        <v>0.15020916349999999</v>
      </c>
      <c r="F819">
        <v>0.1737838978</v>
      </c>
      <c r="G819">
        <v>0.24310446960000001</v>
      </c>
      <c r="H819">
        <v>0.26835043009999998</v>
      </c>
      <c r="I819">
        <v>0.31443926210000001</v>
      </c>
      <c r="J819">
        <v>0.32982936660000001</v>
      </c>
      <c r="K819">
        <v>0.2217834843</v>
      </c>
      <c r="L819">
        <v>0.2086228644</v>
      </c>
      <c r="M819">
        <v>9.8960539099999995E-2</v>
      </c>
      <c r="N819">
        <v>7.5778641399999999E-2</v>
      </c>
      <c r="O819">
        <v>2.3554657900000001E-2</v>
      </c>
      <c r="P819">
        <v>6.5540545000000006E-2</v>
      </c>
      <c r="Q819">
        <v>0.1961409217</v>
      </c>
      <c r="R819">
        <v>0.16328078560000001</v>
      </c>
      <c r="S819">
        <v>0.16717006749999999</v>
      </c>
      <c r="T819">
        <v>0.1168118563</v>
      </c>
      <c r="U819">
        <v>0.13594861350000001</v>
      </c>
      <c r="V819">
        <v>0.2348568473</v>
      </c>
      <c r="W819">
        <v>0.29807870279999998</v>
      </c>
      <c r="X819">
        <v>0.33010362310000002</v>
      </c>
      <c r="Y819">
        <v>0.28591422179999998</v>
      </c>
      <c r="Z819">
        <v>0.23668615439999999</v>
      </c>
      <c r="AA819">
        <v>0.22597343880000001</v>
      </c>
      <c r="AB819">
        <v>0.226413685</v>
      </c>
    </row>
    <row r="820" spans="1:28" hidden="1" x14ac:dyDescent="0.25">
      <c r="A820" t="s">
        <v>7</v>
      </c>
      <c r="B820" t="s">
        <v>67</v>
      </c>
      <c r="C820">
        <v>110</v>
      </c>
      <c r="D820" t="s">
        <v>4</v>
      </c>
      <c r="E820">
        <v>3.2752200000000002E-2</v>
      </c>
      <c r="F820">
        <v>3.2347500000000001E-2</v>
      </c>
      <c r="G820">
        <v>3.6090450000000003E-2</v>
      </c>
      <c r="H820">
        <v>3.5890199999999997E-2</v>
      </c>
      <c r="I820">
        <v>3.8138100000000001E-2</v>
      </c>
      <c r="J820">
        <v>4.0187849999999997E-2</v>
      </c>
      <c r="K820">
        <v>3.4601399999999997E-2</v>
      </c>
      <c r="L820">
        <v>3.24447E-2</v>
      </c>
      <c r="M820">
        <v>3.3505199999999999E-2</v>
      </c>
      <c r="N820">
        <v>3.2755800000000002E-2</v>
      </c>
      <c r="O820">
        <v>3.2742750000000001E-2</v>
      </c>
      <c r="P820">
        <v>3.4023150000000002E-2</v>
      </c>
      <c r="Q820">
        <v>3.6290549999999998E-2</v>
      </c>
      <c r="R820">
        <v>3.5456250000000002E-2</v>
      </c>
      <c r="S820">
        <v>3.6152999999999998E-2</v>
      </c>
      <c r="T820">
        <v>3.3582000000000001E-2</v>
      </c>
      <c r="U820">
        <v>3.2767200000000003E-2</v>
      </c>
      <c r="V820">
        <v>3.3119999999999997E-2</v>
      </c>
      <c r="W820">
        <v>3.9223500000000001E-2</v>
      </c>
      <c r="X820">
        <v>4.2917549999999999E-2</v>
      </c>
      <c r="Y820">
        <v>4.0180199999999999E-2</v>
      </c>
      <c r="Z820">
        <v>3.3643199999999998E-2</v>
      </c>
      <c r="AA820">
        <v>3.2917500000000002E-2</v>
      </c>
      <c r="AB820">
        <v>3.2829299999999999E-2</v>
      </c>
    </row>
    <row r="821" spans="1:28" hidden="1" x14ac:dyDescent="0.25">
      <c r="A821" t="s">
        <v>7</v>
      </c>
      <c r="B821" t="s">
        <v>68</v>
      </c>
      <c r="C821">
        <v>110</v>
      </c>
      <c r="D821" t="s">
        <v>2</v>
      </c>
      <c r="E821">
        <v>3.1920304000000002</v>
      </c>
      <c r="F821">
        <v>2.8259650000000001</v>
      </c>
      <c r="G821">
        <v>2.96944995</v>
      </c>
      <c r="H821">
        <v>2.8021674000000001</v>
      </c>
      <c r="I821">
        <v>3.0466936499999999</v>
      </c>
      <c r="J821">
        <v>3.6879778999999999</v>
      </c>
      <c r="K821">
        <v>3.7466444999999999</v>
      </c>
      <c r="L821">
        <v>3.91453775</v>
      </c>
      <c r="M821">
        <v>3.6356546999999999</v>
      </c>
      <c r="N821">
        <v>4.4974705999999998</v>
      </c>
      <c r="O821">
        <v>4.5455287499999999</v>
      </c>
      <c r="P821">
        <v>4.8787345499999999</v>
      </c>
      <c r="Q821">
        <v>5.2215243999999998</v>
      </c>
      <c r="R821">
        <v>5.1522887500000003</v>
      </c>
      <c r="S821">
        <v>4.6872210000000001</v>
      </c>
      <c r="T821">
        <v>5.0035635999999997</v>
      </c>
      <c r="U821">
        <v>4.9459509500000003</v>
      </c>
      <c r="V821">
        <v>4.7412384000000003</v>
      </c>
      <c r="W821">
        <v>5.4447844999999999</v>
      </c>
      <c r="X821">
        <v>6.8371804999999997</v>
      </c>
      <c r="Y821">
        <v>6.7147449999999997</v>
      </c>
      <c r="Z821">
        <v>5.1503680000000003</v>
      </c>
      <c r="AA821">
        <v>4.1625902999999997</v>
      </c>
      <c r="AB821">
        <v>3.1164021000000002</v>
      </c>
    </row>
    <row r="822" spans="1:28" hidden="1" x14ac:dyDescent="0.25">
      <c r="A822" t="s">
        <v>7</v>
      </c>
      <c r="B822" t="s">
        <v>68</v>
      </c>
      <c r="C822">
        <v>110</v>
      </c>
      <c r="D822" t="s">
        <v>3</v>
      </c>
      <c r="E822">
        <v>1.5644574467000001</v>
      </c>
      <c r="F822">
        <v>1.1695105326999999</v>
      </c>
      <c r="G822">
        <v>1.5559279953</v>
      </c>
      <c r="H822">
        <v>1.2438501784</v>
      </c>
      <c r="I822">
        <v>1.3161862021999999</v>
      </c>
      <c r="J822">
        <v>1.6019292027000001</v>
      </c>
      <c r="K822">
        <v>1.8615491015000001</v>
      </c>
      <c r="L822">
        <v>1.9997296121999999</v>
      </c>
      <c r="M822">
        <v>1.6245345891</v>
      </c>
      <c r="N822">
        <v>1.9963759510000001</v>
      </c>
      <c r="O822">
        <v>2.0177084161000001</v>
      </c>
      <c r="P822">
        <v>2.0635965197999999</v>
      </c>
      <c r="Q822">
        <v>2.2243600795999998</v>
      </c>
      <c r="R822">
        <v>2.3022184389000002</v>
      </c>
      <c r="S822">
        <v>1.9825905353</v>
      </c>
      <c r="T822">
        <v>2.2062370948000001</v>
      </c>
      <c r="U822">
        <v>2.1218481013999999</v>
      </c>
      <c r="V822">
        <v>2.0623983852999999</v>
      </c>
      <c r="W822">
        <v>2.4329155216</v>
      </c>
      <c r="X822">
        <v>2.9198358780000002</v>
      </c>
      <c r="Y822">
        <v>2.5833586632999999</v>
      </c>
      <c r="Z822">
        <v>2.0796657231000002</v>
      </c>
      <c r="AA822">
        <v>1.9279300624</v>
      </c>
      <c r="AB822">
        <v>1.6736609391999999</v>
      </c>
    </row>
    <row r="823" spans="1:28" hidden="1" x14ac:dyDescent="0.25">
      <c r="A823" t="s">
        <v>7</v>
      </c>
      <c r="B823" t="s">
        <v>68</v>
      </c>
      <c r="C823">
        <v>110</v>
      </c>
      <c r="D823" t="s">
        <v>4</v>
      </c>
      <c r="E823">
        <v>4.8609600000000003E-2</v>
      </c>
      <c r="F823">
        <v>4.3034999999999997E-2</v>
      </c>
      <c r="G823">
        <v>4.5220049999999998E-2</v>
      </c>
      <c r="H823">
        <v>4.2672599999999998E-2</v>
      </c>
      <c r="I823">
        <v>4.6396350000000003E-2</v>
      </c>
      <c r="J823">
        <v>5.61621E-2</v>
      </c>
      <c r="K823">
        <v>5.7055500000000002E-2</v>
      </c>
      <c r="L823">
        <v>5.9612249999999999E-2</v>
      </c>
      <c r="M823">
        <v>5.5365299999999999E-2</v>
      </c>
      <c r="N823">
        <v>6.8489400000000006E-2</v>
      </c>
      <c r="O823">
        <v>6.9221249999999998E-2</v>
      </c>
      <c r="P823">
        <v>7.4295449999999999E-2</v>
      </c>
      <c r="Q823">
        <v>7.9515600000000006E-2</v>
      </c>
      <c r="R823">
        <v>7.8461249999999996E-2</v>
      </c>
      <c r="S823">
        <v>7.1378999999999998E-2</v>
      </c>
      <c r="T823">
        <v>7.6196399999999997E-2</v>
      </c>
      <c r="U823">
        <v>7.5319049999999999E-2</v>
      </c>
      <c r="V823">
        <v>7.2201600000000005E-2</v>
      </c>
      <c r="W823">
        <v>8.2915500000000003E-2</v>
      </c>
      <c r="X823">
        <v>0.1041195</v>
      </c>
      <c r="Y823">
        <v>0.102255</v>
      </c>
      <c r="Z823">
        <v>7.8432000000000002E-2</v>
      </c>
      <c r="AA823">
        <v>6.3389699999999993E-2</v>
      </c>
      <c r="AB823">
        <v>4.7457899999999997E-2</v>
      </c>
    </row>
    <row r="824" spans="1:28" hidden="1" x14ac:dyDescent="0.25">
      <c r="A824" t="s">
        <v>7</v>
      </c>
      <c r="B824" t="s">
        <v>69</v>
      </c>
      <c r="C824">
        <v>110</v>
      </c>
      <c r="D824" t="s">
        <v>2</v>
      </c>
      <c r="E824">
        <v>30.820610599999998</v>
      </c>
      <c r="F824">
        <v>30.655169999999998</v>
      </c>
      <c r="G824">
        <v>29.104356450000001</v>
      </c>
      <c r="H824">
        <v>28.819642200000001</v>
      </c>
      <c r="I824">
        <v>27.893515650000001</v>
      </c>
      <c r="J824">
        <v>29.536948750000001</v>
      </c>
      <c r="K824">
        <v>26.975840399999999</v>
      </c>
      <c r="L824">
        <v>26.862713150000001</v>
      </c>
      <c r="M824">
        <v>27.743667599999998</v>
      </c>
      <c r="N824">
        <v>28.563128500000001</v>
      </c>
      <c r="O824">
        <v>29.2356865</v>
      </c>
      <c r="P824">
        <v>30.503489850000001</v>
      </c>
      <c r="Q824">
        <v>30.160374950000001</v>
      </c>
      <c r="R824">
        <v>29.636926249999998</v>
      </c>
      <c r="S824">
        <v>31.471340999999999</v>
      </c>
      <c r="T824">
        <v>32.196182800000003</v>
      </c>
      <c r="U824">
        <v>32.111325049999998</v>
      </c>
      <c r="V824">
        <v>30.970291199999998</v>
      </c>
      <c r="W824">
        <v>34.331485499999999</v>
      </c>
      <c r="X824">
        <v>36.353788999999999</v>
      </c>
      <c r="Y824">
        <v>36.5124134</v>
      </c>
      <c r="Z824">
        <v>34.534572799999999</v>
      </c>
      <c r="AA824">
        <v>34.202411099999999</v>
      </c>
      <c r="AB824">
        <v>33.107583599999998</v>
      </c>
    </row>
    <row r="825" spans="1:28" hidden="1" x14ac:dyDescent="0.25">
      <c r="A825" t="s">
        <v>7</v>
      </c>
      <c r="B825" t="s">
        <v>69</v>
      </c>
      <c r="C825">
        <v>110</v>
      </c>
      <c r="D825" t="s">
        <v>3</v>
      </c>
      <c r="E825">
        <v>12.6717173319</v>
      </c>
      <c r="F825">
        <v>12.708064568699999</v>
      </c>
      <c r="G825">
        <v>11.9553492181</v>
      </c>
      <c r="H825">
        <v>11.903007713099999</v>
      </c>
      <c r="I825">
        <v>11.5333276613</v>
      </c>
      <c r="J825">
        <v>12.11214129</v>
      </c>
      <c r="K825">
        <v>10.9084819028</v>
      </c>
      <c r="L825">
        <v>10.8360372221</v>
      </c>
      <c r="M825">
        <v>11.636497856</v>
      </c>
      <c r="N825">
        <v>12.3017729685</v>
      </c>
      <c r="O825">
        <v>12.861538449499999</v>
      </c>
      <c r="P825">
        <v>13.7517213681</v>
      </c>
      <c r="Q825">
        <v>13.7159865028</v>
      </c>
      <c r="R825">
        <v>13.1292479507</v>
      </c>
      <c r="S825">
        <v>14.1852881099</v>
      </c>
      <c r="T825">
        <v>14.6952596226</v>
      </c>
      <c r="U825">
        <v>14.7731135993</v>
      </c>
      <c r="V825">
        <v>13.952191434</v>
      </c>
      <c r="W825">
        <v>15.161257966899999</v>
      </c>
      <c r="X825">
        <v>14.881749046199999</v>
      </c>
      <c r="Y825">
        <v>14.789796841299999</v>
      </c>
      <c r="Z825">
        <v>13.8727248189</v>
      </c>
      <c r="AA825">
        <v>13.709437256299999</v>
      </c>
      <c r="AB825">
        <v>13.5099924044</v>
      </c>
    </row>
    <row r="826" spans="1:28" hidden="1" x14ac:dyDescent="0.25">
      <c r="A826" t="s">
        <v>7</v>
      </c>
      <c r="B826" t="s">
        <v>69</v>
      </c>
      <c r="C826">
        <v>110</v>
      </c>
      <c r="D826" t="s">
        <v>4</v>
      </c>
      <c r="E826">
        <v>0.46934940000000003</v>
      </c>
      <c r="F826">
        <v>0.46683000000000002</v>
      </c>
      <c r="G826">
        <v>0.44321355000000001</v>
      </c>
      <c r="H826">
        <v>0.43887779999999998</v>
      </c>
      <c r="I826">
        <v>0.42477435000000002</v>
      </c>
      <c r="J826">
        <v>0.44980124999999999</v>
      </c>
      <c r="K826">
        <v>0.41079959999999999</v>
      </c>
      <c r="L826">
        <v>0.40907684999999999</v>
      </c>
      <c r="M826">
        <v>0.42249239999999999</v>
      </c>
      <c r="N826">
        <v>0.43497150000000001</v>
      </c>
      <c r="O826">
        <v>0.44521349999999998</v>
      </c>
      <c r="P826">
        <v>0.46452015000000002</v>
      </c>
      <c r="Q826">
        <v>0.45929504999999998</v>
      </c>
      <c r="R826">
        <v>0.45132375000000002</v>
      </c>
      <c r="S826">
        <v>0.47925899999999999</v>
      </c>
      <c r="T826">
        <v>0.49029719999999999</v>
      </c>
      <c r="U826">
        <v>0.48900494999999999</v>
      </c>
      <c r="V826">
        <v>0.47162880000000001</v>
      </c>
      <c r="W826">
        <v>0.52281449999999996</v>
      </c>
      <c r="X826">
        <v>0.55361099999999996</v>
      </c>
      <c r="Y826">
        <v>0.55602660000000004</v>
      </c>
      <c r="Z826">
        <v>0.52590720000000002</v>
      </c>
      <c r="AA826">
        <v>0.52084889999999995</v>
      </c>
      <c r="AB826">
        <v>0.50417639999999997</v>
      </c>
    </row>
    <row r="827" spans="1:28" hidden="1" x14ac:dyDescent="0.25">
      <c r="A827" t="s">
        <v>7</v>
      </c>
      <c r="B827" t="s">
        <v>70</v>
      </c>
      <c r="C827">
        <v>110</v>
      </c>
      <c r="D827" t="s">
        <v>2</v>
      </c>
      <c r="E827">
        <v>12.408045</v>
      </c>
      <c r="F827">
        <v>11.593942500000001</v>
      </c>
      <c r="G827">
        <v>11.34386085</v>
      </c>
      <c r="H827">
        <v>10.8746364</v>
      </c>
      <c r="I827">
        <v>10.97401305</v>
      </c>
      <c r="J827">
        <v>12.642918249999999</v>
      </c>
      <c r="K827">
        <v>14.563569749999999</v>
      </c>
      <c r="L827">
        <v>16.094525699999998</v>
      </c>
      <c r="M827">
        <v>17.708724</v>
      </c>
      <c r="N827">
        <v>19.442481600000001</v>
      </c>
      <c r="O827">
        <v>20.606397000000001</v>
      </c>
      <c r="P827">
        <v>21.56674245</v>
      </c>
      <c r="Q827">
        <v>21.462893900000001</v>
      </c>
      <c r="R827">
        <v>21.345196250000001</v>
      </c>
      <c r="S827">
        <v>21.83818875</v>
      </c>
      <c r="T827">
        <v>21.367802000000001</v>
      </c>
      <c r="U827">
        <v>21.113681849999999</v>
      </c>
      <c r="V827">
        <v>20.037894399999999</v>
      </c>
      <c r="W827">
        <v>22.463811499999998</v>
      </c>
      <c r="X827">
        <v>21.89565365</v>
      </c>
      <c r="Y827">
        <v>20.412824799999999</v>
      </c>
      <c r="Z827">
        <v>17.5654656</v>
      </c>
      <c r="AA827">
        <v>16.316859900000001</v>
      </c>
      <c r="AB827">
        <v>14.6772486</v>
      </c>
    </row>
    <row r="828" spans="1:28" hidden="1" x14ac:dyDescent="0.25">
      <c r="A828" t="s">
        <v>7</v>
      </c>
      <c r="B828" t="s">
        <v>70</v>
      </c>
      <c r="C828">
        <v>110</v>
      </c>
      <c r="D828" t="s">
        <v>3</v>
      </c>
      <c r="E828">
        <v>4.8069903266000003</v>
      </c>
      <c r="F828">
        <v>4.6858355124999997</v>
      </c>
      <c r="G828">
        <v>4.8856553216999998</v>
      </c>
      <c r="H828">
        <v>4.9009607591000002</v>
      </c>
      <c r="I828">
        <v>5.0040623408</v>
      </c>
      <c r="J828">
        <v>5.2716210155000001</v>
      </c>
      <c r="K828">
        <v>5.1646651451999999</v>
      </c>
      <c r="L828">
        <v>5.2780116901999996</v>
      </c>
      <c r="M828">
        <v>5.7543261363999996</v>
      </c>
      <c r="N828">
        <v>6.3170030061000002</v>
      </c>
      <c r="O828">
        <v>6.8617948827999999</v>
      </c>
      <c r="P828">
        <v>7.2027946987</v>
      </c>
      <c r="Q828">
        <v>7.1613313561999998</v>
      </c>
      <c r="R828">
        <v>7.0536270252</v>
      </c>
      <c r="S828">
        <v>7.3834860606000001</v>
      </c>
      <c r="T828">
        <v>7.2593302223</v>
      </c>
      <c r="U828">
        <v>7.4247687820000001</v>
      </c>
      <c r="V828">
        <v>7.0837244601</v>
      </c>
      <c r="W828">
        <v>7.9882425000000001</v>
      </c>
      <c r="X828">
        <v>6.9982221997999998</v>
      </c>
      <c r="Y828">
        <v>5.9212395982999997</v>
      </c>
      <c r="Z828">
        <v>5.3006403623000002</v>
      </c>
      <c r="AA828">
        <v>5.1032193163999997</v>
      </c>
      <c r="AB828">
        <v>5.1777419254000003</v>
      </c>
    </row>
    <row r="829" spans="1:28" hidden="1" x14ac:dyDescent="0.25">
      <c r="A829" t="s">
        <v>7</v>
      </c>
      <c r="B829" t="s">
        <v>70</v>
      </c>
      <c r="C829">
        <v>110</v>
      </c>
      <c r="D829" t="s">
        <v>4</v>
      </c>
      <c r="E829">
        <v>0.18895500000000001</v>
      </c>
      <c r="F829">
        <v>0.17655750000000001</v>
      </c>
      <c r="G829">
        <v>0.17274914999999999</v>
      </c>
      <c r="H829">
        <v>0.16560359999999999</v>
      </c>
      <c r="I829">
        <v>0.16711694999999999</v>
      </c>
      <c r="J829">
        <v>0.19253175</v>
      </c>
      <c r="K829">
        <v>0.22178025000000001</v>
      </c>
      <c r="L829">
        <v>0.24509429999999999</v>
      </c>
      <c r="M829">
        <v>0.26967600000000003</v>
      </c>
      <c r="N829">
        <v>0.29607840000000002</v>
      </c>
      <c r="O829">
        <v>0.313803</v>
      </c>
      <c r="P829">
        <v>0.32842755000000001</v>
      </c>
      <c r="Q829">
        <v>0.32684609999999997</v>
      </c>
      <c r="R829">
        <v>0.32505374999999997</v>
      </c>
      <c r="S829">
        <v>0.33256124999999997</v>
      </c>
      <c r="T829">
        <v>0.32539800000000002</v>
      </c>
      <c r="U829">
        <v>0.32152815000000001</v>
      </c>
      <c r="V829">
        <v>0.30514560000000002</v>
      </c>
      <c r="W829">
        <v>0.34208850000000002</v>
      </c>
      <c r="X829">
        <v>0.33343634999999999</v>
      </c>
      <c r="Y829">
        <v>0.3108552</v>
      </c>
      <c r="Z829">
        <v>0.26749440000000002</v>
      </c>
      <c r="AA829">
        <v>0.24848010000000001</v>
      </c>
      <c r="AB829">
        <v>0.2235114</v>
      </c>
    </row>
    <row r="830" spans="1:28" hidden="1" x14ac:dyDescent="0.25">
      <c r="A830" t="s">
        <v>7</v>
      </c>
      <c r="B830" t="s">
        <v>71</v>
      </c>
      <c r="C830">
        <v>110</v>
      </c>
      <c r="D830" t="s">
        <v>2</v>
      </c>
      <c r="E830">
        <v>9.5177004000000007</v>
      </c>
      <c r="F830">
        <v>9.1984224999999995</v>
      </c>
      <c r="G830">
        <v>9.2549417999999992</v>
      </c>
      <c r="H830">
        <v>9.4086017999999996</v>
      </c>
      <c r="I830">
        <v>10.32326295</v>
      </c>
      <c r="J830">
        <v>12.6981275</v>
      </c>
      <c r="K830">
        <v>16.219344899999999</v>
      </c>
      <c r="L830">
        <v>18.661435699999998</v>
      </c>
      <c r="M830">
        <v>18.768564300000001</v>
      </c>
      <c r="N830">
        <v>17.864176700000002</v>
      </c>
      <c r="O830">
        <v>16.060868249999999</v>
      </c>
      <c r="P830">
        <v>15.6241094</v>
      </c>
      <c r="Q830">
        <v>15.22438655</v>
      </c>
      <c r="R830">
        <v>14.720825</v>
      </c>
      <c r="S830">
        <v>14.792139000000001</v>
      </c>
      <c r="T830">
        <v>14.3263128</v>
      </c>
      <c r="U830">
        <v>14.8527953</v>
      </c>
      <c r="V830">
        <v>14.890678400000001</v>
      </c>
      <c r="W830">
        <v>18.339468750000002</v>
      </c>
      <c r="X830">
        <v>20.094640250000001</v>
      </c>
      <c r="Y830">
        <v>18.453699199999999</v>
      </c>
      <c r="Z830">
        <v>14.2041728</v>
      </c>
      <c r="AA830">
        <v>11.9566392</v>
      </c>
      <c r="AB830">
        <v>10.2427983</v>
      </c>
    </row>
    <row r="831" spans="1:28" hidden="1" x14ac:dyDescent="0.25">
      <c r="A831" t="s">
        <v>7</v>
      </c>
      <c r="B831" t="s">
        <v>71</v>
      </c>
      <c r="C831">
        <v>110</v>
      </c>
      <c r="D831" t="s">
        <v>3</v>
      </c>
      <c r="E831">
        <v>3.7247024775000002</v>
      </c>
      <c r="F831">
        <v>3.7920512972</v>
      </c>
      <c r="G831">
        <v>3.9464936333999998</v>
      </c>
      <c r="H831">
        <v>4.0482153124</v>
      </c>
      <c r="I831">
        <v>4.3555696086999998</v>
      </c>
      <c r="J831">
        <v>4.8282980800999997</v>
      </c>
      <c r="K831">
        <v>5.4724625788000001</v>
      </c>
      <c r="L831">
        <v>6.2206948892999998</v>
      </c>
      <c r="M831">
        <v>6.7790299296000001</v>
      </c>
      <c r="N831">
        <v>6.7931963806000004</v>
      </c>
      <c r="O831">
        <v>6.0243477752999999</v>
      </c>
      <c r="P831">
        <v>5.9985554863999999</v>
      </c>
      <c r="Q831">
        <v>6.0309413058999999</v>
      </c>
      <c r="R831">
        <v>6.0442334835000002</v>
      </c>
      <c r="S831">
        <v>6.1808418312000004</v>
      </c>
      <c r="T831">
        <v>6.2676482723999998</v>
      </c>
      <c r="U831">
        <v>6.6777288368000001</v>
      </c>
      <c r="V831">
        <v>6.6427117773999997</v>
      </c>
      <c r="W831">
        <v>7.5322715704999998</v>
      </c>
      <c r="X831">
        <v>6.9162793064999999</v>
      </c>
      <c r="Y831">
        <v>5.9354416433999999</v>
      </c>
      <c r="Z831">
        <v>4.6150385595000003</v>
      </c>
      <c r="AA831">
        <v>4.0271248613999999</v>
      </c>
      <c r="AB831">
        <v>3.7589428002999998</v>
      </c>
    </row>
    <row r="832" spans="1:28" hidden="1" x14ac:dyDescent="0.25">
      <c r="A832" t="s">
        <v>7</v>
      </c>
      <c r="B832" t="s">
        <v>71</v>
      </c>
      <c r="C832">
        <v>110</v>
      </c>
      <c r="D832" t="s">
        <v>4</v>
      </c>
      <c r="E832">
        <v>0.1449396</v>
      </c>
      <c r="F832">
        <v>0.14007749999999999</v>
      </c>
      <c r="G832">
        <v>0.14093820000000001</v>
      </c>
      <c r="H832">
        <v>0.14327819999999999</v>
      </c>
      <c r="I832">
        <v>0.15720704999999999</v>
      </c>
      <c r="J832">
        <v>0.1933725</v>
      </c>
      <c r="K832">
        <v>0.2469951</v>
      </c>
      <c r="L832">
        <v>0.2841843</v>
      </c>
      <c r="M832">
        <v>0.28581570000000001</v>
      </c>
      <c r="N832">
        <v>0.27204329999999999</v>
      </c>
      <c r="O832">
        <v>0.24458174999999999</v>
      </c>
      <c r="P832">
        <v>0.23793059999999999</v>
      </c>
      <c r="Q832">
        <v>0.23184345000000001</v>
      </c>
      <c r="R832">
        <v>0.22417500000000001</v>
      </c>
      <c r="S832">
        <v>0.22526099999999999</v>
      </c>
      <c r="T832">
        <v>0.21816720000000001</v>
      </c>
      <c r="U832">
        <v>0.22618469999999999</v>
      </c>
      <c r="V832">
        <v>0.22676160000000001</v>
      </c>
      <c r="W832">
        <v>0.27928124999999998</v>
      </c>
      <c r="X832">
        <v>0.30600975000000002</v>
      </c>
      <c r="Y832">
        <v>0.28102080000000002</v>
      </c>
      <c r="Z832">
        <v>0.21630720000000001</v>
      </c>
      <c r="AA832">
        <v>0.18208079999999999</v>
      </c>
      <c r="AB832">
        <v>0.1559817</v>
      </c>
    </row>
    <row r="833" spans="1:28" hidden="1" x14ac:dyDescent="0.25">
      <c r="A833" t="s">
        <v>7</v>
      </c>
      <c r="B833" t="s">
        <v>72</v>
      </c>
      <c r="C833">
        <v>110</v>
      </c>
      <c r="D833" t="s">
        <v>2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</row>
    <row r="834" spans="1:28" hidden="1" x14ac:dyDescent="0.25">
      <c r="A834" t="s">
        <v>7</v>
      </c>
      <c r="B834" t="s">
        <v>72</v>
      </c>
      <c r="C834">
        <v>110</v>
      </c>
      <c r="D834" t="s">
        <v>3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</row>
    <row r="835" spans="1:28" hidden="1" x14ac:dyDescent="0.25">
      <c r="A835" t="s">
        <v>7</v>
      </c>
      <c r="B835" t="s">
        <v>72</v>
      </c>
      <c r="C835">
        <v>110</v>
      </c>
      <c r="D835" t="s">
        <v>4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</row>
    <row r="836" spans="1:28" hidden="1" x14ac:dyDescent="0.25">
      <c r="A836" t="s">
        <v>7</v>
      </c>
      <c r="B836" t="s">
        <v>73</v>
      </c>
      <c r="C836">
        <v>110</v>
      </c>
      <c r="D836" t="s">
        <v>2</v>
      </c>
      <c r="E836">
        <v>42.343061800000001</v>
      </c>
      <c r="F836">
        <v>37.663937500000003</v>
      </c>
      <c r="G836">
        <v>36.691909950000003</v>
      </c>
      <c r="H836">
        <v>36.947783399999999</v>
      </c>
      <c r="I836">
        <v>38.5914529</v>
      </c>
      <c r="J836">
        <v>47.910587149999998</v>
      </c>
      <c r="K836">
        <v>54.821869200000002</v>
      </c>
      <c r="L836">
        <v>54.482664749999998</v>
      </c>
      <c r="M836">
        <v>55.581245099999997</v>
      </c>
      <c r="N836">
        <v>56.846910999999999</v>
      </c>
      <c r="O836">
        <v>60.0009795</v>
      </c>
      <c r="P836">
        <v>64.548241849999997</v>
      </c>
      <c r="Q836">
        <v>64.9047626001</v>
      </c>
      <c r="R836">
        <v>64.531289999999998</v>
      </c>
      <c r="S836">
        <v>66.229823999999994</v>
      </c>
      <c r="T836">
        <v>65.715496400000006</v>
      </c>
      <c r="U836">
        <v>64.476671749999994</v>
      </c>
      <c r="V836">
        <v>64.506940799999995</v>
      </c>
      <c r="W836">
        <v>75.4118955</v>
      </c>
      <c r="X836">
        <v>81.028926949999999</v>
      </c>
      <c r="Y836">
        <v>79.060197599999995</v>
      </c>
      <c r="Z836">
        <v>67.632463999999999</v>
      </c>
      <c r="AA836">
        <v>60.7342923</v>
      </c>
      <c r="AB836">
        <v>53.191063800000002</v>
      </c>
    </row>
    <row r="837" spans="1:28" hidden="1" x14ac:dyDescent="0.25">
      <c r="A837" t="s">
        <v>7</v>
      </c>
      <c r="B837" t="s">
        <v>73</v>
      </c>
      <c r="C837">
        <v>110</v>
      </c>
      <c r="D837" t="s">
        <v>3</v>
      </c>
      <c r="E837">
        <v>19.3856884082</v>
      </c>
      <c r="F837">
        <v>18.514764898799999</v>
      </c>
      <c r="G837">
        <v>19.0531938325</v>
      </c>
      <c r="H837">
        <v>19.212521846800001</v>
      </c>
      <c r="I837">
        <v>19.852133012500001</v>
      </c>
      <c r="J837">
        <v>22.080584941200001</v>
      </c>
      <c r="K837">
        <v>22.887072630399999</v>
      </c>
      <c r="L837">
        <v>23.2308640655</v>
      </c>
      <c r="M837">
        <v>24.7046682111</v>
      </c>
      <c r="N837">
        <v>26.414367582699999</v>
      </c>
      <c r="O837">
        <v>27.494318719300001</v>
      </c>
      <c r="P837">
        <v>29.018615171899999</v>
      </c>
      <c r="Q837">
        <v>29.796031337399999</v>
      </c>
      <c r="R837">
        <v>30.055693181399999</v>
      </c>
      <c r="S837">
        <v>31.2312954117</v>
      </c>
      <c r="T837">
        <v>31.257555063600002</v>
      </c>
      <c r="U837">
        <v>30.493218755899999</v>
      </c>
      <c r="V837">
        <v>30.6421799152</v>
      </c>
      <c r="W837">
        <v>35.828728846600001</v>
      </c>
      <c r="X837">
        <v>34.907831809000001</v>
      </c>
      <c r="Y837">
        <v>32.122262217299998</v>
      </c>
      <c r="Z837">
        <v>27.3974479042</v>
      </c>
      <c r="AA837">
        <v>24.770312091000001</v>
      </c>
      <c r="AB837">
        <v>22.638447458000002</v>
      </c>
    </row>
    <row r="838" spans="1:28" hidden="1" x14ac:dyDescent="0.25">
      <c r="A838" t="s">
        <v>7</v>
      </c>
      <c r="B838" t="s">
        <v>73</v>
      </c>
      <c r="C838">
        <v>110</v>
      </c>
      <c r="D838" t="s">
        <v>4</v>
      </c>
      <c r="E838">
        <v>0.64481820000000001</v>
      </c>
      <c r="F838">
        <v>0.57356249999999998</v>
      </c>
      <c r="G838">
        <v>0.55876004999999995</v>
      </c>
      <c r="H838">
        <v>0.56265659999999995</v>
      </c>
      <c r="I838">
        <v>0.58768710000000002</v>
      </c>
      <c r="J838">
        <v>0.72960285000000002</v>
      </c>
      <c r="K838">
        <v>0.8348508</v>
      </c>
      <c r="L838">
        <v>0.82968525000000004</v>
      </c>
      <c r="M838">
        <v>0.84641489999999997</v>
      </c>
      <c r="N838">
        <v>0.86568900000000004</v>
      </c>
      <c r="O838">
        <v>0.91372050000000005</v>
      </c>
      <c r="P838">
        <v>0.98296815000000004</v>
      </c>
      <c r="Q838">
        <v>0.98839739989999997</v>
      </c>
      <c r="R838">
        <v>0.98270999999999997</v>
      </c>
      <c r="S838">
        <v>1.0085759999999999</v>
      </c>
      <c r="T838">
        <v>1.0007436000000001</v>
      </c>
      <c r="U838">
        <v>0.98187824999999995</v>
      </c>
      <c r="V838">
        <v>0.98233919999999997</v>
      </c>
      <c r="W838">
        <v>1.1484045000000001</v>
      </c>
      <c r="X838">
        <v>1.2339430499999999</v>
      </c>
      <c r="Y838">
        <v>1.2039624</v>
      </c>
      <c r="Z838">
        <v>1.029936</v>
      </c>
      <c r="AA838">
        <v>0.92488769999999998</v>
      </c>
      <c r="AB838">
        <v>0.81001619999999996</v>
      </c>
    </row>
    <row r="839" spans="1:28" hidden="1" x14ac:dyDescent="0.25">
      <c r="A839" t="s">
        <v>74</v>
      </c>
      <c r="B839" t="s">
        <v>75</v>
      </c>
      <c r="C839">
        <v>110</v>
      </c>
      <c r="D839" t="s">
        <v>2</v>
      </c>
      <c r="E839">
        <v>4.0929133699999998</v>
      </c>
      <c r="F839">
        <v>4.2379427999999999</v>
      </c>
      <c r="G839">
        <v>4.3006774500000002</v>
      </c>
      <c r="H839">
        <v>4.2115132800000001</v>
      </c>
      <c r="I839">
        <v>4.2321736550000004</v>
      </c>
      <c r="J839">
        <v>4.46052128</v>
      </c>
      <c r="K839">
        <v>4.1808049199999999</v>
      </c>
      <c r="L839">
        <v>4.2874094999999999</v>
      </c>
      <c r="M839">
        <v>4.6281998</v>
      </c>
      <c r="N839">
        <v>4.8663373400000003</v>
      </c>
      <c r="O839">
        <v>4.9488970849999996</v>
      </c>
      <c r="P839">
        <v>4.5642437500000002</v>
      </c>
      <c r="Q839">
        <v>4.4445918600000001</v>
      </c>
      <c r="R839">
        <v>4.3322388199999997</v>
      </c>
      <c r="S839">
        <v>4.1580238400000002</v>
      </c>
      <c r="T839">
        <v>4.3398154399999997</v>
      </c>
      <c r="U839">
        <v>4.590020215</v>
      </c>
      <c r="V839">
        <v>4.1942560799999997</v>
      </c>
      <c r="W839">
        <v>4.3962155550000004</v>
      </c>
      <c r="X839">
        <v>4.7203761000000002</v>
      </c>
      <c r="Y839">
        <v>4.5090187400000001</v>
      </c>
      <c r="Z839">
        <v>4.1224692799999998</v>
      </c>
      <c r="AA839">
        <v>3.83674245</v>
      </c>
      <c r="AB839">
        <v>3.74488332</v>
      </c>
    </row>
    <row r="840" spans="1:28" hidden="1" x14ac:dyDescent="0.25">
      <c r="A840" t="s">
        <v>74</v>
      </c>
      <c r="B840" t="s">
        <v>75</v>
      </c>
      <c r="C840">
        <v>110</v>
      </c>
      <c r="D840" t="s">
        <v>3</v>
      </c>
      <c r="E840">
        <v>1.796451963</v>
      </c>
      <c r="F840">
        <v>1.8689004197000001</v>
      </c>
      <c r="G840">
        <v>1.876907302</v>
      </c>
      <c r="H840">
        <v>1.8541270526</v>
      </c>
      <c r="I840">
        <v>1.8423472186000001</v>
      </c>
      <c r="J840">
        <v>1.9185484028999999</v>
      </c>
      <c r="K840">
        <v>1.8206082944999999</v>
      </c>
      <c r="L840">
        <v>1.8829645915</v>
      </c>
      <c r="M840">
        <v>2.1094788750000002</v>
      </c>
      <c r="N840">
        <v>2.1698639446999999</v>
      </c>
      <c r="O840">
        <v>2.2148274053999999</v>
      </c>
      <c r="P840">
        <v>1.9709556088</v>
      </c>
      <c r="Q840">
        <v>1.9471150832999999</v>
      </c>
      <c r="R840">
        <v>2.0424112313</v>
      </c>
      <c r="S840">
        <v>1.9956511411</v>
      </c>
      <c r="T840">
        <v>1.9450436513</v>
      </c>
      <c r="U840">
        <v>2.0739944131999999</v>
      </c>
      <c r="V840">
        <v>1.8398127271</v>
      </c>
      <c r="W840">
        <v>1.9882235136999999</v>
      </c>
      <c r="X840">
        <v>2.1631605304999999</v>
      </c>
      <c r="Y840">
        <v>2.0749388532999999</v>
      </c>
      <c r="Z840">
        <v>1.9175597099999999</v>
      </c>
      <c r="AA840">
        <v>1.7631263800999999</v>
      </c>
      <c r="AB840">
        <v>1.6723503968</v>
      </c>
    </row>
    <row r="841" spans="1:28" hidden="1" x14ac:dyDescent="0.25">
      <c r="A841" t="s">
        <v>74</v>
      </c>
      <c r="B841" t="s">
        <v>75</v>
      </c>
      <c r="C841">
        <v>110</v>
      </c>
      <c r="D841" t="s">
        <v>4</v>
      </c>
      <c r="E841">
        <v>6.2328630000000003E-2</v>
      </c>
      <c r="F841">
        <v>6.4537200000000003E-2</v>
      </c>
      <c r="G841">
        <v>6.5492549999999997E-2</v>
      </c>
      <c r="H841">
        <v>6.4134720000000006E-2</v>
      </c>
      <c r="I841">
        <v>6.4449345000000005E-2</v>
      </c>
      <c r="J841">
        <v>6.7926719999999996E-2</v>
      </c>
      <c r="K841">
        <v>6.3667080000000001E-2</v>
      </c>
      <c r="L841">
        <v>6.5290500000000001E-2</v>
      </c>
      <c r="M841">
        <v>7.0480200000000007E-2</v>
      </c>
      <c r="N841">
        <v>7.4106660000000005E-2</v>
      </c>
      <c r="O841">
        <v>7.5363915000000004E-2</v>
      </c>
      <c r="P841">
        <v>6.9506250000000006E-2</v>
      </c>
      <c r="Q841">
        <v>6.7684140000000004E-2</v>
      </c>
      <c r="R841">
        <v>6.5973180000000006E-2</v>
      </c>
      <c r="S841">
        <v>6.332016E-2</v>
      </c>
      <c r="T841">
        <v>6.6088560000000005E-2</v>
      </c>
      <c r="U841">
        <v>6.9898785000000005E-2</v>
      </c>
      <c r="V841">
        <v>6.3871919999999999E-2</v>
      </c>
      <c r="W841">
        <v>6.6947444999999994E-2</v>
      </c>
      <c r="X841">
        <v>7.1883900000000001E-2</v>
      </c>
      <c r="Y841">
        <v>6.8665260000000006E-2</v>
      </c>
      <c r="Z841">
        <v>6.2778719999999996E-2</v>
      </c>
      <c r="AA841">
        <v>5.8427550000000002E-2</v>
      </c>
      <c r="AB841">
        <v>5.7028679999999998E-2</v>
      </c>
    </row>
    <row r="842" spans="1:28" hidden="1" x14ac:dyDescent="0.25">
      <c r="A842" t="s">
        <v>74</v>
      </c>
      <c r="B842" t="s">
        <v>76</v>
      </c>
      <c r="C842">
        <v>34</v>
      </c>
      <c r="D842" t="s">
        <v>2</v>
      </c>
      <c r="E842">
        <v>5.4081263599999998</v>
      </c>
      <c r="F842">
        <v>5.3738776000000001</v>
      </c>
      <c r="G842">
        <v>5.3590850999999997</v>
      </c>
      <c r="H842">
        <v>5.6029489200000002</v>
      </c>
      <c r="I842">
        <v>5.4811101300000002</v>
      </c>
      <c r="J842">
        <v>5.5351769600000003</v>
      </c>
      <c r="K842">
        <v>4.80127302</v>
      </c>
      <c r="L842">
        <v>4.8874225999999998</v>
      </c>
      <c r="M842">
        <v>5.1148487999999999</v>
      </c>
      <c r="N842">
        <v>5.1973046199999997</v>
      </c>
      <c r="O842">
        <v>5.1203836200000001</v>
      </c>
      <c r="P842">
        <v>4.9190407199999999</v>
      </c>
      <c r="Q842">
        <v>4.7597065799999996</v>
      </c>
      <c r="R842">
        <v>4.7141476200000003</v>
      </c>
      <c r="S842">
        <v>4.7667352000000003</v>
      </c>
      <c r="T842">
        <v>4.7635070400000004</v>
      </c>
      <c r="U842">
        <v>4.6286663700000004</v>
      </c>
      <c r="V842">
        <v>4.7364731400000002</v>
      </c>
      <c r="W842">
        <v>6.0215436899999997</v>
      </c>
      <c r="X842">
        <v>6.6503975999999998</v>
      </c>
      <c r="Y842">
        <v>6.5568643800000004</v>
      </c>
      <c r="Z842">
        <v>6.0076872400000001</v>
      </c>
      <c r="AA842">
        <v>5.7276366000000003</v>
      </c>
      <c r="AB842">
        <v>5.38692992</v>
      </c>
    </row>
    <row r="843" spans="1:28" hidden="1" x14ac:dyDescent="0.25">
      <c r="A843" t="s">
        <v>74</v>
      </c>
      <c r="B843" t="s">
        <v>76</v>
      </c>
      <c r="C843">
        <v>34</v>
      </c>
      <c r="D843" t="s">
        <v>3</v>
      </c>
      <c r="E843">
        <v>2.2492074670000002</v>
      </c>
      <c r="F843">
        <v>2.2203276545000001</v>
      </c>
      <c r="G843">
        <v>2.2186494433999999</v>
      </c>
      <c r="H843">
        <v>2.2008311678000001</v>
      </c>
      <c r="I843">
        <v>2.2019623071000001</v>
      </c>
      <c r="J843">
        <v>2.2769472131000001</v>
      </c>
      <c r="K843">
        <v>2.3473481240999998</v>
      </c>
      <c r="L843">
        <v>2.3436423886000002</v>
      </c>
      <c r="M843">
        <v>2.3464565182000001</v>
      </c>
      <c r="N843">
        <v>2.3282897818000001</v>
      </c>
      <c r="O843">
        <v>2.3443855667000002</v>
      </c>
      <c r="P843">
        <v>2.3851858884000001</v>
      </c>
      <c r="Q843">
        <v>2.4675306611000001</v>
      </c>
      <c r="R843">
        <v>2.4483289294000001</v>
      </c>
      <c r="S843">
        <v>2.3223885135</v>
      </c>
      <c r="T843">
        <v>2.3650495302999999</v>
      </c>
      <c r="U843">
        <v>2.3735144372999999</v>
      </c>
      <c r="V843">
        <v>2.3852532108000002</v>
      </c>
      <c r="W843">
        <v>2.3893259373000002</v>
      </c>
      <c r="X843">
        <v>2.3869816247000002</v>
      </c>
      <c r="Y843">
        <v>2.4064801230000001</v>
      </c>
      <c r="Z843">
        <v>2.2916896931999999</v>
      </c>
      <c r="AA843">
        <v>2.2843705566999999</v>
      </c>
      <c r="AB843">
        <v>2.3358748884999998</v>
      </c>
    </row>
    <row r="844" spans="1:28" hidden="1" x14ac:dyDescent="0.25">
      <c r="A844" t="s">
        <v>74</v>
      </c>
      <c r="B844" t="s">
        <v>76</v>
      </c>
      <c r="C844">
        <v>34</v>
      </c>
      <c r="D844" t="s">
        <v>4</v>
      </c>
      <c r="E844">
        <v>0.16726163999999999</v>
      </c>
      <c r="F844">
        <v>0.1662024</v>
      </c>
      <c r="G844">
        <v>0.1657449</v>
      </c>
      <c r="H844">
        <v>0.17328708000000001</v>
      </c>
      <c r="I844">
        <v>0.16951886999999999</v>
      </c>
      <c r="J844">
        <v>0.17119103999999999</v>
      </c>
      <c r="K844">
        <v>0.14849298</v>
      </c>
      <c r="L844">
        <v>0.1511574</v>
      </c>
      <c r="M844">
        <v>0.1581912</v>
      </c>
      <c r="N844">
        <v>0.16074137999999999</v>
      </c>
      <c r="O844">
        <v>0.15836238</v>
      </c>
      <c r="P844">
        <v>0.15213528000000001</v>
      </c>
      <c r="Q844">
        <v>0.14720742000000001</v>
      </c>
      <c r="R844">
        <v>0.14579838000000001</v>
      </c>
      <c r="S844">
        <v>0.14742479999999999</v>
      </c>
      <c r="T844">
        <v>0.14732496</v>
      </c>
      <c r="U844">
        <v>0.14315463</v>
      </c>
      <c r="V844">
        <v>0.14648886</v>
      </c>
      <c r="W844">
        <v>0.18623331000000001</v>
      </c>
      <c r="X844">
        <v>0.20568239999999999</v>
      </c>
      <c r="Y844">
        <v>0.20278962</v>
      </c>
      <c r="Z844">
        <v>0.18580476000000001</v>
      </c>
      <c r="AA844">
        <v>0.17714340000000001</v>
      </c>
      <c r="AB844">
        <v>0.16660607999999999</v>
      </c>
    </row>
    <row r="845" spans="1:28" hidden="1" x14ac:dyDescent="0.25">
      <c r="A845" t="s">
        <v>74</v>
      </c>
      <c r="B845" t="s">
        <v>77</v>
      </c>
      <c r="C845">
        <v>14</v>
      </c>
      <c r="D845" t="s">
        <v>2</v>
      </c>
      <c r="E845">
        <v>15.504387599999999</v>
      </c>
      <c r="F845">
        <v>15.159872</v>
      </c>
      <c r="G845">
        <v>14.832967500000001</v>
      </c>
      <c r="H845">
        <v>14.5940748</v>
      </c>
      <c r="I845">
        <v>14.4168124</v>
      </c>
      <c r="J845">
        <v>13.994016800000001</v>
      </c>
      <c r="K845">
        <v>12.6098307</v>
      </c>
      <c r="L845">
        <v>12.4177255</v>
      </c>
      <c r="M845">
        <v>12.470878000000001</v>
      </c>
      <c r="N845">
        <v>12.325275299999999</v>
      </c>
      <c r="O845">
        <v>12.49557705</v>
      </c>
      <c r="P845">
        <v>12.8821957</v>
      </c>
      <c r="Q845">
        <v>12.796323299999999</v>
      </c>
      <c r="R845">
        <v>14.155668800000001</v>
      </c>
      <c r="S845">
        <v>14.946699600000001</v>
      </c>
      <c r="T845">
        <v>15.0171288</v>
      </c>
      <c r="U845">
        <v>14.99686625</v>
      </c>
      <c r="V845">
        <v>14.751867900000001</v>
      </c>
      <c r="W845">
        <v>17.531253450000001</v>
      </c>
      <c r="X845">
        <v>18.243818999999998</v>
      </c>
      <c r="Y845">
        <v>18.5458544</v>
      </c>
      <c r="Z845">
        <v>17.587323399999999</v>
      </c>
      <c r="AA845">
        <v>17.072174499999999</v>
      </c>
      <c r="AB845">
        <v>16.5867492</v>
      </c>
    </row>
    <row r="846" spans="1:28" hidden="1" x14ac:dyDescent="0.25">
      <c r="A846" t="s">
        <v>74</v>
      </c>
      <c r="B846" t="s">
        <v>77</v>
      </c>
      <c r="C846">
        <v>14</v>
      </c>
      <c r="D846" t="s">
        <v>3</v>
      </c>
      <c r="E846">
        <v>5.3953058943999999</v>
      </c>
      <c r="F846">
        <v>5.3684684314000002</v>
      </c>
      <c r="G846">
        <v>5.3288501951000002</v>
      </c>
      <c r="H846">
        <v>5.3133849026000002</v>
      </c>
      <c r="I846">
        <v>5.2631530178999997</v>
      </c>
      <c r="J846">
        <v>5.2185735340999999</v>
      </c>
      <c r="K846">
        <v>5.2281621471999999</v>
      </c>
      <c r="L846">
        <v>5.4926514401000004</v>
      </c>
      <c r="M846">
        <v>5.6840790869999998</v>
      </c>
      <c r="N846">
        <v>5.6917771049999999</v>
      </c>
      <c r="O846">
        <v>5.7294916905999997</v>
      </c>
      <c r="P846">
        <v>5.7641571656000004</v>
      </c>
      <c r="Q846">
        <v>5.5868730980999999</v>
      </c>
      <c r="R846">
        <v>5.9411701066999996</v>
      </c>
      <c r="S846">
        <v>6.1213288092000004</v>
      </c>
      <c r="T846">
        <v>6.0754178482999999</v>
      </c>
      <c r="U846">
        <v>6.0037427359000004</v>
      </c>
      <c r="V846">
        <v>5.7534415997000004</v>
      </c>
      <c r="W846">
        <v>5.8494961411000004</v>
      </c>
      <c r="X846">
        <v>5.7407030162000003</v>
      </c>
      <c r="Y846">
        <v>5.7538355858000001</v>
      </c>
      <c r="Z846">
        <v>5.5160740606000003</v>
      </c>
      <c r="AA846">
        <v>5.5596894794000002</v>
      </c>
      <c r="AB846">
        <v>5.6275722406000002</v>
      </c>
    </row>
    <row r="847" spans="1:28" hidden="1" x14ac:dyDescent="0.25">
      <c r="A847" t="s">
        <v>74</v>
      </c>
      <c r="B847" t="s">
        <v>77</v>
      </c>
      <c r="C847">
        <v>14</v>
      </c>
      <c r="D847" t="s">
        <v>4</v>
      </c>
      <c r="E847">
        <v>0.81602039999999998</v>
      </c>
      <c r="F847">
        <v>0.79788800000000004</v>
      </c>
      <c r="G847">
        <v>0.78068249999999995</v>
      </c>
      <c r="H847">
        <v>0.76810920000000005</v>
      </c>
      <c r="I847">
        <v>0.7587796</v>
      </c>
      <c r="J847">
        <v>0.73652720000000005</v>
      </c>
      <c r="K847">
        <v>0.66367529999999997</v>
      </c>
      <c r="L847">
        <v>0.65356449999999999</v>
      </c>
      <c r="M847">
        <v>0.656362</v>
      </c>
      <c r="N847">
        <v>0.64869869999999996</v>
      </c>
      <c r="O847">
        <v>0.65766195000000005</v>
      </c>
      <c r="P847">
        <v>0.67801029999999995</v>
      </c>
      <c r="Q847">
        <v>0.6734907</v>
      </c>
      <c r="R847">
        <v>0.74503520000000001</v>
      </c>
      <c r="S847">
        <v>0.78666840000000005</v>
      </c>
      <c r="T847">
        <v>0.79037520000000006</v>
      </c>
      <c r="U847">
        <v>0.78930875</v>
      </c>
      <c r="V847">
        <v>0.7764141</v>
      </c>
      <c r="W847">
        <v>0.92269754999999998</v>
      </c>
      <c r="X847">
        <v>0.96020099999999997</v>
      </c>
      <c r="Y847">
        <v>0.97609760000000001</v>
      </c>
      <c r="Z847">
        <v>0.92564860000000004</v>
      </c>
      <c r="AA847">
        <v>0.89853550000000004</v>
      </c>
      <c r="AB847">
        <v>0.87298679999999995</v>
      </c>
    </row>
    <row r="848" spans="1:28" hidden="1" x14ac:dyDescent="0.25">
      <c r="A848" t="s">
        <v>74</v>
      </c>
      <c r="B848" t="s">
        <v>78</v>
      </c>
      <c r="C848">
        <v>110</v>
      </c>
      <c r="D848" t="s">
        <v>2</v>
      </c>
      <c r="E848">
        <v>12.22693108</v>
      </c>
      <c r="F848">
        <v>11.932211199999999</v>
      </c>
      <c r="G848">
        <v>11.670284925000001</v>
      </c>
      <c r="H848">
        <v>11.37918492</v>
      </c>
      <c r="I848">
        <v>11.14494404</v>
      </c>
      <c r="J848">
        <v>10.73876944</v>
      </c>
      <c r="K848">
        <v>9.5695370099999995</v>
      </c>
      <c r="L848">
        <v>8.9126148999999995</v>
      </c>
      <c r="M848">
        <v>8.7997142000000004</v>
      </c>
      <c r="N848">
        <v>8.7984494600000005</v>
      </c>
      <c r="O848">
        <v>9.19592454</v>
      </c>
      <c r="P848">
        <v>9.5447465299999994</v>
      </c>
      <c r="Q848">
        <v>9.9233214299999997</v>
      </c>
      <c r="R848">
        <v>10.591630139999999</v>
      </c>
      <c r="S848">
        <v>10.81562308</v>
      </c>
      <c r="T848">
        <v>10.87761504</v>
      </c>
      <c r="U848">
        <v>10.61294554</v>
      </c>
      <c r="V848">
        <v>10.470443619999999</v>
      </c>
      <c r="W848">
        <v>12.287714445000001</v>
      </c>
      <c r="X848">
        <v>13.067172525</v>
      </c>
      <c r="Y848">
        <v>13.5972355</v>
      </c>
      <c r="Z848">
        <v>13.298287999999999</v>
      </c>
      <c r="AA848">
        <v>13.23716875</v>
      </c>
      <c r="AB848">
        <v>13.02360696</v>
      </c>
    </row>
    <row r="849" spans="1:28" hidden="1" x14ac:dyDescent="0.25">
      <c r="A849" t="s">
        <v>74</v>
      </c>
      <c r="B849" t="s">
        <v>78</v>
      </c>
      <c r="C849">
        <v>110</v>
      </c>
      <c r="D849" t="s">
        <v>3</v>
      </c>
      <c r="E849">
        <v>5.0783825943999998</v>
      </c>
      <c r="F849">
        <v>5.0032639199000002</v>
      </c>
      <c r="G849">
        <v>4.8966294958000001</v>
      </c>
      <c r="H849">
        <v>4.7751811461000004</v>
      </c>
      <c r="I849">
        <v>4.6429418555000002</v>
      </c>
      <c r="J849">
        <v>4.4244219962000004</v>
      </c>
      <c r="K849">
        <v>4.0326275556000004</v>
      </c>
      <c r="L849">
        <v>3.8066921405</v>
      </c>
      <c r="M849">
        <v>3.7212850194999998</v>
      </c>
      <c r="N849">
        <v>3.7178203052000001</v>
      </c>
      <c r="O849">
        <v>3.8483648345999999</v>
      </c>
      <c r="P849">
        <v>3.9696031005000001</v>
      </c>
      <c r="Q849">
        <v>4.0847961734</v>
      </c>
      <c r="R849">
        <v>4.380369237</v>
      </c>
      <c r="S849">
        <v>4.4852583852999999</v>
      </c>
      <c r="T849">
        <v>4.4876370132999996</v>
      </c>
      <c r="U849">
        <v>4.3627990599000004</v>
      </c>
      <c r="V849">
        <v>4.2564232403000002</v>
      </c>
      <c r="W849">
        <v>4.7014703366999999</v>
      </c>
      <c r="X849">
        <v>4.9500850237999998</v>
      </c>
      <c r="Y849">
        <v>5.1824241677999998</v>
      </c>
      <c r="Z849">
        <v>5.1861026385000004</v>
      </c>
      <c r="AA849">
        <v>5.3314538019000004</v>
      </c>
      <c r="AB849">
        <v>5.3665852060999999</v>
      </c>
    </row>
    <row r="850" spans="1:28" hidden="1" x14ac:dyDescent="0.25">
      <c r="A850" t="s">
        <v>74</v>
      </c>
      <c r="B850" t="s">
        <v>78</v>
      </c>
      <c r="C850">
        <v>110</v>
      </c>
      <c r="D850" t="s">
        <v>4</v>
      </c>
      <c r="E850">
        <v>0.18619691999999999</v>
      </c>
      <c r="F850">
        <v>0.1817088</v>
      </c>
      <c r="G850">
        <v>0.17772007500000001</v>
      </c>
      <c r="H850">
        <v>0.17328708000000001</v>
      </c>
      <c r="I850">
        <v>0.16971996</v>
      </c>
      <c r="J850">
        <v>0.16353456</v>
      </c>
      <c r="K850">
        <v>0.14572899</v>
      </c>
      <c r="L850">
        <v>0.13572509999999999</v>
      </c>
      <c r="M850">
        <v>0.13400580000000001</v>
      </c>
      <c r="N850">
        <v>0.13398653999999999</v>
      </c>
      <c r="O850">
        <v>0.14003946</v>
      </c>
      <c r="P850">
        <v>0.14535147000000001</v>
      </c>
      <c r="Q850">
        <v>0.15111657000000001</v>
      </c>
      <c r="R850">
        <v>0.16129386000000001</v>
      </c>
      <c r="S850">
        <v>0.16470492</v>
      </c>
      <c r="T850">
        <v>0.16564896000000001</v>
      </c>
      <c r="U850">
        <v>0.16161845999999999</v>
      </c>
      <c r="V850">
        <v>0.15944838</v>
      </c>
      <c r="W850">
        <v>0.187122555</v>
      </c>
      <c r="X850">
        <v>0.198992475</v>
      </c>
      <c r="Y850">
        <v>0.20706450000000001</v>
      </c>
      <c r="Z850">
        <v>0.202512</v>
      </c>
      <c r="AA850">
        <v>0.20158124999999999</v>
      </c>
      <c r="AB850">
        <v>0.19832904000000001</v>
      </c>
    </row>
    <row r="851" spans="1:28" hidden="1" x14ac:dyDescent="0.25">
      <c r="A851" t="s">
        <v>74</v>
      </c>
      <c r="B851" t="s">
        <v>79</v>
      </c>
      <c r="C851">
        <v>110</v>
      </c>
      <c r="D851" t="s">
        <v>2</v>
      </c>
      <c r="E851">
        <v>21.47114229</v>
      </c>
      <c r="F851">
        <v>20.79532</v>
      </c>
      <c r="G851">
        <v>20.014155899999999</v>
      </c>
      <c r="H851">
        <v>19.538991899999999</v>
      </c>
      <c r="I851">
        <v>18.929238484999999</v>
      </c>
      <c r="J851">
        <v>18.07413536</v>
      </c>
      <c r="K851">
        <v>16.26007662</v>
      </c>
      <c r="L851">
        <v>15.2267998</v>
      </c>
      <c r="M851">
        <v>14.722992</v>
      </c>
      <c r="N851">
        <v>14.354997969999999</v>
      </c>
      <c r="O851">
        <v>14.202117104999999</v>
      </c>
      <c r="P851">
        <v>14.70051627</v>
      </c>
      <c r="Q851">
        <v>15.145350150000001</v>
      </c>
      <c r="R851">
        <v>16.419339300000001</v>
      </c>
      <c r="S851">
        <v>17.092334640000001</v>
      </c>
      <c r="T851">
        <v>17.463545679999999</v>
      </c>
      <c r="U851">
        <v>17.375942734999999</v>
      </c>
      <c r="V851">
        <v>17.331699489999998</v>
      </c>
      <c r="W851">
        <v>20.245949055000001</v>
      </c>
      <c r="X851">
        <v>21.603473099999999</v>
      </c>
      <c r="Y851">
        <v>23.097755530000001</v>
      </c>
      <c r="Z851">
        <v>23.047595390000001</v>
      </c>
      <c r="AA851">
        <v>23.362584600000002</v>
      </c>
      <c r="AB851">
        <v>23.033815239999999</v>
      </c>
    </row>
    <row r="852" spans="1:28" hidden="1" x14ac:dyDescent="0.25">
      <c r="A852" t="s">
        <v>74</v>
      </c>
      <c r="B852" t="s">
        <v>79</v>
      </c>
      <c r="C852">
        <v>110</v>
      </c>
      <c r="D852" t="s">
        <v>3</v>
      </c>
      <c r="E852">
        <v>9.4870331742000005</v>
      </c>
      <c r="F852">
        <v>9.2056323991000006</v>
      </c>
      <c r="G852">
        <v>8.8450386920999993</v>
      </c>
      <c r="H852">
        <v>8.6009219668999997</v>
      </c>
      <c r="I852">
        <v>8.2357507371000001</v>
      </c>
      <c r="J852">
        <v>7.6668201094999997</v>
      </c>
      <c r="K852">
        <v>6.8623883448000003</v>
      </c>
      <c r="L852">
        <v>6.6008098972999996</v>
      </c>
      <c r="M852">
        <v>6.4477551601999998</v>
      </c>
      <c r="N852">
        <v>6.3074758701000002</v>
      </c>
      <c r="O852">
        <v>6.2124694382000003</v>
      </c>
      <c r="P852">
        <v>6.3880237689000001</v>
      </c>
      <c r="Q852">
        <v>6.4838096613999996</v>
      </c>
      <c r="R852">
        <v>7.0297053378000003</v>
      </c>
      <c r="S852">
        <v>7.3880609110000002</v>
      </c>
      <c r="T852">
        <v>7.5187078281000002</v>
      </c>
      <c r="U852">
        <v>7.4220112614999998</v>
      </c>
      <c r="V852">
        <v>7.2736315377</v>
      </c>
      <c r="W852">
        <v>8.1196542717</v>
      </c>
      <c r="X852">
        <v>8.5850525561000008</v>
      </c>
      <c r="Y852">
        <v>9.2986305835999996</v>
      </c>
      <c r="Z852">
        <v>9.5839493901000008</v>
      </c>
      <c r="AA852">
        <v>10.108819431000001</v>
      </c>
      <c r="AB852">
        <v>10.1965651814</v>
      </c>
    </row>
    <row r="853" spans="1:28" hidden="1" x14ac:dyDescent="0.25">
      <c r="A853" t="s">
        <v>74</v>
      </c>
      <c r="B853" t="s">
        <v>79</v>
      </c>
      <c r="C853">
        <v>110</v>
      </c>
      <c r="D853" t="s">
        <v>4</v>
      </c>
      <c r="E853">
        <v>0.32697171000000003</v>
      </c>
      <c r="F853">
        <v>0.31668000000000002</v>
      </c>
      <c r="G853">
        <v>0.3047841</v>
      </c>
      <c r="H853">
        <v>0.29754809999999998</v>
      </c>
      <c r="I853">
        <v>0.288262515</v>
      </c>
      <c r="J853">
        <v>0.27524063999999998</v>
      </c>
      <c r="K853">
        <v>0.24761538</v>
      </c>
      <c r="L853">
        <v>0.23188020000000001</v>
      </c>
      <c r="M853">
        <v>0.22420799999999999</v>
      </c>
      <c r="N853">
        <v>0.21860403</v>
      </c>
      <c r="O853">
        <v>0.216275895</v>
      </c>
      <c r="P853">
        <v>0.22386573000000001</v>
      </c>
      <c r="Q853">
        <v>0.23063985000000001</v>
      </c>
      <c r="R853">
        <v>0.2500407</v>
      </c>
      <c r="S853">
        <v>0.26028936000000003</v>
      </c>
      <c r="T853">
        <v>0.26594232000000001</v>
      </c>
      <c r="U853">
        <v>0.26460826500000001</v>
      </c>
      <c r="V853">
        <v>0.26393451000000001</v>
      </c>
      <c r="W853">
        <v>0.30831394499999998</v>
      </c>
      <c r="X853">
        <v>0.32898690000000003</v>
      </c>
      <c r="Y853">
        <v>0.35174246999999997</v>
      </c>
      <c r="Z853">
        <v>0.35097861000000002</v>
      </c>
      <c r="AA853">
        <v>0.35577540000000002</v>
      </c>
      <c r="AB853">
        <v>0.35076876000000001</v>
      </c>
    </row>
    <row r="854" spans="1:28" hidden="1" x14ac:dyDescent="0.25">
      <c r="A854" t="s">
        <v>74</v>
      </c>
      <c r="B854" t="s">
        <v>80</v>
      </c>
      <c r="C854">
        <v>115</v>
      </c>
      <c r="D854" t="s">
        <v>2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</row>
    <row r="855" spans="1:28" hidden="1" x14ac:dyDescent="0.25">
      <c r="A855" t="s">
        <v>74</v>
      </c>
      <c r="B855" t="s">
        <v>80</v>
      </c>
      <c r="C855">
        <v>115</v>
      </c>
      <c r="D855" t="s">
        <v>3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</row>
    <row r="856" spans="1:28" hidden="1" x14ac:dyDescent="0.25">
      <c r="A856" t="s">
        <v>74</v>
      </c>
      <c r="B856" t="s">
        <v>80</v>
      </c>
      <c r="C856">
        <v>115</v>
      </c>
      <c r="D856" t="s">
        <v>4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</row>
    <row r="857" spans="1:28" hidden="1" x14ac:dyDescent="0.25">
      <c r="A857" t="s">
        <v>74</v>
      </c>
      <c r="B857" t="s">
        <v>81</v>
      </c>
      <c r="C857">
        <v>110</v>
      </c>
      <c r="D857" t="s">
        <v>2</v>
      </c>
      <c r="E857">
        <v>41.883900109999999</v>
      </c>
      <c r="F857">
        <v>39.955697600000001</v>
      </c>
      <c r="G857">
        <v>38.309432624999999</v>
      </c>
      <c r="H857">
        <v>36.830493539999999</v>
      </c>
      <c r="I857">
        <v>35.673064365000002</v>
      </c>
      <c r="J857">
        <v>35.66483272</v>
      </c>
      <c r="K857">
        <v>36.075089159999997</v>
      </c>
      <c r="L857">
        <v>39.333734124999999</v>
      </c>
      <c r="M857">
        <v>44.247483799999998</v>
      </c>
      <c r="N857">
        <v>46.602355770000003</v>
      </c>
      <c r="O857">
        <v>48.259253819999998</v>
      </c>
      <c r="P857">
        <v>49.366482470000001</v>
      </c>
      <c r="Q857">
        <v>48.472776850000002</v>
      </c>
      <c r="R857">
        <v>50.745779630000001</v>
      </c>
      <c r="S857">
        <v>52.475213080000003</v>
      </c>
      <c r="T857">
        <v>53.361279680000003</v>
      </c>
      <c r="U857">
        <v>51.938873684999997</v>
      </c>
      <c r="V857">
        <v>48.021192800000001</v>
      </c>
      <c r="W857">
        <v>48.75044346</v>
      </c>
      <c r="X857">
        <v>49.460583149999998</v>
      </c>
      <c r="Y857">
        <v>50.090461099999999</v>
      </c>
      <c r="Z857">
        <v>47.40008529</v>
      </c>
      <c r="AA857">
        <v>46.936963900000002</v>
      </c>
      <c r="AB857">
        <v>45.948366679999999</v>
      </c>
    </row>
    <row r="858" spans="1:28" hidden="1" x14ac:dyDescent="0.25">
      <c r="A858" t="s">
        <v>74</v>
      </c>
      <c r="B858" t="s">
        <v>81</v>
      </c>
      <c r="C858">
        <v>110</v>
      </c>
      <c r="D858" t="s">
        <v>3</v>
      </c>
      <c r="E858">
        <v>11.126306436</v>
      </c>
      <c r="F858">
        <v>11.0162161511</v>
      </c>
      <c r="G858">
        <v>10.875080796700001</v>
      </c>
      <c r="H858">
        <v>10.765044824</v>
      </c>
      <c r="I858">
        <v>10.658046966000001</v>
      </c>
      <c r="J858">
        <v>10.8081164704</v>
      </c>
      <c r="K858">
        <v>11.5079927963</v>
      </c>
      <c r="L858">
        <v>12.4774907798</v>
      </c>
      <c r="M858">
        <v>13.170933676600001</v>
      </c>
      <c r="N858">
        <v>13.516340464800001</v>
      </c>
      <c r="O858">
        <v>13.766293837199999</v>
      </c>
      <c r="P858">
        <v>13.801677981399999</v>
      </c>
      <c r="Q858">
        <v>13.220604313700001</v>
      </c>
      <c r="R858">
        <v>13.655155757199999</v>
      </c>
      <c r="S858">
        <v>14.101025566000001</v>
      </c>
      <c r="T858">
        <v>14.272864653099999</v>
      </c>
      <c r="U858">
        <v>13.821180269999999</v>
      </c>
      <c r="V858">
        <v>12.850492274500001</v>
      </c>
      <c r="W858">
        <v>12.515557169999999</v>
      </c>
      <c r="X858">
        <v>12.023770153199999</v>
      </c>
      <c r="Y858">
        <v>11.861300500400001</v>
      </c>
      <c r="Z858">
        <v>11.0888491052</v>
      </c>
      <c r="AA858">
        <v>11.1917780542</v>
      </c>
      <c r="AB858">
        <v>11.453334268700001</v>
      </c>
    </row>
    <row r="859" spans="1:28" hidden="1" x14ac:dyDescent="0.25">
      <c r="A859" t="s">
        <v>74</v>
      </c>
      <c r="B859" t="s">
        <v>81</v>
      </c>
      <c r="C859">
        <v>110</v>
      </c>
      <c r="D859" t="s">
        <v>4</v>
      </c>
      <c r="E859">
        <v>0.63782589000000001</v>
      </c>
      <c r="F859">
        <v>0.60846239999999996</v>
      </c>
      <c r="G859">
        <v>0.58339237499999996</v>
      </c>
      <c r="H859">
        <v>0.56087045999999996</v>
      </c>
      <c r="I859">
        <v>0.54324463499999998</v>
      </c>
      <c r="J859">
        <v>0.54311927999999998</v>
      </c>
      <c r="K859">
        <v>0.54936684000000002</v>
      </c>
      <c r="L859">
        <v>0.59899087500000003</v>
      </c>
      <c r="M859">
        <v>0.67381955019999995</v>
      </c>
      <c r="N859">
        <v>0.70968054469999997</v>
      </c>
      <c r="O859">
        <v>0.73491249469999997</v>
      </c>
      <c r="P859">
        <v>0.75177384469999997</v>
      </c>
      <c r="Q859">
        <v>0.73816411439999996</v>
      </c>
      <c r="R859">
        <v>0.77277837000000005</v>
      </c>
      <c r="S859">
        <v>0.79911491999999995</v>
      </c>
      <c r="T859">
        <v>0.81260832000000005</v>
      </c>
      <c r="U859">
        <v>0.79094731500000004</v>
      </c>
      <c r="V859">
        <v>0.73128720000000003</v>
      </c>
      <c r="W859">
        <v>0.74239253999999999</v>
      </c>
      <c r="X859">
        <v>0.75320684999999998</v>
      </c>
      <c r="Y859">
        <v>0.76279889999999995</v>
      </c>
      <c r="Z859">
        <v>0.72182871000000004</v>
      </c>
      <c r="AA859">
        <v>0.71477610000000003</v>
      </c>
      <c r="AB859">
        <v>0.69972131999999998</v>
      </c>
    </row>
    <row r="860" spans="1:28" hidden="1" x14ac:dyDescent="0.25">
      <c r="A860" t="s">
        <v>74</v>
      </c>
      <c r="B860" t="s">
        <v>82</v>
      </c>
      <c r="C860">
        <v>110</v>
      </c>
      <c r="D860" t="s">
        <v>2</v>
      </c>
      <c r="E860">
        <v>67.255522229999997</v>
      </c>
      <c r="F860">
        <v>65.225596800000005</v>
      </c>
      <c r="G860">
        <v>63.675078749999997</v>
      </c>
      <c r="H860">
        <v>61.768861440000002</v>
      </c>
      <c r="I860">
        <v>60.082340500000001</v>
      </c>
      <c r="J860">
        <v>57.799847280000002</v>
      </c>
      <c r="K860">
        <v>55.620978030000003</v>
      </c>
      <c r="L860">
        <v>56.489868199999997</v>
      </c>
      <c r="M860">
        <v>57.3787716</v>
      </c>
      <c r="N860">
        <v>57.05048489</v>
      </c>
      <c r="O860">
        <v>57.725196099999998</v>
      </c>
      <c r="P860">
        <v>58.049877709999997</v>
      </c>
      <c r="Q860">
        <v>58.894509300000003</v>
      </c>
      <c r="R860">
        <v>63.472694740000001</v>
      </c>
      <c r="S860">
        <v>65.147663600000001</v>
      </c>
      <c r="T860">
        <v>65.883371920000002</v>
      </c>
      <c r="U860">
        <v>64.598826525000007</v>
      </c>
      <c r="V860">
        <v>62.59471302</v>
      </c>
      <c r="W860">
        <v>70.764889095000001</v>
      </c>
      <c r="X860">
        <v>74.277012975000005</v>
      </c>
      <c r="Y860">
        <v>77.056849439999993</v>
      </c>
      <c r="Z860">
        <v>74.728067129999999</v>
      </c>
      <c r="AA860">
        <v>74.234042349999996</v>
      </c>
      <c r="AB860">
        <v>72.830427200000003</v>
      </c>
    </row>
    <row r="861" spans="1:28" hidden="1" x14ac:dyDescent="0.25">
      <c r="A861" t="s">
        <v>74</v>
      </c>
      <c r="B861" t="s">
        <v>82</v>
      </c>
      <c r="C861">
        <v>110</v>
      </c>
      <c r="D861" t="s">
        <v>3</v>
      </c>
      <c r="E861">
        <v>31.570260130000001</v>
      </c>
      <c r="F861">
        <v>30.572424658599999</v>
      </c>
      <c r="G861">
        <v>29.8401785113</v>
      </c>
      <c r="H861">
        <v>28.8224696228</v>
      </c>
      <c r="I861">
        <v>27.877847835000001</v>
      </c>
      <c r="J861">
        <v>26.3478542567</v>
      </c>
      <c r="K861">
        <v>25.682390676600001</v>
      </c>
      <c r="L861">
        <v>26.455097049599999</v>
      </c>
      <c r="M861">
        <v>27.2135170032</v>
      </c>
      <c r="N861">
        <v>27.246694781999999</v>
      </c>
      <c r="O861">
        <v>27.483332706700001</v>
      </c>
      <c r="P861">
        <v>27.383945838399999</v>
      </c>
      <c r="Q861">
        <v>27.268854745799999</v>
      </c>
      <c r="R861">
        <v>30.0456487485</v>
      </c>
      <c r="S861">
        <v>31.321441114999999</v>
      </c>
      <c r="T861">
        <v>31.534618027299999</v>
      </c>
      <c r="U861">
        <v>30.5398957741</v>
      </c>
      <c r="V861">
        <v>28.495288107299999</v>
      </c>
      <c r="W861">
        <v>30.598289189999999</v>
      </c>
      <c r="X861">
        <v>32.088024218400001</v>
      </c>
      <c r="Y861">
        <v>33.723212819700002</v>
      </c>
      <c r="Z861">
        <v>33.636718725599998</v>
      </c>
      <c r="AA861">
        <v>34.478440182500002</v>
      </c>
      <c r="AB861">
        <v>34.393949588600002</v>
      </c>
    </row>
    <row r="862" spans="1:28" hidden="1" x14ac:dyDescent="0.25">
      <c r="A862" t="s">
        <v>74</v>
      </c>
      <c r="B862" t="s">
        <v>82</v>
      </c>
      <c r="C862">
        <v>110</v>
      </c>
      <c r="D862" t="s">
        <v>4</v>
      </c>
      <c r="E862">
        <v>1.0241957699999999</v>
      </c>
      <c r="F862">
        <v>0.99328320000000003</v>
      </c>
      <c r="G862">
        <v>0.96967124999999998</v>
      </c>
      <c r="H862">
        <v>0.94064256000000002</v>
      </c>
      <c r="I862">
        <v>0.91495950000000004</v>
      </c>
      <c r="J862">
        <v>0.88020072000000005</v>
      </c>
      <c r="K862">
        <v>0.84701996999999996</v>
      </c>
      <c r="L862">
        <v>0.86025180000000001</v>
      </c>
      <c r="M862">
        <v>0.87378840000000002</v>
      </c>
      <c r="N862">
        <v>0.86878911000000003</v>
      </c>
      <c r="O862">
        <v>0.87906390000000001</v>
      </c>
      <c r="P862">
        <v>0.88400829000000003</v>
      </c>
      <c r="Q862">
        <v>0.89687070000000002</v>
      </c>
      <c r="R862">
        <v>0.96658926000000001</v>
      </c>
      <c r="S862">
        <v>0.99209639999999999</v>
      </c>
      <c r="T862">
        <v>1.00330008</v>
      </c>
      <c r="U862">
        <v>0.983738475</v>
      </c>
      <c r="V862">
        <v>0.95321898000000005</v>
      </c>
      <c r="W862">
        <v>1.077637905</v>
      </c>
      <c r="X862">
        <v>1.131122025</v>
      </c>
      <c r="Y862">
        <v>1.1734545599999999</v>
      </c>
      <c r="Z862">
        <v>1.1379908700000001</v>
      </c>
      <c r="AA862">
        <v>1.1304676499999999</v>
      </c>
      <c r="AB862">
        <v>1.1090928</v>
      </c>
    </row>
    <row r="863" spans="1:28" hidden="1" x14ac:dyDescent="0.25">
      <c r="A863" t="s">
        <v>74</v>
      </c>
      <c r="B863" t="s">
        <v>83</v>
      </c>
      <c r="C863">
        <v>34</v>
      </c>
      <c r="D863" t="s">
        <v>2</v>
      </c>
      <c r="E863">
        <v>26.195156520000001</v>
      </c>
      <c r="F863">
        <v>25.873702399999999</v>
      </c>
      <c r="G863">
        <v>25.445374650000002</v>
      </c>
      <c r="H863">
        <v>24.97732152</v>
      </c>
      <c r="I863">
        <v>24.64874081</v>
      </c>
      <c r="J863">
        <v>24.679779839999998</v>
      </c>
      <c r="K863">
        <v>25.68280446</v>
      </c>
      <c r="L863">
        <v>28.6336434</v>
      </c>
      <c r="M863">
        <v>32.2060952</v>
      </c>
      <c r="N863">
        <v>33.319047980000001</v>
      </c>
      <c r="O863">
        <v>33.987780530000002</v>
      </c>
      <c r="P863">
        <v>34.411710300000003</v>
      </c>
      <c r="Q863">
        <v>33.166271039999998</v>
      </c>
      <c r="R863">
        <v>35.268808120000003</v>
      </c>
      <c r="S863">
        <v>36.01620088</v>
      </c>
      <c r="T863">
        <v>36.220032799999998</v>
      </c>
      <c r="U863">
        <v>34.773146850000003</v>
      </c>
      <c r="V863">
        <v>31.35949278</v>
      </c>
      <c r="W863">
        <v>31.241378789999999</v>
      </c>
      <c r="X863">
        <v>30.32547375</v>
      </c>
      <c r="Y863">
        <v>29.674346700000001</v>
      </c>
      <c r="Z863">
        <v>28.0740698</v>
      </c>
      <c r="AA863">
        <v>27.643467399999999</v>
      </c>
      <c r="AB863">
        <v>27.310481920000001</v>
      </c>
    </row>
    <row r="864" spans="1:28" hidden="1" x14ac:dyDescent="0.25">
      <c r="A864" t="s">
        <v>74</v>
      </c>
      <c r="B864" t="s">
        <v>83</v>
      </c>
      <c r="C864">
        <v>34</v>
      </c>
      <c r="D864" t="s">
        <v>3</v>
      </c>
      <c r="E864">
        <v>10.180736417</v>
      </c>
      <c r="F864">
        <v>10.163973866999999</v>
      </c>
      <c r="G864">
        <v>10.0646578121</v>
      </c>
      <c r="H864">
        <v>9.9641246499000005</v>
      </c>
      <c r="I864">
        <v>9.9092103001999998</v>
      </c>
      <c r="J864">
        <v>10.038117859</v>
      </c>
      <c r="K864">
        <v>10.7259891482</v>
      </c>
      <c r="L864">
        <v>11.996717715000001</v>
      </c>
      <c r="M864">
        <v>13.1798827603</v>
      </c>
      <c r="N864">
        <v>13.562310912499999</v>
      </c>
      <c r="O864">
        <v>13.843970414699999</v>
      </c>
      <c r="P864">
        <v>13.843731913399999</v>
      </c>
      <c r="Q864">
        <v>12.711199069099999</v>
      </c>
      <c r="R864">
        <v>13.971276347</v>
      </c>
      <c r="S864">
        <v>14.3610691629</v>
      </c>
      <c r="T864">
        <v>14.282009412300001</v>
      </c>
      <c r="U864">
        <v>13.421561686800001</v>
      </c>
      <c r="V864">
        <v>11.880564104099999</v>
      </c>
      <c r="W864">
        <v>11.5441390513</v>
      </c>
      <c r="X864">
        <v>11.2384830821</v>
      </c>
      <c r="Y864">
        <v>10.981631525899999</v>
      </c>
      <c r="Z864">
        <v>10.4454187715</v>
      </c>
      <c r="AA864">
        <v>10.4155427306</v>
      </c>
      <c r="AB864">
        <v>10.473053394100001</v>
      </c>
    </row>
    <row r="865" spans="1:28" hidden="1" x14ac:dyDescent="0.25">
      <c r="A865" t="s">
        <v>74</v>
      </c>
      <c r="B865" t="s">
        <v>83</v>
      </c>
      <c r="C865">
        <v>34</v>
      </c>
      <c r="D865" t="s">
        <v>4</v>
      </c>
      <c r="E865">
        <v>0.81015948000000004</v>
      </c>
      <c r="F865">
        <v>0.80021759999999997</v>
      </c>
      <c r="G865">
        <v>0.78697035000000004</v>
      </c>
      <c r="H865">
        <v>0.77249447999999998</v>
      </c>
      <c r="I865">
        <v>0.76233218999999997</v>
      </c>
      <c r="J865">
        <v>0.76329216</v>
      </c>
      <c r="K865">
        <v>0.79431353999999998</v>
      </c>
      <c r="L865">
        <v>0.88557660000000005</v>
      </c>
      <c r="M865">
        <v>0.99606479999999997</v>
      </c>
      <c r="N865">
        <v>1.0304860199999999</v>
      </c>
      <c r="O865">
        <v>1.0511684699999999</v>
      </c>
      <c r="P865">
        <v>1.0642796999999999</v>
      </c>
      <c r="Q865">
        <v>1.0257609599999999</v>
      </c>
      <c r="R865">
        <v>1.0907878799999999</v>
      </c>
      <c r="S865">
        <v>1.11390312</v>
      </c>
      <c r="T865">
        <v>1.1202072000000001</v>
      </c>
      <c r="U865">
        <v>1.07545815</v>
      </c>
      <c r="V865">
        <v>0.96988121999999999</v>
      </c>
      <c r="W865">
        <v>0.96622821000000003</v>
      </c>
      <c r="X865">
        <v>0.93790125000000002</v>
      </c>
      <c r="Y865">
        <v>0.91776329999999995</v>
      </c>
      <c r="Z865">
        <v>0.86827019999999999</v>
      </c>
      <c r="AA865">
        <v>0.85495259999999995</v>
      </c>
      <c r="AB865">
        <v>0.84465407999999997</v>
      </c>
    </row>
    <row r="866" spans="1:28" hidden="1" x14ac:dyDescent="0.25">
      <c r="A866" t="s">
        <v>74</v>
      </c>
      <c r="B866" t="s">
        <v>84</v>
      </c>
      <c r="C866">
        <v>34</v>
      </c>
      <c r="D866" t="s">
        <v>2</v>
      </c>
      <c r="E866">
        <v>11.07135302</v>
      </c>
      <c r="F866">
        <v>11.2773752</v>
      </c>
      <c r="G866">
        <v>11.0059983</v>
      </c>
      <c r="H866">
        <v>10.993211759999999</v>
      </c>
      <c r="I866">
        <v>11.05974891</v>
      </c>
      <c r="J866">
        <v>11.34965184</v>
      </c>
      <c r="K866">
        <v>12.055571280000001</v>
      </c>
      <c r="L866">
        <v>13.728283899999999</v>
      </c>
      <c r="M866">
        <v>15.975512</v>
      </c>
      <c r="N866">
        <v>17.301463200000001</v>
      </c>
      <c r="O866">
        <v>17.554593430000001</v>
      </c>
      <c r="P866">
        <v>17.64813732</v>
      </c>
      <c r="Q866">
        <v>17.067051060000001</v>
      </c>
      <c r="R866">
        <v>17.816593340000001</v>
      </c>
      <c r="S866">
        <v>17.777577999999998</v>
      </c>
      <c r="T866">
        <v>18.17716368</v>
      </c>
      <c r="U866">
        <v>17.39045003</v>
      </c>
      <c r="V866">
        <v>15.713418000000001</v>
      </c>
      <c r="W866">
        <v>14.38434243</v>
      </c>
      <c r="X866">
        <v>13.1990034</v>
      </c>
      <c r="Y866">
        <v>12.80273124</v>
      </c>
      <c r="Z866">
        <v>11.76164382</v>
      </c>
      <c r="AA866">
        <v>11.455273200000001</v>
      </c>
      <c r="AB866">
        <v>11.47854544</v>
      </c>
    </row>
    <row r="867" spans="1:28" hidden="1" x14ac:dyDescent="0.25">
      <c r="A867" t="s">
        <v>74</v>
      </c>
      <c r="B867" t="s">
        <v>84</v>
      </c>
      <c r="C867">
        <v>34</v>
      </c>
      <c r="D867" t="s">
        <v>3</v>
      </c>
      <c r="E867">
        <v>4.0018158862000002</v>
      </c>
      <c r="F867">
        <v>4.1073401146000004</v>
      </c>
      <c r="G867">
        <v>4.0176016157000003</v>
      </c>
      <c r="H867">
        <v>4.0419313741999998</v>
      </c>
      <c r="I867">
        <v>4.0834716668000004</v>
      </c>
      <c r="J867">
        <v>4.2814814842000004</v>
      </c>
      <c r="K867">
        <v>4.8262448496000001</v>
      </c>
      <c r="L867">
        <v>5.4675581208999997</v>
      </c>
      <c r="M867">
        <v>6.0580035939999997</v>
      </c>
      <c r="N867">
        <v>6.5334279118999996</v>
      </c>
      <c r="O867">
        <v>6.6170858228</v>
      </c>
      <c r="P867">
        <v>6.5090809425999998</v>
      </c>
      <c r="Q867">
        <v>6.0954846870999999</v>
      </c>
      <c r="R867">
        <v>6.4937092198000004</v>
      </c>
      <c r="S867">
        <v>6.4865437784999997</v>
      </c>
      <c r="T867">
        <v>6.4907417674000003</v>
      </c>
      <c r="U867">
        <v>5.8942148651000004</v>
      </c>
      <c r="V867">
        <v>5.2363317115000001</v>
      </c>
      <c r="W867">
        <v>4.9873689167000004</v>
      </c>
      <c r="X867">
        <v>4.6896360609999999</v>
      </c>
      <c r="Y867">
        <v>4.5212206055999999</v>
      </c>
      <c r="Z867">
        <v>4.1272907847999996</v>
      </c>
      <c r="AA867">
        <v>4.0116166473000003</v>
      </c>
      <c r="AB867">
        <v>4.0775809606999998</v>
      </c>
    </row>
    <row r="868" spans="1:28" hidden="1" x14ac:dyDescent="0.25">
      <c r="A868" t="s">
        <v>74</v>
      </c>
      <c r="B868" t="s">
        <v>84</v>
      </c>
      <c r="C868">
        <v>34</v>
      </c>
      <c r="D868" t="s">
        <v>4</v>
      </c>
      <c r="E868">
        <v>0.34241297999999998</v>
      </c>
      <c r="F868">
        <v>0.34878480000000001</v>
      </c>
      <c r="G868">
        <v>0.34039170000000002</v>
      </c>
      <c r="H868">
        <v>0.33999624000000001</v>
      </c>
      <c r="I868">
        <v>0.34205408999999998</v>
      </c>
      <c r="J868">
        <v>0.35102016000000003</v>
      </c>
      <c r="K868">
        <v>0.37285272000000003</v>
      </c>
      <c r="L868">
        <v>0.42458610000000002</v>
      </c>
      <c r="M868">
        <v>0.49408800000000003</v>
      </c>
      <c r="N868">
        <v>0.53509680000000004</v>
      </c>
      <c r="O868">
        <v>0.54292556999999997</v>
      </c>
      <c r="P868">
        <v>0.54581868</v>
      </c>
      <c r="Q868">
        <v>0.52784693999999999</v>
      </c>
      <c r="R868">
        <v>0.55102865999999995</v>
      </c>
      <c r="S868">
        <v>0.54982200000000003</v>
      </c>
      <c r="T868">
        <v>0.56218031999999996</v>
      </c>
      <c r="U868">
        <v>0.53784896999999998</v>
      </c>
      <c r="V868">
        <v>0.48598200000000003</v>
      </c>
      <c r="W868">
        <v>0.44487657000000003</v>
      </c>
      <c r="X868">
        <v>0.40821659999999999</v>
      </c>
      <c r="Y868">
        <v>0.39596076000000002</v>
      </c>
      <c r="Z868">
        <v>0.36376217999999999</v>
      </c>
      <c r="AA868">
        <v>0.35428680000000001</v>
      </c>
      <c r="AB868">
        <v>0.35500656000000003</v>
      </c>
    </row>
    <row r="869" spans="1:28" hidden="1" x14ac:dyDescent="0.25">
      <c r="A869" t="s">
        <v>74</v>
      </c>
      <c r="B869" t="s">
        <v>85</v>
      </c>
      <c r="C869">
        <v>34</v>
      </c>
      <c r="D869" t="s">
        <v>2</v>
      </c>
      <c r="E869">
        <v>7.3177343199999996</v>
      </c>
      <c r="F869">
        <v>6.9909840000000001</v>
      </c>
      <c r="G869">
        <v>6.6406054499999998</v>
      </c>
      <c r="H869">
        <v>6.4536932399999998</v>
      </c>
      <c r="I869">
        <v>6.3718718000000001</v>
      </c>
      <c r="J869">
        <v>6.1572496000000001</v>
      </c>
      <c r="K869">
        <v>6.1510532400000004</v>
      </c>
      <c r="L869">
        <v>6.4611215</v>
      </c>
      <c r="M869">
        <v>7.2426795999999998</v>
      </c>
      <c r="N869">
        <v>7.4767037399999996</v>
      </c>
      <c r="O869">
        <v>7.4407778499999999</v>
      </c>
      <c r="P869">
        <v>7.4289021399999999</v>
      </c>
      <c r="Q869">
        <v>7.3526271599999999</v>
      </c>
      <c r="R869">
        <v>7.3862570600000002</v>
      </c>
      <c r="S869">
        <v>7.5955190400000001</v>
      </c>
      <c r="T869">
        <v>7.5362947199999999</v>
      </c>
      <c r="U869">
        <v>7.0399146799999999</v>
      </c>
      <c r="V869">
        <v>6.6071181399999999</v>
      </c>
      <c r="W869">
        <v>7.7384640600000001</v>
      </c>
      <c r="X869">
        <v>8.2875490500000009</v>
      </c>
      <c r="Y869">
        <v>8.6129035399999996</v>
      </c>
      <c r="Z869">
        <v>8.1848600000000005</v>
      </c>
      <c r="AA869">
        <v>8.1582723000000001</v>
      </c>
      <c r="AB869">
        <v>8.0647351999999994</v>
      </c>
    </row>
    <row r="870" spans="1:28" hidden="1" x14ac:dyDescent="0.25">
      <c r="A870" t="s">
        <v>74</v>
      </c>
      <c r="B870" t="s">
        <v>85</v>
      </c>
      <c r="C870">
        <v>34</v>
      </c>
      <c r="D870" t="s">
        <v>3</v>
      </c>
      <c r="E870">
        <v>2.9600514612</v>
      </c>
      <c r="F870">
        <v>2.898104172</v>
      </c>
      <c r="G870">
        <v>2.7897019671000001</v>
      </c>
      <c r="H870">
        <v>2.76208616</v>
      </c>
      <c r="I870">
        <v>2.7652471862999999</v>
      </c>
      <c r="J870">
        <v>2.5905713475000001</v>
      </c>
      <c r="K870">
        <v>1.6316953796</v>
      </c>
      <c r="L870">
        <v>3.1114913623999998</v>
      </c>
      <c r="M870">
        <v>3.9902431973999999</v>
      </c>
      <c r="N870">
        <v>4.1454066841000001</v>
      </c>
      <c r="O870">
        <v>3.7984169766</v>
      </c>
      <c r="P870">
        <v>3.8289509934999999</v>
      </c>
      <c r="Q870">
        <v>3.2951271970999998</v>
      </c>
      <c r="R870">
        <v>3.7574697667999999</v>
      </c>
      <c r="S870">
        <v>3.6668375709999999</v>
      </c>
      <c r="T870">
        <v>2.8663062271999999</v>
      </c>
      <c r="U870">
        <v>2.351663195</v>
      </c>
      <c r="V870">
        <v>1.0716565855</v>
      </c>
      <c r="W870">
        <v>1.8763426217000001</v>
      </c>
      <c r="X870">
        <v>3.1794456959000001</v>
      </c>
      <c r="Y870">
        <v>3.2306551222</v>
      </c>
      <c r="Z870">
        <v>3.0501189563</v>
      </c>
      <c r="AA870">
        <v>3.1012887582999999</v>
      </c>
      <c r="AB870">
        <v>3.1878946540999999</v>
      </c>
    </row>
    <row r="871" spans="1:28" hidden="1" x14ac:dyDescent="0.25">
      <c r="A871" t="s">
        <v>74</v>
      </c>
      <c r="B871" t="s">
        <v>85</v>
      </c>
      <c r="C871">
        <v>34</v>
      </c>
      <c r="D871" t="s">
        <v>4</v>
      </c>
      <c r="E871">
        <v>0.22632168</v>
      </c>
      <c r="F871">
        <v>0.21621599999999999</v>
      </c>
      <c r="G871">
        <v>0.20537954999999999</v>
      </c>
      <c r="H871">
        <v>0.19959875999999999</v>
      </c>
      <c r="I871">
        <v>0.1970682</v>
      </c>
      <c r="J871">
        <v>0.1904304</v>
      </c>
      <c r="K871">
        <v>0.19023876000000001</v>
      </c>
      <c r="L871">
        <v>0.19982849999999999</v>
      </c>
      <c r="M871">
        <v>0.22400039999999999</v>
      </c>
      <c r="N871">
        <v>0.23123826</v>
      </c>
      <c r="O871">
        <v>0.23012715</v>
      </c>
      <c r="P871">
        <v>0.22975986000000001</v>
      </c>
      <c r="Q871">
        <v>0.22740083999999999</v>
      </c>
      <c r="R871">
        <v>0.22844094000000001</v>
      </c>
      <c r="S871">
        <v>0.23491296</v>
      </c>
      <c r="T871">
        <v>0.23308128</v>
      </c>
      <c r="U871">
        <v>0.21772932</v>
      </c>
      <c r="V871">
        <v>0.20434385999999999</v>
      </c>
      <c r="W871">
        <v>0.23933394</v>
      </c>
      <c r="X871">
        <v>0.25631595000000001</v>
      </c>
      <c r="Y871">
        <v>0.26637845999999998</v>
      </c>
      <c r="Z871">
        <v>0.25313999999999998</v>
      </c>
      <c r="AA871">
        <v>0.25231769999999998</v>
      </c>
      <c r="AB871">
        <v>0.2494248</v>
      </c>
    </row>
    <row r="872" spans="1:28" hidden="1" x14ac:dyDescent="0.25">
      <c r="A872" t="s">
        <v>74</v>
      </c>
      <c r="B872" t="s">
        <v>86</v>
      </c>
      <c r="C872">
        <v>14</v>
      </c>
      <c r="D872" t="s">
        <v>2</v>
      </c>
      <c r="E872">
        <v>6.7599701000000003</v>
      </c>
      <c r="F872">
        <v>6.7223519999999999</v>
      </c>
      <c r="G872">
        <v>6.7788674999999996</v>
      </c>
      <c r="H872">
        <v>6.7893042000000001</v>
      </c>
      <c r="I872">
        <v>6.73081745</v>
      </c>
      <c r="J872">
        <v>6.6457591999999996</v>
      </c>
      <c r="K872">
        <v>6.6218211</v>
      </c>
      <c r="L872">
        <v>7.167446</v>
      </c>
      <c r="M872">
        <v>7.3628799999999996</v>
      </c>
      <c r="N872">
        <v>7.3561654000000001</v>
      </c>
      <c r="O872">
        <v>7.3357118999999997</v>
      </c>
      <c r="P872">
        <v>7.4306815000000004</v>
      </c>
      <c r="Q872">
        <v>7.3354268999999999</v>
      </c>
      <c r="R872">
        <v>7.4347000000000003</v>
      </c>
      <c r="S872">
        <v>7.4465636000000002</v>
      </c>
      <c r="T872">
        <v>7.6130111999999999</v>
      </c>
      <c r="U872">
        <v>7.6540967999999996</v>
      </c>
      <c r="V872">
        <v>7.4748659999999996</v>
      </c>
      <c r="W872">
        <v>7.6754547000000004</v>
      </c>
      <c r="X872">
        <v>7.6680532499999998</v>
      </c>
      <c r="Y872">
        <v>7.4454159999999998</v>
      </c>
      <c r="Z872">
        <v>6.8938459999999999</v>
      </c>
      <c r="AA872">
        <v>6.772303</v>
      </c>
      <c r="AB872">
        <v>6.7098500000000003</v>
      </c>
    </row>
    <row r="873" spans="1:28" hidden="1" x14ac:dyDescent="0.25">
      <c r="A873" t="s">
        <v>74</v>
      </c>
      <c r="B873" t="s">
        <v>86</v>
      </c>
      <c r="C873">
        <v>14</v>
      </c>
      <c r="D873" t="s">
        <v>3</v>
      </c>
      <c r="E873">
        <v>2.3113143350000001</v>
      </c>
      <c r="F873">
        <v>2.2718898314999998</v>
      </c>
      <c r="G873">
        <v>2.2902820639999999</v>
      </c>
      <c r="H873">
        <v>2.3332768454999999</v>
      </c>
      <c r="I873">
        <v>2.2873754728</v>
      </c>
      <c r="J873">
        <v>2.2432279749999999</v>
      </c>
      <c r="K873">
        <v>2.2180347721000002</v>
      </c>
      <c r="L873">
        <v>2.5114874476</v>
      </c>
      <c r="M873">
        <v>2.6431999847999998</v>
      </c>
      <c r="N873">
        <v>2.6811410109999998</v>
      </c>
      <c r="O873">
        <v>2.6879794491000002</v>
      </c>
      <c r="P873">
        <v>2.7799634484000002</v>
      </c>
      <c r="Q873">
        <v>2.7033236561999998</v>
      </c>
      <c r="R873">
        <v>2.6712176616000001</v>
      </c>
      <c r="S873">
        <v>2.6888857064999998</v>
      </c>
      <c r="T873">
        <v>2.7719837360000001</v>
      </c>
      <c r="U873">
        <v>2.7917548641000001</v>
      </c>
      <c r="V873">
        <v>2.6728992618</v>
      </c>
      <c r="W873">
        <v>2.6712106608999999</v>
      </c>
      <c r="X873">
        <v>2.6954836656999999</v>
      </c>
      <c r="Y873">
        <v>2.5715475893000002</v>
      </c>
      <c r="Z873">
        <v>2.3226429355999998</v>
      </c>
      <c r="AA873">
        <v>2.2963045504999999</v>
      </c>
      <c r="AB873">
        <v>2.2821103317000002</v>
      </c>
    </row>
    <row r="874" spans="1:28" hidden="1" x14ac:dyDescent="0.25">
      <c r="A874" t="s">
        <v>74</v>
      </c>
      <c r="B874" t="s">
        <v>86</v>
      </c>
      <c r="C874">
        <v>14</v>
      </c>
      <c r="D874" t="s">
        <v>4</v>
      </c>
      <c r="E874">
        <v>0.35578789999999999</v>
      </c>
      <c r="F874">
        <v>0.35380800000000001</v>
      </c>
      <c r="G874">
        <v>0.3567825</v>
      </c>
      <c r="H874">
        <v>0.35733179999999998</v>
      </c>
      <c r="I874">
        <v>0.35425354999999997</v>
      </c>
      <c r="J874">
        <v>0.3497768</v>
      </c>
      <c r="K874">
        <v>0.34851690000000002</v>
      </c>
      <c r="L874">
        <v>0.37723400000000001</v>
      </c>
      <c r="M874">
        <v>0.38751999999999998</v>
      </c>
      <c r="N874">
        <v>0.38716660000000003</v>
      </c>
      <c r="O874">
        <v>0.38609009999999999</v>
      </c>
      <c r="P874">
        <v>0.39108850000000001</v>
      </c>
      <c r="Q874">
        <v>0.3860751</v>
      </c>
      <c r="R874">
        <v>0.39129999999999998</v>
      </c>
      <c r="S874">
        <v>0.39192440000000001</v>
      </c>
      <c r="T874">
        <v>0.40068480000000001</v>
      </c>
      <c r="U874">
        <v>0.40284720000000002</v>
      </c>
      <c r="V874">
        <v>0.39341399999999999</v>
      </c>
      <c r="W874">
        <v>0.40397129999999998</v>
      </c>
      <c r="X874">
        <v>0.40358175000000002</v>
      </c>
      <c r="Y874">
        <v>0.39186399999999999</v>
      </c>
      <c r="Z874">
        <v>0.36283399999999999</v>
      </c>
      <c r="AA874">
        <v>0.356437</v>
      </c>
      <c r="AB874">
        <v>0.35315000000000002</v>
      </c>
    </row>
    <row r="875" spans="1:28" hidden="1" x14ac:dyDescent="0.25">
      <c r="A875" t="s">
        <v>74</v>
      </c>
      <c r="B875" t="s">
        <v>87</v>
      </c>
      <c r="C875">
        <v>34</v>
      </c>
      <c r="D875" t="s">
        <v>2</v>
      </c>
      <c r="E875">
        <v>43.826231540000002</v>
      </c>
      <c r="F875">
        <v>42.9274664</v>
      </c>
      <c r="G875">
        <v>41.460952499999998</v>
      </c>
      <c r="H875">
        <v>39.333631920000002</v>
      </c>
      <c r="I875">
        <v>40.02575796</v>
      </c>
      <c r="J875">
        <v>40.193509759999998</v>
      </c>
      <c r="K875">
        <v>39.27922074</v>
      </c>
      <c r="L875">
        <v>41.677432250000003</v>
      </c>
      <c r="M875">
        <v>42.818399599999999</v>
      </c>
      <c r="N875">
        <v>43.027091220000003</v>
      </c>
      <c r="O875">
        <v>43.657265299999999</v>
      </c>
      <c r="P875">
        <v>43.904595899999997</v>
      </c>
      <c r="Q875">
        <v>43.147931880000002</v>
      </c>
      <c r="R875">
        <v>45.615640980000002</v>
      </c>
      <c r="S875">
        <v>47.307893280000002</v>
      </c>
      <c r="T875">
        <v>47.216387359999999</v>
      </c>
      <c r="U875">
        <v>46.317676540000001</v>
      </c>
      <c r="V875">
        <v>45.336952220000001</v>
      </c>
      <c r="W875">
        <v>49.63460706</v>
      </c>
      <c r="X875">
        <v>51.133414199999997</v>
      </c>
      <c r="Y875">
        <v>53.007799519999999</v>
      </c>
      <c r="Z875">
        <v>50.345073859999999</v>
      </c>
      <c r="AA875">
        <v>49.021830899999998</v>
      </c>
      <c r="AB875">
        <v>47.746364319999998</v>
      </c>
    </row>
    <row r="876" spans="1:28" hidden="1" x14ac:dyDescent="0.25">
      <c r="A876" t="s">
        <v>74</v>
      </c>
      <c r="B876" t="s">
        <v>87</v>
      </c>
      <c r="C876">
        <v>34</v>
      </c>
      <c r="D876" t="s">
        <v>3</v>
      </c>
      <c r="E876">
        <v>12.256266700999999</v>
      </c>
      <c r="F876">
        <v>11.9118361825</v>
      </c>
      <c r="G876">
        <v>11.7270022756</v>
      </c>
      <c r="H876">
        <v>11.418864510700001</v>
      </c>
      <c r="I876">
        <v>11.376549515100001</v>
      </c>
      <c r="J876">
        <v>11.585418359</v>
      </c>
      <c r="K876">
        <v>11.8693983364</v>
      </c>
      <c r="L876">
        <v>12.9458004067</v>
      </c>
      <c r="M876">
        <v>13.724199859100001</v>
      </c>
      <c r="N876">
        <v>14.139267099</v>
      </c>
      <c r="O876">
        <v>14.4791679823</v>
      </c>
      <c r="P876">
        <v>14.703139215</v>
      </c>
      <c r="Q876">
        <v>14.643774569</v>
      </c>
      <c r="R876">
        <v>15.2409739169</v>
      </c>
      <c r="S876">
        <v>15.470309351199999</v>
      </c>
      <c r="T876">
        <v>15.3003639359</v>
      </c>
      <c r="U876">
        <v>14.535537503500001</v>
      </c>
      <c r="V876">
        <v>13.837951429</v>
      </c>
      <c r="W876">
        <v>14.5362938988</v>
      </c>
      <c r="X876">
        <v>14.543790841</v>
      </c>
      <c r="Y876">
        <v>14.6897774305</v>
      </c>
      <c r="Z876">
        <v>13.8725250705</v>
      </c>
      <c r="AA876">
        <v>13.5098922878</v>
      </c>
      <c r="AB876">
        <v>13.3353429149</v>
      </c>
    </row>
    <row r="877" spans="1:28" hidden="1" x14ac:dyDescent="0.25">
      <c r="A877" t="s">
        <v>74</v>
      </c>
      <c r="B877" t="s">
        <v>87</v>
      </c>
      <c r="C877">
        <v>34</v>
      </c>
      <c r="D877" t="s">
        <v>4</v>
      </c>
      <c r="E877">
        <v>1.3554504599999999</v>
      </c>
      <c r="F877">
        <v>1.3276536000000001</v>
      </c>
      <c r="G877">
        <v>1.2822975000000001</v>
      </c>
      <c r="H877">
        <v>1.21650408</v>
      </c>
      <c r="I877">
        <v>1.23791004</v>
      </c>
      <c r="J877">
        <v>1.2430982399999999</v>
      </c>
      <c r="K877">
        <v>1.2148212599999999</v>
      </c>
      <c r="L877">
        <v>1.28899275</v>
      </c>
      <c r="M877">
        <v>1.3242803999999999</v>
      </c>
      <c r="N877">
        <v>1.33073478</v>
      </c>
      <c r="O877">
        <v>1.3502247000000001</v>
      </c>
      <c r="P877">
        <v>1.3578741000000001</v>
      </c>
      <c r="Q877">
        <v>1.33447212</v>
      </c>
      <c r="R877">
        <v>1.4107930200000001</v>
      </c>
      <c r="S877">
        <v>1.4631307200000001</v>
      </c>
      <c r="T877">
        <v>1.46030064</v>
      </c>
      <c r="U877">
        <v>1.43250546</v>
      </c>
      <c r="V877">
        <v>1.40217378</v>
      </c>
      <c r="W877">
        <v>1.5350909399999999</v>
      </c>
      <c r="X877">
        <v>1.5814458</v>
      </c>
      <c r="Y877">
        <v>1.63941648</v>
      </c>
      <c r="Z877">
        <v>1.55706414</v>
      </c>
      <c r="AA877">
        <v>1.5161391</v>
      </c>
      <c r="AB877">
        <v>1.4766916800000001</v>
      </c>
    </row>
    <row r="878" spans="1:28" hidden="1" x14ac:dyDescent="0.25">
      <c r="A878" t="s">
        <v>74</v>
      </c>
      <c r="B878" t="s">
        <v>88</v>
      </c>
      <c r="C878">
        <v>34</v>
      </c>
      <c r="D878" t="s">
        <v>2</v>
      </c>
      <c r="E878">
        <v>21.19519064</v>
      </c>
      <c r="F878">
        <v>20.5351328</v>
      </c>
      <c r="G878">
        <v>19.92181635</v>
      </c>
      <c r="H878">
        <v>19.115161440000001</v>
      </c>
      <c r="I878">
        <v>18.601964509999998</v>
      </c>
      <c r="J878">
        <v>17.957586719999998</v>
      </c>
      <c r="K878">
        <v>16.819864020000001</v>
      </c>
      <c r="L878">
        <v>16.920461750000001</v>
      </c>
      <c r="M878">
        <v>17.257580399999998</v>
      </c>
      <c r="N878">
        <v>17.30832886</v>
      </c>
      <c r="O878">
        <v>17.455853250000001</v>
      </c>
      <c r="P878">
        <v>17.97175842</v>
      </c>
      <c r="Q878">
        <v>18.55491078</v>
      </c>
      <c r="R878">
        <v>20.040820799999999</v>
      </c>
      <c r="S878">
        <v>20.747019600000002</v>
      </c>
      <c r="T878">
        <v>21.06054688</v>
      </c>
      <c r="U878">
        <v>20.6235386</v>
      </c>
      <c r="V878">
        <v>20.090727300000001</v>
      </c>
      <c r="W878">
        <v>23.182532460000001</v>
      </c>
      <c r="X878">
        <v>24.345205499999999</v>
      </c>
      <c r="Y878">
        <v>24.97482862</v>
      </c>
      <c r="Z878">
        <v>23.93253064</v>
      </c>
      <c r="AA878">
        <v>23.672626900000001</v>
      </c>
      <c r="AB878">
        <v>23.199815919999999</v>
      </c>
    </row>
    <row r="879" spans="1:28" hidden="1" x14ac:dyDescent="0.25">
      <c r="A879" t="s">
        <v>74</v>
      </c>
      <c r="B879" t="s">
        <v>88</v>
      </c>
      <c r="C879">
        <v>34</v>
      </c>
      <c r="D879" t="s">
        <v>3</v>
      </c>
      <c r="E879">
        <v>7.9033055869000002</v>
      </c>
      <c r="F879">
        <v>7.7777596738000003</v>
      </c>
      <c r="G879">
        <v>7.6089679392000003</v>
      </c>
      <c r="H879">
        <v>7.3468255661999997</v>
      </c>
      <c r="I879">
        <v>7.1513656900000004</v>
      </c>
      <c r="J879">
        <v>6.9156960162000001</v>
      </c>
      <c r="K879">
        <v>6.6147837981000004</v>
      </c>
      <c r="L879">
        <v>6.6490063632999998</v>
      </c>
      <c r="M879">
        <v>6.6604423124999999</v>
      </c>
      <c r="N879">
        <v>6.6573597332999999</v>
      </c>
      <c r="O879">
        <v>6.6244240969000003</v>
      </c>
      <c r="P879">
        <v>6.7177383297000004</v>
      </c>
      <c r="Q879">
        <v>6.8654289952000003</v>
      </c>
      <c r="R879">
        <v>7.3678533384999998</v>
      </c>
      <c r="S879">
        <v>7.6404429034000003</v>
      </c>
      <c r="T879">
        <v>7.7330442281999998</v>
      </c>
      <c r="U879">
        <v>7.5481130615999996</v>
      </c>
      <c r="V879">
        <v>7.2792905757000002</v>
      </c>
      <c r="W879">
        <v>7.982272633</v>
      </c>
      <c r="X879">
        <v>8.3028859580999992</v>
      </c>
      <c r="Y879">
        <v>8.5607282090000005</v>
      </c>
      <c r="Z879">
        <v>8.3322606495000002</v>
      </c>
      <c r="AA879">
        <v>8.4713161933999999</v>
      </c>
      <c r="AB879">
        <v>8.4956096923000004</v>
      </c>
    </row>
    <row r="880" spans="1:28" hidden="1" x14ac:dyDescent="0.25">
      <c r="A880" t="s">
        <v>74</v>
      </c>
      <c r="B880" t="s">
        <v>88</v>
      </c>
      <c r="C880">
        <v>34</v>
      </c>
      <c r="D880" t="s">
        <v>4</v>
      </c>
      <c r="E880">
        <v>0.65552136000000005</v>
      </c>
      <c r="F880">
        <v>0.63510719999999998</v>
      </c>
      <c r="G880">
        <v>0.61613865000000001</v>
      </c>
      <c r="H880">
        <v>0.59119056000000003</v>
      </c>
      <c r="I880">
        <v>0.57531849000000002</v>
      </c>
      <c r="J880">
        <v>0.55538927999999999</v>
      </c>
      <c r="K880">
        <v>0.52020197999999995</v>
      </c>
      <c r="L880">
        <v>0.52331324999999995</v>
      </c>
      <c r="M880">
        <v>0.53373959999999998</v>
      </c>
      <c r="N880">
        <v>0.53530913999999996</v>
      </c>
      <c r="O880">
        <v>0.53987174999999998</v>
      </c>
      <c r="P880">
        <v>0.55582757999999999</v>
      </c>
      <c r="Q880">
        <v>0.57386322000000001</v>
      </c>
      <c r="R880">
        <v>0.61981920000000001</v>
      </c>
      <c r="S880">
        <v>0.64166040000000002</v>
      </c>
      <c r="T880">
        <v>0.65135712000000001</v>
      </c>
      <c r="U880">
        <v>0.6378414</v>
      </c>
      <c r="V880">
        <v>0.62136270000000005</v>
      </c>
      <c r="W880">
        <v>0.71698554000000003</v>
      </c>
      <c r="X880">
        <v>0.75294450000000002</v>
      </c>
      <c r="Y880">
        <v>0.77241738000000004</v>
      </c>
      <c r="Z880">
        <v>0.74018136000000001</v>
      </c>
      <c r="AA880">
        <v>0.73214310000000005</v>
      </c>
      <c r="AB880">
        <v>0.71752008</v>
      </c>
    </row>
    <row r="881" spans="1:28" hidden="1" x14ac:dyDescent="0.25">
      <c r="A881" t="s">
        <v>74</v>
      </c>
      <c r="B881" t="s">
        <v>89</v>
      </c>
      <c r="C881">
        <v>110</v>
      </c>
      <c r="D881" t="s">
        <v>2</v>
      </c>
      <c r="E881">
        <v>59.987455449999999</v>
      </c>
      <c r="F881">
        <v>58.814901599999999</v>
      </c>
      <c r="G881">
        <v>57.669440174999998</v>
      </c>
      <c r="H881">
        <v>56.322240899999997</v>
      </c>
      <c r="I881">
        <v>54.707942129999999</v>
      </c>
      <c r="J881">
        <v>52.069495519999997</v>
      </c>
      <c r="K881">
        <v>50.238504630000001</v>
      </c>
      <c r="L881">
        <v>50.662888924999997</v>
      </c>
      <c r="M881">
        <v>49.281126</v>
      </c>
      <c r="N881">
        <v>48.39844386</v>
      </c>
      <c r="O881">
        <v>48.536433494999997</v>
      </c>
      <c r="P881">
        <v>50.148258929999997</v>
      </c>
      <c r="Q881">
        <v>51.508859129999998</v>
      </c>
      <c r="R881">
        <v>55.131978719999999</v>
      </c>
      <c r="S881">
        <v>57.371206800000003</v>
      </c>
      <c r="T881">
        <v>58.479213600000001</v>
      </c>
      <c r="U881">
        <v>57.678367229999999</v>
      </c>
      <c r="V881">
        <v>57.800192029999998</v>
      </c>
      <c r="W881">
        <v>66.819139649999997</v>
      </c>
      <c r="X881">
        <v>69.840893100000002</v>
      </c>
      <c r="Y881">
        <v>71.161789920000004</v>
      </c>
      <c r="Z881">
        <v>66.474817139999999</v>
      </c>
      <c r="AA881">
        <v>64.955805299999994</v>
      </c>
      <c r="AB881">
        <v>63.909494960000004</v>
      </c>
    </row>
    <row r="882" spans="1:28" hidden="1" x14ac:dyDescent="0.25">
      <c r="A882" t="s">
        <v>74</v>
      </c>
      <c r="B882" t="s">
        <v>89</v>
      </c>
      <c r="C882">
        <v>110</v>
      </c>
      <c r="D882" t="s">
        <v>3</v>
      </c>
      <c r="E882">
        <v>19.207731677600002</v>
      </c>
      <c r="F882">
        <v>18.942628041700001</v>
      </c>
      <c r="G882">
        <v>18.671109680499999</v>
      </c>
      <c r="H882">
        <v>18.228877322700001</v>
      </c>
      <c r="I882">
        <v>17.5587552776</v>
      </c>
      <c r="J882">
        <v>16.7025362579</v>
      </c>
      <c r="K882">
        <v>16.9646426742</v>
      </c>
      <c r="L882">
        <v>17.957999688000001</v>
      </c>
      <c r="M882">
        <v>18.3084883207</v>
      </c>
      <c r="N882">
        <v>18.496251379499999</v>
      </c>
      <c r="O882">
        <v>18.718353875399998</v>
      </c>
      <c r="P882">
        <v>18.951723062199999</v>
      </c>
      <c r="Q882">
        <v>18.782228422100001</v>
      </c>
      <c r="R882">
        <v>20.355785187599999</v>
      </c>
      <c r="S882">
        <v>20.997577758599999</v>
      </c>
      <c r="T882">
        <v>20.9934504575</v>
      </c>
      <c r="U882">
        <v>20.110573651799999</v>
      </c>
      <c r="V882">
        <v>19.214548118</v>
      </c>
      <c r="W882">
        <v>20.3297096541</v>
      </c>
      <c r="X882">
        <v>20.998932108599998</v>
      </c>
      <c r="Y882">
        <v>21.433786743599999</v>
      </c>
      <c r="Z882">
        <v>20.244904117400001</v>
      </c>
      <c r="AA882">
        <v>20.336903949</v>
      </c>
      <c r="AB882">
        <v>20.454308342000001</v>
      </c>
    </row>
    <row r="883" spans="1:28" hidden="1" x14ac:dyDescent="0.25">
      <c r="A883" t="s">
        <v>74</v>
      </c>
      <c r="B883" t="s">
        <v>89</v>
      </c>
      <c r="C883">
        <v>110</v>
      </c>
      <c r="D883" t="s">
        <v>4</v>
      </c>
      <c r="E883">
        <v>0.91351455000000004</v>
      </c>
      <c r="F883">
        <v>0.89565839999999997</v>
      </c>
      <c r="G883">
        <v>0.87821482500000003</v>
      </c>
      <c r="H883">
        <v>0.85769910000000005</v>
      </c>
      <c r="I883">
        <v>0.83311586999999998</v>
      </c>
      <c r="J883">
        <v>0.79293648000000005</v>
      </c>
      <c r="K883">
        <v>0.76505336999999995</v>
      </c>
      <c r="L883">
        <v>0.77151607499999997</v>
      </c>
      <c r="M883">
        <v>0.75047399999999997</v>
      </c>
      <c r="N883">
        <v>0.73703213999999995</v>
      </c>
      <c r="O883">
        <v>0.73913350499999997</v>
      </c>
      <c r="P883">
        <v>0.76367907000000002</v>
      </c>
      <c r="Q883">
        <v>0.78439886999999997</v>
      </c>
      <c r="R883">
        <v>0.83957327999999998</v>
      </c>
      <c r="S883">
        <v>0.87367320000000004</v>
      </c>
      <c r="T883">
        <v>0.89054639999999996</v>
      </c>
      <c r="U883">
        <v>0.87835076999999995</v>
      </c>
      <c r="V883">
        <v>0.88020597</v>
      </c>
      <c r="W883">
        <v>1.01755035</v>
      </c>
      <c r="X883">
        <v>1.0635669000000001</v>
      </c>
      <c r="Y883">
        <v>1.08368208</v>
      </c>
      <c r="Z883">
        <v>1.01230686</v>
      </c>
      <c r="AA883">
        <v>0.98917469999999996</v>
      </c>
      <c r="AB883">
        <v>0.97324104</v>
      </c>
    </row>
    <row r="884" spans="1:28" hidden="1" x14ac:dyDescent="0.25">
      <c r="A884" t="s">
        <v>74</v>
      </c>
      <c r="B884" t="s">
        <v>90</v>
      </c>
      <c r="C884">
        <v>14</v>
      </c>
      <c r="D884" t="s">
        <v>2</v>
      </c>
      <c r="E884">
        <v>16.803558200000001</v>
      </c>
      <c r="F884">
        <v>15.982875999999999</v>
      </c>
      <c r="G884">
        <v>15.1551315</v>
      </c>
      <c r="H884">
        <v>14.340208199999999</v>
      </c>
      <c r="I884">
        <v>13.67177395</v>
      </c>
      <c r="J884">
        <v>12.874992799999999</v>
      </c>
      <c r="K884">
        <v>11.722494599999999</v>
      </c>
      <c r="L884">
        <v>11.8162615</v>
      </c>
      <c r="M884">
        <v>12.253935999999999</v>
      </c>
      <c r="N884">
        <v>12.3790681</v>
      </c>
      <c r="O884">
        <v>12.60609625</v>
      </c>
      <c r="P884">
        <v>12.980801899999999</v>
      </c>
      <c r="Q884">
        <v>13.1853768</v>
      </c>
      <c r="R884">
        <v>14.207711700000001</v>
      </c>
      <c r="S884">
        <v>14.7783292</v>
      </c>
      <c r="T884">
        <v>15.1409176</v>
      </c>
      <c r="U884">
        <v>14.981679550000001</v>
      </c>
      <c r="V884">
        <v>14.495377400000001</v>
      </c>
      <c r="W884">
        <v>16.412921999999998</v>
      </c>
      <c r="X884">
        <v>17.745353999999999</v>
      </c>
      <c r="Y884">
        <v>18.782754000000001</v>
      </c>
      <c r="Z884">
        <v>18.589335899999998</v>
      </c>
      <c r="AA884">
        <v>18.596335499999999</v>
      </c>
      <c r="AB884">
        <v>18.059082</v>
      </c>
    </row>
    <row r="885" spans="1:28" hidden="1" x14ac:dyDescent="0.25">
      <c r="A885" t="s">
        <v>74</v>
      </c>
      <c r="B885" t="s">
        <v>90</v>
      </c>
      <c r="C885">
        <v>14</v>
      </c>
      <c r="D885" t="s">
        <v>3</v>
      </c>
      <c r="E885">
        <v>2.9144427177000001</v>
      </c>
      <c r="F885">
        <v>2.8669660493000002</v>
      </c>
      <c r="G885">
        <v>2.7850839445000002</v>
      </c>
      <c r="H885">
        <v>2.7130321862</v>
      </c>
      <c r="I885">
        <v>2.6699295000999999</v>
      </c>
      <c r="J885">
        <v>2.6418719844999998</v>
      </c>
      <c r="K885">
        <v>2.7101945847</v>
      </c>
      <c r="L885">
        <v>2.8378997188000001</v>
      </c>
      <c r="M885">
        <v>2.9529912859</v>
      </c>
      <c r="N885">
        <v>2.9708250395000002</v>
      </c>
      <c r="O885">
        <v>2.9816251140999999</v>
      </c>
      <c r="P885">
        <v>2.9974659336</v>
      </c>
      <c r="Q885">
        <v>2.9767770748000002</v>
      </c>
      <c r="R885">
        <v>3.1002666325999999</v>
      </c>
      <c r="S885">
        <v>3.1499570348999999</v>
      </c>
      <c r="T885">
        <v>3.1605816855</v>
      </c>
      <c r="U885">
        <v>3.1012319504999999</v>
      </c>
      <c r="V885">
        <v>2.9585467519000002</v>
      </c>
      <c r="W885">
        <v>2.8986913293000001</v>
      </c>
      <c r="X885">
        <v>2.8771105304</v>
      </c>
      <c r="Y885">
        <v>2.9024875875</v>
      </c>
      <c r="Z885">
        <v>2.8362416953</v>
      </c>
      <c r="AA885">
        <v>2.9390686707999998</v>
      </c>
      <c r="AB885">
        <v>2.9944477701999999</v>
      </c>
    </row>
    <row r="886" spans="1:28" hidden="1" x14ac:dyDescent="0.25">
      <c r="A886" t="s">
        <v>74</v>
      </c>
      <c r="B886" t="s">
        <v>90</v>
      </c>
      <c r="C886">
        <v>14</v>
      </c>
      <c r="D886" t="s">
        <v>4</v>
      </c>
      <c r="E886">
        <v>0.88439780000000001</v>
      </c>
      <c r="F886">
        <v>0.84120399999999995</v>
      </c>
      <c r="G886">
        <v>0.79763850000000003</v>
      </c>
      <c r="H886">
        <v>0.75474779999999997</v>
      </c>
      <c r="I886">
        <v>0.71956704999999999</v>
      </c>
      <c r="J886">
        <v>0.67763119999999999</v>
      </c>
      <c r="K886">
        <v>0.61697340000000001</v>
      </c>
      <c r="L886">
        <v>0.62190849999999998</v>
      </c>
      <c r="M886">
        <v>0.64494399999999996</v>
      </c>
      <c r="N886">
        <v>0.6515299</v>
      </c>
      <c r="O886">
        <v>0.66347875000000001</v>
      </c>
      <c r="P886">
        <v>0.68320009999999998</v>
      </c>
      <c r="Q886">
        <v>0.69396720000000001</v>
      </c>
      <c r="R886">
        <v>0.7477743</v>
      </c>
      <c r="S886">
        <v>0.77780680000000002</v>
      </c>
      <c r="T886">
        <v>0.7968904</v>
      </c>
      <c r="U886">
        <v>0.78850944999999995</v>
      </c>
      <c r="V886">
        <v>0.7629146</v>
      </c>
      <c r="W886">
        <v>0.86383799999999999</v>
      </c>
      <c r="X886">
        <v>0.93396599999999996</v>
      </c>
      <c r="Y886">
        <v>0.98856599999999994</v>
      </c>
      <c r="Z886">
        <v>0.97838610000000004</v>
      </c>
      <c r="AA886">
        <v>0.97875449999999997</v>
      </c>
      <c r="AB886">
        <v>0.95047800000000005</v>
      </c>
    </row>
    <row r="887" spans="1:28" hidden="1" x14ac:dyDescent="0.25">
      <c r="A887" t="s">
        <v>74</v>
      </c>
      <c r="B887" t="s">
        <v>91</v>
      </c>
      <c r="C887">
        <v>110</v>
      </c>
      <c r="D887" t="s">
        <v>2</v>
      </c>
      <c r="E887">
        <v>10.62085115</v>
      </c>
      <c r="F887">
        <v>10.2634396</v>
      </c>
      <c r="G887">
        <v>9.8616925749999993</v>
      </c>
      <c r="H887">
        <v>9.5158955200000008</v>
      </c>
      <c r="I887">
        <v>9.3344860999999995</v>
      </c>
      <c r="J887">
        <v>9.3658055200000003</v>
      </c>
      <c r="K887">
        <v>10.414460160000001</v>
      </c>
      <c r="L887">
        <v>11.803368275</v>
      </c>
      <c r="M887">
        <v>12.766742600000001</v>
      </c>
      <c r="N887">
        <v>13.267392490000001</v>
      </c>
      <c r="O887">
        <v>13.908477769999999</v>
      </c>
      <c r="P887">
        <v>14.20392655</v>
      </c>
      <c r="Q887">
        <v>14.2285614</v>
      </c>
      <c r="R887">
        <v>14.731153709999999</v>
      </c>
      <c r="S887">
        <v>15.1164798</v>
      </c>
      <c r="T887">
        <v>15.185343120000001</v>
      </c>
      <c r="U887">
        <v>14.557371144999999</v>
      </c>
      <c r="V887">
        <v>13.80609293</v>
      </c>
      <c r="W887">
        <v>14.43159945</v>
      </c>
      <c r="X887">
        <v>14.686571624999999</v>
      </c>
      <c r="Y887">
        <v>14.27271107</v>
      </c>
      <c r="Z887">
        <v>12.56688216</v>
      </c>
      <c r="AA887">
        <v>11.754605850000001</v>
      </c>
      <c r="AB887">
        <v>10.96431868</v>
      </c>
    </row>
    <row r="888" spans="1:28" hidden="1" x14ac:dyDescent="0.25">
      <c r="A888" t="s">
        <v>74</v>
      </c>
      <c r="B888" t="s">
        <v>91</v>
      </c>
      <c r="C888">
        <v>110</v>
      </c>
      <c r="D888" t="s">
        <v>3</v>
      </c>
      <c r="E888">
        <v>1.8228032663</v>
      </c>
      <c r="F888">
        <v>1.7633356722</v>
      </c>
      <c r="G888">
        <v>1.6701711530000001</v>
      </c>
      <c r="H888">
        <v>1.6051469248000001</v>
      </c>
      <c r="I888">
        <v>1.5866245971999999</v>
      </c>
      <c r="J888">
        <v>1.5965425024</v>
      </c>
      <c r="K888">
        <v>2.1993603433</v>
      </c>
      <c r="L888">
        <v>2.8187272910000001</v>
      </c>
      <c r="M888">
        <v>3.2423898724</v>
      </c>
      <c r="N888">
        <v>3.4372619100000001</v>
      </c>
      <c r="O888">
        <v>3.6428268949999998</v>
      </c>
      <c r="P888">
        <v>3.7375492878999999</v>
      </c>
      <c r="Q888">
        <v>3.6893036586000001</v>
      </c>
      <c r="R888">
        <v>3.8246284604</v>
      </c>
      <c r="S888">
        <v>3.9973250992999998</v>
      </c>
      <c r="T888">
        <v>3.9842959618</v>
      </c>
      <c r="U888">
        <v>3.6477846507999998</v>
      </c>
      <c r="V888">
        <v>3.2514918257000001</v>
      </c>
      <c r="W888">
        <v>2.9955217566000001</v>
      </c>
      <c r="X888">
        <v>2.8895136656</v>
      </c>
      <c r="Y888">
        <v>2.6650642315000002</v>
      </c>
      <c r="Z888">
        <v>2.2732425964999998</v>
      </c>
      <c r="AA888">
        <v>2.0401589105000002</v>
      </c>
      <c r="AB888">
        <v>1.8303950549000001</v>
      </c>
    </row>
    <row r="889" spans="1:28" hidden="1" x14ac:dyDescent="0.25">
      <c r="A889" t="s">
        <v>74</v>
      </c>
      <c r="B889" t="s">
        <v>91</v>
      </c>
      <c r="C889">
        <v>110</v>
      </c>
      <c r="D889" t="s">
        <v>4</v>
      </c>
      <c r="E889">
        <v>0.16173884999999999</v>
      </c>
      <c r="F889">
        <v>0.15629603449999999</v>
      </c>
      <c r="G889">
        <v>0.15017805949999999</v>
      </c>
      <c r="H889">
        <v>0.14491211449999999</v>
      </c>
      <c r="I889">
        <v>0.14214953450000001</v>
      </c>
      <c r="J889">
        <v>0.14262648</v>
      </c>
      <c r="K889">
        <v>0.15859583999999999</v>
      </c>
      <c r="L889">
        <v>0.179746725</v>
      </c>
      <c r="M889">
        <v>0.19441739999999999</v>
      </c>
      <c r="N889">
        <v>0.20204151000000001</v>
      </c>
      <c r="O889">
        <v>0.21180423000000001</v>
      </c>
      <c r="P889">
        <v>0.21630345000000001</v>
      </c>
      <c r="Q889">
        <v>0.2166786</v>
      </c>
      <c r="R889">
        <v>0.22433228999999999</v>
      </c>
      <c r="S889">
        <v>0.23020019999999999</v>
      </c>
      <c r="T889">
        <v>0.23124887999999999</v>
      </c>
      <c r="U889">
        <v>0.22168585499999999</v>
      </c>
      <c r="V889">
        <v>0.21024507000000001</v>
      </c>
      <c r="W889">
        <v>0.21977055000000001</v>
      </c>
      <c r="X889">
        <v>0.22365337499999999</v>
      </c>
      <c r="Y889">
        <v>0.21735093</v>
      </c>
      <c r="Z889">
        <v>0.19137383999999999</v>
      </c>
      <c r="AA889">
        <v>0.17900415</v>
      </c>
      <c r="AB889">
        <v>0.16696932</v>
      </c>
    </row>
    <row r="890" spans="1:28" hidden="1" x14ac:dyDescent="0.25">
      <c r="A890" t="s">
        <v>74</v>
      </c>
      <c r="B890" t="s">
        <v>92</v>
      </c>
      <c r="C890">
        <v>110</v>
      </c>
      <c r="D890" t="s">
        <v>2</v>
      </c>
      <c r="E890">
        <v>3.9152824100000001</v>
      </c>
      <c r="F890">
        <v>3.7073035999999999</v>
      </c>
      <c r="G890">
        <v>3.6117339749999999</v>
      </c>
      <c r="H890">
        <v>3.5230928399999999</v>
      </c>
      <c r="I890">
        <v>3.6841698900000002</v>
      </c>
      <c r="J890">
        <v>4.0415416799999999</v>
      </c>
      <c r="K890">
        <v>5.0570215200000002</v>
      </c>
      <c r="L890">
        <v>6.6065082750000004</v>
      </c>
      <c r="M890">
        <v>7.8727109999999998</v>
      </c>
      <c r="N890">
        <v>8.1709847599999996</v>
      </c>
      <c r="O890">
        <v>8.7017510250000001</v>
      </c>
      <c r="P890">
        <v>8.9459177499999996</v>
      </c>
      <c r="Q890">
        <v>8.6104799399999994</v>
      </c>
      <c r="R890">
        <v>8.6490604199999996</v>
      </c>
      <c r="S890">
        <v>9.1809801199999992</v>
      </c>
      <c r="T890">
        <v>9.4176401599999995</v>
      </c>
      <c r="U890">
        <v>9.4398528949999996</v>
      </c>
      <c r="V890">
        <v>8.9051958800000008</v>
      </c>
      <c r="W890">
        <v>8.8424829000000003</v>
      </c>
      <c r="X890">
        <v>8.3898655499999997</v>
      </c>
      <c r="Y890">
        <v>7.3512795799999999</v>
      </c>
      <c r="Z890">
        <v>5.7099524099999996</v>
      </c>
      <c r="AA890">
        <v>4.9364457000000002</v>
      </c>
      <c r="AB890">
        <v>4.3889078399999999</v>
      </c>
    </row>
    <row r="891" spans="1:28" hidden="1" x14ac:dyDescent="0.25">
      <c r="A891" t="s">
        <v>74</v>
      </c>
      <c r="B891" t="s">
        <v>92</v>
      </c>
      <c r="C891">
        <v>110</v>
      </c>
      <c r="D891" t="s">
        <v>3</v>
      </c>
      <c r="E891">
        <v>0.27231566140000002</v>
      </c>
      <c r="F891">
        <v>0.24235804599999999</v>
      </c>
      <c r="G891">
        <v>0.23499585719999999</v>
      </c>
      <c r="H891">
        <v>0.24554775370000001</v>
      </c>
      <c r="I891">
        <v>0.39400263400000002</v>
      </c>
      <c r="J891">
        <v>0.54929350310000002</v>
      </c>
      <c r="K891">
        <v>1.0041588113</v>
      </c>
      <c r="L891">
        <v>1.6537243245</v>
      </c>
      <c r="M891">
        <v>2.3026074467000002</v>
      </c>
      <c r="N891">
        <v>2.45056034</v>
      </c>
      <c r="O891">
        <v>2.6455456523000001</v>
      </c>
      <c r="P891">
        <v>2.7106957178000002</v>
      </c>
      <c r="Q891">
        <v>2.5353277049999998</v>
      </c>
      <c r="R891">
        <v>2.505504218</v>
      </c>
      <c r="S891">
        <v>2.6887978610999999</v>
      </c>
      <c r="T891">
        <v>2.7123398401999999</v>
      </c>
      <c r="U891">
        <v>2.6658874529999999</v>
      </c>
      <c r="V891">
        <v>2.3184664443999998</v>
      </c>
      <c r="W891">
        <v>1.9946214301</v>
      </c>
      <c r="X891">
        <v>1.7483358550000001</v>
      </c>
      <c r="Y891">
        <v>1.3160722149999999</v>
      </c>
      <c r="Z891">
        <v>0.75903278139999997</v>
      </c>
      <c r="AA891">
        <v>0.53862159639999996</v>
      </c>
      <c r="AB891">
        <v>0.37498125249999997</v>
      </c>
    </row>
    <row r="892" spans="1:28" hidden="1" x14ac:dyDescent="0.25">
      <c r="A892" t="s">
        <v>74</v>
      </c>
      <c r="B892" t="s">
        <v>92</v>
      </c>
      <c r="C892">
        <v>110</v>
      </c>
      <c r="D892" t="s">
        <v>4</v>
      </c>
      <c r="E892">
        <v>5.9623589999999997E-2</v>
      </c>
      <c r="F892">
        <v>5.6456399999999997E-2</v>
      </c>
      <c r="G892">
        <v>5.5001025000000002E-2</v>
      </c>
      <c r="H892">
        <v>5.3651160000000003E-2</v>
      </c>
      <c r="I892">
        <v>5.6104109999999999E-2</v>
      </c>
      <c r="J892">
        <v>6.1546320000000002E-2</v>
      </c>
      <c r="K892">
        <v>7.7010480000000006E-2</v>
      </c>
      <c r="L892">
        <v>0.10060672499999999</v>
      </c>
      <c r="M892">
        <v>0.119889</v>
      </c>
      <c r="N892">
        <v>0.12443124</v>
      </c>
      <c r="O892">
        <v>0.13251397500000001</v>
      </c>
      <c r="P892">
        <v>0.13623225</v>
      </c>
      <c r="Q892">
        <v>0.13112405999999999</v>
      </c>
      <c r="R892">
        <v>0.13171157999999999</v>
      </c>
      <c r="S892">
        <v>0.13981188</v>
      </c>
      <c r="T892">
        <v>0.14341583999999999</v>
      </c>
      <c r="U892">
        <v>0.14375410499999999</v>
      </c>
      <c r="V892">
        <v>0.13561212</v>
      </c>
      <c r="W892">
        <v>0.1346571</v>
      </c>
      <c r="X892">
        <v>0.12776445</v>
      </c>
      <c r="Y892">
        <v>0.11194842000000001</v>
      </c>
      <c r="Z892">
        <v>8.6953589999999997E-2</v>
      </c>
      <c r="AA892">
        <v>7.5174299999999999E-2</v>
      </c>
      <c r="AB892">
        <v>6.6836160000000006E-2</v>
      </c>
    </row>
    <row r="893" spans="1:28" hidden="1" x14ac:dyDescent="0.25">
      <c r="A893" t="s">
        <v>74</v>
      </c>
      <c r="B893" t="s">
        <v>93</v>
      </c>
      <c r="C893">
        <v>110</v>
      </c>
      <c r="D893" t="s">
        <v>2</v>
      </c>
      <c r="E893">
        <v>19.058321750000001</v>
      </c>
      <c r="F893">
        <v>17.876804400000001</v>
      </c>
      <c r="G893">
        <v>16.74341415</v>
      </c>
      <c r="H893">
        <v>15.651441180000001</v>
      </c>
      <c r="I893">
        <v>14.670655010000001</v>
      </c>
      <c r="J893">
        <v>13.91656856</v>
      </c>
      <c r="K893">
        <v>12.41098227</v>
      </c>
      <c r="L893">
        <v>11.582501725</v>
      </c>
      <c r="M893">
        <v>11.5125618</v>
      </c>
      <c r="N893">
        <v>11.322251919999999</v>
      </c>
      <c r="O893">
        <v>11.301533429999999</v>
      </c>
      <c r="P893">
        <v>11.633344470000001</v>
      </c>
      <c r="Q893">
        <v>11.79357048</v>
      </c>
      <c r="R893">
        <v>12.74233233</v>
      </c>
      <c r="S893">
        <v>13.402485240000001</v>
      </c>
      <c r="T893">
        <v>14.110416560000001</v>
      </c>
      <c r="U893">
        <v>14.51800562</v>
      </c>
      <c r="V893">
        <v>14.733084310000001</v>
      </c>
      <c r="W893">
        <v>16.675588035000001</v>
      </c>
      <c r="X893">
        <v>18.726455550000001</v>
      </c>
      <c r="Y893">
        <v>20.580073859999999</v>
      </c>
      <c r="Z893">
        <v>20.870000730000001</v>
      </c>
      <c r="AA893">
        <v>21.10615645</v>
      </c>
      <c r="AB893">
        <v>20.66444108</v>
      </c>
    </row>
    <row r="894" spans="1:28" hidden="1" x14ac:dyDescent="0.25">
      <c r="A894" t="s">
        <v>74</v>
      </c>
      <c r="B894" t="s">
        <v>93</v>
      </c>
      <c r="C894">
        <v>110</v>
      </c>
      <c r="D894" t="s">
        <v>3</v>
      </c>
      <c r="E894">
        <v>1.6881271913</v>
      </c>
      <c r="F894">
        <v>1.5691141815</v>
      </c>
      <c r="G894">
        <v>1.461894252</v>
      </c>
      <c r="H894">
        <v>1.3464633727999999</v>
      </c>
      <c r="I894">
        <v>1.2394741252999999</v>
      </c>
      <c r="J894">
        <v>1.1368411205</v>
      </c>
      <c r="K894">
        <v>1.1287143623</v>
      </c>
      <c r="L894">
        <v>1.2496577703</v>
      </c>
      <c r="M894">
        <v>1.4151128682</v>
      </c>
      <c r="N894">
        <v>1.5129346130000001</v>
      </c>
      <c r="O894">
        <v>1.5555525160999999</v>
      </c>
      <c r="P894">
        <v>1.5898844513999999</v>
      </c>
      <c r="Q894">
        <v>1.5804401626</v>
      </c>
      <c r="R894">
        <v>1.5946555813000001</v>
      </c>
      <c r="S894">
        <v>1.6673778725999999</v>
      </c>
      <c r="T894">
        <v>1.7214776398</v>
      </c>
      <c r="U894">
        <v>1.7268729269</v>
      </c>
      <c r="V894">
        <v>1.7024359909</v>
      </c>
      <c r="W894">
        <v>1.4598300311000001</v>
      </c>
      <c r="X894">
        <v>1.4683510949</v>
      </c>
      <c r="Y894">
        <v>1.5923642254999999</v>
      </c>
      <c r="Z894">
        <v>1.6762455695</v>
      </c>
      <c r="AA894">
        <v>1.7755969588</v>
      </c>
      <c r="AB894">
        <v>1.8114128503</v>
      </c>
    </row>
    <row r="895" spans="1:28" hidden="1" x14ac:dyDescent="0.25">
      <c r="A895" t="s">
        <v>74</v>
      </c>
      <c r="B895" t="s">
        <v>93</v>
      </c>
      <c r="C895">
        <v>110</v>
      </c>
      <c r="D895" t="s">
        <v>4</v>
      </c>
      <c r="E895">
        <v>0.29022825000000002</v>
      </c>
      <c r="F895">
        <v>0.27223560000000002</v>
      </c>
      <c r="G895">
        <v>0.25497585</v>
      </c>
      <c r="H895">
        <v>0.23834681999999999</v>
      </c>
      <c r="I895">
        <v>0.22341099</v>
      </c>
      <c r="J895">
        <v>0.21192743999999999</v>
      </c>
      <c r="K895">
        <v>0.18899973</v>
      </c>
      <c r="L895">
        <v>0.17638327500000001</v>
      </c>
      <c r="M895">
        <v>0.17531820000000001</v>
      </c>
      <c r="N895">
        <v>0.17242008</v>
      </c>
      <c r="O895">
        <v>0.17210457000000001</v>
      </c>
      <c r="P895">
        <v>0.17715753000000001</v>
      </c>
      <c r="Q895">
        <v>0.17959752000000001</v>
      </c>
      <c r="R895">
        <v>0.19404567</v>
      </c>
      <c r="S895">
        <v>0.20409875999999999</v>
      </c>
      <c r="T895">
        <v>0.21487944</v>
      </c>
      <c r="U895">
        <v>0.22108638</v>
      </c>
      <c r="V895">
        <v>0.22436169</v>
      </c>
      <c r="W895">
        <v>0.25394296500000002</v>
      </c>
      <c r="X895">
        <v>0.28517445000000002</v>
      </c>
      <c r="Y895">
        <v>0.31340214</v>
      </c>
      <c r="Z895">
        <v>0.31781726999999999</v>
      </c>
      <c r="AA895">
        <v>0.32141354999999999</v>
      </c>
      <c r="AB895">
        <v>0.31468691999999998</v>
      </c>
    </row>
    <row r="896" spans="1:28" hidden="1" x14ac:dyDescent="0.25">
      <c r="A896" t="s">
        <v>74</v>
      </c>
      <c r="B896" t="s">
        <v>94</v>
      </c>
      <c r="C896">
        <v>110</v>
      </c>
      <c r="D896" t="s">
        <v>2</v>
      </c>
      <c r="E896">
        <v>36.64378679</v>
      </c>
      <c r="F896">
        <v>35.488289199999997</v>
      </c>
      <c r="G896">
        <v>34.523723025000002</v>
      </c>
      <c r="H896">
        <v>33.449134319999999</v>
      </c>
      <c r="I896">
        <v>32.886828354999999</v>
      </c>
      <c r="J896">
        <v>33.402342879999999</v>
      </c>
      <c r="K896">
        <v>38.115422100000004</v>
      </c>
      <c r="L896">
        <v>48.356782299999999</v>
      </c>
      <c r="M896">
        <v>57.854700000000001</v>
      </c>
      <c r="N896">
        <v>60.530090020000003</v>
      </c>
      <c r="O896">
        <v>61.917871294999998</v>
      </c>
      <c r="P896">
        <v>62.202495910000003</v>
      </c>
      <c r="Q896">
        <v>59.547262889999999</v>
      </c>
      <c r="R896">
        <v>61.483873359999997</v>
      </c>
      <c r="S896">
        <v>64.258925680000004</v>
      </c>
      <c r="T896">
        <v>64.88866376</v>
      </c>
      <c r="U896">
        <v>62.819504795</v>
      </c>
      <c r="V896">
        <v>55.801841760000002</v>
      </c>
      <c r="W896">
        <v>53.814016215000002</v>
      </c>
      <c r="X896">
        <v>51.476218199999998</v>
      </c>
      <c r="Y896">
        <v>49.625523370000003</v>
      </c>
      <c r="Z896">
        <v>44.840164850000001</v>
      </c>
      <c r="AA896">
        <v>42.285626450000002</v>
      </c>
      <c r="AB896">
        <v>40.414526360000004</v>
      </c>
    </row>
    <row r="897" spans="1:28" hidden="1" x14ac:dyDescent="0.25">
      <c r="A897" t="s">
        <v>74</v>
      </c>
      <c r="B897" t="s">
        <v>94</v>
      </c>
      <c r="C897">
        <v>110</v>
      </c>
      <c r="D897" t="s">
        <v>3</v>
      </c>
      <c r="E897">
        <v>8.8404580934000005</v>
      </c>
      <c r="F897">
        <v>8.8100957645999998</v>
      </c>
      <c r="G897">
        <v>8.8513278909000004</v>
      </c>
      <c r="H897">
        <v>8.8437188065000001</v>
      </c>
      <c r="I897">
        <v>8.8059815946000004</v>
      </c>
      <c r="J897">
        <v>8.9854616092999997</v>
      </c>
      <c r="K897">
        <v>10.573483381400001</v>
      </c>
      <c r="L897">
        <v>12.910198876899999</v>
      </c>
      <c r="M897">
        <v>15.194399386900001</v>
      </c>
      <c r="N897">
        <v>15.9707712472</v>
      </c>
      <c r="O897">
        <v>16.453421586600001</v>
      </c>
      <c r="P897">
        <v>16.2733411924</v>
      </c>
      <c r="Q897">
        <v>15.8060958865</v>
      </c>
      <c r="R897">
        <v>16.3560294378</v>
      </c>
      <c r="S897">
        <v>16.851991853299999</v>
      </c>
      <c r="T897">
        <v>16.880000360899999</v>
      </c>
      <c r="U897">
        <v>16.4506674561</v>
      </c>
      <c r="V897">
        <v>14.568160779899999</v>
      </c>
      <c r="W897">
        <v>13.6276217193</v>
      </c>
      <c r="X897">
        <v>12.8199294926</v>
      </c>
      <c r="Y897">
        <v>12.1570169793</v>
      </c>
      <c r="Z897">
        <v>10.8663332014</v>
      </c>
      <c r="AA897">
        <v>10.214922636700001</v>
      </c>
      <c r="AB897">
        <v>10.0116636148</v>
      </c>
    </row>
    <row r="898" spans="1:28" hidden="1" x14ac:dyDescent="0.25">
      <c r="A898" t="s">
        <v>74</v>
      </c>
      <c r="B898" t="s">
        <v>94</v>
      </c>
      <c r="C898">
        <v>110</v>
      </c>
      <c r="D898" t="s">
        <v>4</v>
      </c>
      <c r="E898">
        <v>0.55802721</v>
      </c>
      <c r="F898">
        <v>0.54043079999999999</v>
      </c>
      <c r="G898">
        <v>0.52574197499999997</v>
      </c>
      <c r="H898">
        <v>0.50937768000000005</v>
      </c>
      <c r="I898">
        <v>0.50081464499999995</v>
      </c>
      <c r="J898">
        <v>0.50866511999999997</v>
      </c>
      <c r="K898">
        <v>0.58043789999999995</v>
      </c>
      <c r="L898">
        <v>0.73639770000000004</v>
      </c>
      <c r="M898">
        <v>0.88103604059999996</v>
      </c>
      <c r="N898">
        <v>0.92177802060000003</v>
      </c>
      <c r="O898">
        <v>0.94291174560000002</v>
      </c>
      <c r="P898">
        <v>0.94724613059999996</v>
      </c>
      <c r="Q898">
        <v>0.90681111000000003</v>
      </c>
      <c r="R898">
        <v>0.93630263999999996</v>
      </c>
      <c r="S898">
        <v>0.97856231999999999</v>
      </c>
      <c r="T898">
        <v>0.98815224000000002</v>
      </c>
      <c r="U898">
        <v>0.95664220499999997</v>
      </c>
      <c r="V898">
        <v>0.84977424000000001</v>
      </c>
      <c r="W898">
        <v>0.81950278499999996</v>
      </c>
      <c r="X898">
        <v>0.78390179999999998</v>
      </c>
      <c r="Y898">
        <v>0.75571862999999995</v>
      </c>
      <c r="Z898">
        <v>0.68284515000000001</v>
      </c>
      <c r="AA898">
        <v>0.64394355000000003</v>
      </c>
      <c r="AB898">
        <v>0.61544964000000002</v>
      </c>
    </row>
    <row r="899" spans="1:28" hidden="1" x14ac:dyDescent="0.25">
      <c r="A899" t="s">
        <v>74</v>
      </c>
      <c r="B899" t="s">
        <v>95</v>
      </c>
      <c r="C899">
        <v>34</v>
      </c>
      <c r="D899" t="s">
        <v>2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</row>
    <row r="900" spans="1:28" hidden="1" x14ac:dyDescent="0.25">
      <c r="A900" t="s">
        <v>74</v>
      </c>
      <c r="B900" t="s">
        <v>95</v>
      </c>
      <c r="C900">
        <v>34</v>
      </c>
      <c r="D900" t="s">
        <v>3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</row>
    <row r="901" spans="1:28" hidden="1" x14ac:dyDescent="0.25">
      <c r="A901" t="s">
        <v>74</v>
      </c>
      <c r="B901" t="s">
        <v>95</v>
      </c>
      <c r="C901">
        <v>34</v>
      </c>
      <c r="D901" t="s">
        <v>4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</row>
    <row r="902" spans="1:28" hidden="1" x14ac:dyDescent="0.25">
      <c r="A902" t="s">
        <v>74</v>
      </c>
      <c r="B902" t="s">
        <v>96</v>
      </c>
      <c r="C902">
        <v>34</v>
      </c>
      <c r="D902" t="s">
        <v>2</v>
      </c>
      <c r="E902">
        <v>32.259255080000003</v>
      </c>
      <c r="F902">
        <v>28.253028799999999</v>
      </c>
      <c r="G902">
        <v>26.990937550000002</v>
      </c>
      <c r="H902">
        <v>25.692294759999999</v>
      </c>
      <c r="I902">
        <v>24.892522</v>
      </c>
      <c r="J902">
        <v>27.675884799999999</v>
      </c>
      <c r="K902">
        <v>30.853880279999998</v>
      </c>
      <c r="L902">
        <v>36.412577800000001</v>
      </c>
      <c r="M902">
        <v>41.590030400000003</v>
      </c>
      <c r="N902">
        <v>43.72738854</v>
      </c>
      <c r="O902">
        <v>45.660280380000003</v>
      </c>
      <c r="P902">
        <v>46.356924679999999</v>
      </c>
      <c r="Q902">
        <v>45.94308582</v>
      </c>
      <c r="R902">
        <v>47.490672320000002</v>
      </c>
      <c r="S902">
        <v>48.933271840000003</v>
      </c>
      <c r="T902">
        <v>49.278203840000003</v>
      </c>
      <c r="U902">
        <v>48.294745089999999</v>
      </c>
      <c r="V902">
        <v>45.703598640000003</v>
      </c>
      <c r="W902">
        <v>47.433005819999998</v>
      </c>
      <c r="X902">
        <v>46.807262700000003</v>
      </c>
      <c r="Y902">
        <v>45.388360280000001</v>
      </c>
      <c r="Z902">
        <v>40.302250639999997</v>
      </c>
      <c r="AA902">
        <v>37.622711000000002</v>
      </c>
      <c r="AB902">
        <v>35.508324399999999</v>
      </c>
    </row>
    <row r="903" spans="1:28" hidden="1" x14ac:dyDescent="0.25">
      <c r="A903" t="s">
        <v>74</v>
      </c>
      <c r="B903" t="s">
        <v>96</v>
      </c>
      <c r="C903">
        <v>34</v>
      </c>
      <c r="D903" t="s">
        <v>3</v>
      </c>
      <c r="E903">
        <v>7.0392962801000003</v>
      </c>
      <c r="F903">
        <v>6.2957960363999996</v>
      </c>
      <c r="G903">
        <v>6.0897035838000004</v>
      </c>
      <c r="H903">
        <v>5.9134730429999998</v>
      </c>
      <c r="I903">
        <v>5.8118590716999998</v>
      </c>
      <c r="J903">
        <v>6.7155348097000003</v>
      </c>
      <c r="K903">
        <v>8.0602252509000003</v>
      </c>
      <c r="L903">
        <v>9.9505839277000003</v>
      </c>
      <c r="M903">
        <v>12.0625878572</v>
      </c>
      <c r="N903">
        <v>13.1076450503</v>
      </c>
      <c r="O903">
        <v>13.914398587199999</v>
      </c>
      <c r="P903">
        <v>14.2772975956</v>
      </c>
      <c r="Q903">
        <v>14.194221881500001</v>
      </c>
      <c r="R903">
        <v>14.278932579099999</v>
      </c>
      <c r="S903">
        <v>14.670008902099999</v>
      </c>
      <c r="T903">
        <v>14.698465090799999</v>
      </c>
      <c r="U903">
        <v>14.316600507</v>
      </c>
      <c r="V903">
        <v>13.386800818299999</v>
      </c>
      <c r="W903">
        <v>12.8320931896</v>
      </c>
      <c r="X903">
        <v>11.984552820199999</v>
      </c>
      <c r="Y903">
        <v>10.9316760118</v>
      </c>
      <c r="Z903">
        <v>9.0853057159000006</v>
      </c>
      <c r="AA903">
        <v>8.2152013577999998</v>
      </c>
      <c r="AB903">
        <v>7.7168132685000002</v>
      </c>
    </row>
    <row r="904" spans="1:28" hidden="1" x14ac:dyDescent="0.25">
      <c r="A904" t="s">
        <v>74</v>
      </c>
      <c r="B904" t="s">
        <v>96</v>
      </c>
      <c r="C904">
        <v>34</v>
      </c>
      <c r="D904" t="s">
        <v>4</v>
      </c>
      <c r="E904">
        <v>0.99770892</v>
      </c>
      <c r="F904">
        <v>0.87380501440000002</v>
      </c>
      <c r="G904">
        <v>0.83477126440000005</v>
      </c>
      <c r="H904">
        <v>0.79460705440000001</v>
      </c>
      <c r="I904">
        <v>0.76987181439999997</v>
      </c>
      <c r="J904">
        <v>0.85595520000000003</v>
      </c>
      <c r="K904">
        <v>0.95424372000000002</v>
      </c>
      <c r="L904">
        <v>1.1261622</v>
      </c>
      <c r="M904">
        <v>1.2862895999999999</v>
      </c>
      <c r="N904">
        <v>1.35239346</v>
      </c>
      <c r="O904">
        <v>1.4121736199999999</v>
      </c>
      <c r="P904">
        <v>1.43371932</v>
      </c>
      <c r="Q904">
        <v>1.42092018</v>
      </c>
      <c r="R904">
        <v>1.46878368</v>
      </c>
      <c r="S904">
        <v>1.51340016</v>
      </c>
      <c r="T904">
        <v>1.5240681599999999</v>
      </c>
      <c r="U904">
        <v>1.4936519100000001</v>
      </c>
      <c r="V904">
        <v>1.4135133600000001</v>
      </c>
      <c r="W904">
        <v>1.4670001800000001</v>
      </c>
      <c r="X904">
        <v>1.4476473000000001</v>
      </c>
      <c r="Y904">
        <v>1.4037637199999999</v>
      </c>
      <c r="Z904">
        <v>1.2464613600000001</v>
      </c>
      <c r="AA904">
        <v>1.163589</v>
      </c>
      <c r="AB904">
        <v>1.0981955999999999</v>
      </c>
    </row>
    <row r="905" spans="1:28" hidden="1" x14ac:dyDescent="0.25">
      <c r="A905" t="s">
        <v>74</v>
      </c>
      <c r="B905" t="s">
        <v>97</v>
      </c>
      <c r="C905">
        <v>14</v>
      </c>
      <c r="D905" t="s">
        <v>2</v>
      </c>
      <c r="E905">
        <v>26.675827099999999</v>
      </c>
      <c r="F905">
        <v>26.820247999999999</v>
      </c>
      <c r="G905">
        <v>26.383889249999999</v>
      </c>
      <c r="H905">
        <v>26.350051199999999</v>
      </c>
      <c r="I905">
        <v>26.069977900000001</v>
      </c>
      <c r="J905">
        <v>25.5013136</v>
      </c>
      <c r="K905">
        <v>22.7145969</v>
      </c>
      <c r="L905">
        <v>18.877198249999999</v>
      </c>
      <c r="M905">
        <v>17.684059999999999</v>
      </c>
      <c r="N905">
        <v>21.833152699999999</v>
      </c>
      <c r="O905">
        <v>25.89603005</v>
      </c>
      <c r="P905">
        <v>26.046123399999999</v>
      </c>
      <c r="Q905">
        <v>26.915428500000001</v>
      </c>
      <c r="R905">
        <v>25.092112499999999</v>
      </c>
      <c r="S905">
        <v>23.066744799999999</v>
      </c>
      <c r="T905">
        <v>21.252989599999999</v>
      </c>
      <c r="U905">
        <v>22.1422086</v>
      </c>
      <c r="V905">
        <v>24.403238999999999</v>
      </c>
      <c r="W905">
        <v>30.178858049999999</v>
      </c>
      <c r="X905">
        <v>31.851913499999998</v>
      </c>
      <c r="Y905">
        <v>32.658301999999999</v>
      </c>
      <c r="Z905">
        <v>31.014290899999999</v>
      </c>
      <c r="AA905">
        <v>30.003973500000001</v>
      </c>
      <c r="AB905">
        <v>29.354635200000001</v>
      </c>
    </row>
    <row r="906" spans="1:28" hidden="1" x14ac:dyDescent="0.25">
      <c r="A906" t="s">
        <v>74</v>
      </c>
      <c r="B906" t="s">
        <v>97</v>
      </c>
      <c r="C906">
        <v>14</v>
      </c>
      <c r="D906" t="s">
        <v>3</v>
      </c>
      <c r="E906">
        <v>12.043292536599999</v>
      </c>
      <c r="F906">
        <v>12.1696217184</v>
      </c>
      <c r="G906">
        <v>11.9384932685</v>
      </c>
      <c r="H906">
        <v>11.8298260953</v>
      </c>
      <c r="I906">
        <v>11.6443557134</v>
      </c>
      <c r="J906">
        <v>11.493631154599999</v>
      </c>
      <c r="K906">
        <v>13.9583918091</v>
      </c>
      <c r="L906">
        <v>15.7735453333</v>
      </c>
      <c r="M906">
        <v>15.7520213095</v>
      </c>
      <c r="N906">
        <v>16.5603079421</v>
      </c>
      <c r="O906">
        <v>17.382018723600002</v>
      </c>
      <c r="P906">
        <v>17.568167602399999</v>
      </c>
      <c r="Q906">
        <v>18.267245408299999</v>
      </c>
      <c r="R906">
        <v>16.5339415995</v>
      </c>
      <c r="S906">
        <v>15.810531088099999</v>
      </c>
      <c r="T906">
        <v>14.8059615162</v>
      </c>
      <c r="U906">
        <v>13.904988254799999</v>
      </c>
      <c r="V906">
        <v>13.565066295199999</v>
      </c>
      <c r="W906">
        <v>13.537252496900001</v>
      </c>
      <c r="X906">
        <v>13.509254991300001</v>
      </c>
      <c r="Y906">
        <v>14.194397480999999</v>
      </c>
      <c r="Z906">
        <v>13.787928683800001</v>
      </c>
      <c r="AA906">
        <v>13.7025296236</v>
      </c>
      <c r="AB906">
        <v>13.4929563078</v>
      </c>
    </row>
    <row r="907" spans="1:28" hidden="1" x14ac:dyDescent="0.25">
      <c r="A907" t="s">
        <v>74</v>
      </c>
      <c r="B907" t="s">
        <v>97</v>
      </c>
      <c r="C907">
        <v>14</v>
      </c>
      <c r="D907" t="s">
        <v>4</v>
      </c>
      <c r="E907">
        <v>1.4039908999999999</v>
      </c>
      <c r="F907">
        <v>1.411592</v>
      </c>
      <c r="G907">
        <v>1.3886257500000001</v>
      </c>
      <c r="H907">
        <v>1.3868448</v>
      </c>
      <c r="I907">
        <v>1.3721041</v>
      </c>
      <c r="J907">
        <v>1.3421744</v>
      </c>
      <c r="K907">
        <v>1.1955051000000001</v>
      </c>
      <c r="L907">
        <v>0.99353674999999997</v>
      </c>
      <c r="M907">
        <v>0.93074000000000001</v>
      </c>
      <c r="N907">
        <v>1.1491133</v>
      </c>
      <c r="O907">
        <v>1.36294895</v>
      </c>
      <c r="P907">
        <v>1.3708486</v>
      </c>
      <c r="Q907">
        <v>1.4166015000000001</v>
      </c>
      <c r="R907">
        <v>1.3206374999999999</v>
      </c>
      <c r="S907">
        <v>1.2140392</v>
      </c>
      <c r="T907">
        <v>1.1185784000000001</v>
      </c>
      <c r="U907">
        <v>1.1653794</v>
      </c>
      <c r="V907">
        <v>1.284381</v>
      </c>
      <c r="W907">
        <v>1.58836095</v>
      </c>
      <c r="X907">
        <v>1.6764165</v>
      </c>
      <c r="Y907">
        <v>1.718858</v>
      </c>
      <c r="Z907">
        <v>1.6323311</v>
      </c>
      <c r="AA907">
        <v>1.5791565000000001</v>
      </c>
      <c r="AB907">
        <v>1.5449808</v>
      </c>
    </row>
    <row r="908" spans="1:28" hidden="1" x14ac:dyDescent="0.25">
      <c r="A908" t="s">
        <v>74</v>
      </c>
      <c r="B908" t="s">
        <v>98</v>
      </c>
      <c r="C908">
        <v>34</v>
      </c>
      <c r="D908" t="s">
        <v>2</v>
      </c>
      <c r="E908">
        <v>14.824971720000001</v>
      </c>
      <c r="F908">
        <v>14.356232800000001</v>
      </c>
      <c r="G908">
        <v>13.980221999999999</v>
      </c>
      <c r="H908">
        <v>13.71160572</v>
      </c>
      <c r="I908">
        <v>13.49796516</v>
      </c>
      <c r="J908">
        <v>12.987353280000001</v>
      </c>
      <c r="K908">
        <v>11.870669879999999</v>
      </c>
      <c r="L908">
        <v>11.681195900000001</v>
      </c>
      <c r="M908">
        <v>11.807111600000001</v>
      </c>
      <c r="N908">
        <v>11.966845380000001</v>
      </c>
      <c r="O908">
        <v>12.28609954</v>
      </c>
      <c r="P908">
        <v>12.801012399999999</v>
      </c>
      <c r="Q908">
        <v>13.26073032</v>
      </c>
      <c r="R908">
        <v>14.43850044</v>
      </c>
      <c r="S908">
        <v>14.94879416</v>
      </c>
      <c r="T908">
        <v>15.025191360000001</v>
      </c>
      <c r="U908">
        <v>14.467489860000001</v>
      </c>
      <c r="V908">
        <v>14.157041359999999</v>
      </c>
      <c r="W908">
        <v>16.610588459999999</v>
      </c>
      <c r="X908">
        <v>17.33005395</v>
      </c>
      <c r="Y908">
        <v>17.847802120000001</v>
      </c>
      <c r="Z908">
        <v>17.04906338</v>
      </c>
      <c r="AA908">
        <v>16.781814799999999</v>
      </c>
      <c r="AB908">
        <v>16.239088160000001</v>
      </c>
    </row>
    <row r="909" spans="1:28" hidden="1" x14ac:dyDescent="0.25">
      <c r="A909" t="s">
        <v>74</v>
      </c>
      <c r="B909" t="s">
        <v>98</v>
      </c>
      <c r="C909">
        <v>34</v>
      </c>
      <c r="D909" t="s">
        <v>3</v>
      </c>
      <c r="E909">
        <v>5.0231423183999997</v>
      </c>
      <c r="F909">
        <v>4.9707465504000004</v>
      </c>
      <c r="G909">
        <v>4.9157660819000002</v>
      </c>
      <c r="H909">
        <v>4.8689967784999997</v>
      </c>
      <c r="I909">
        <v>4.8225981484</v>
      </c>
      <c r="J909">
        <v>4.6787991515999998</v>
      </c>
      <c r="K909">
        <v>4.5403791787000003</v>
      </c>
      <c r="L909">
        <v>4.5480530973000004</v>
      </c>
      <c r="M909">
        <v>4.5134164253</v>
      </c>
      <c r="N909">
        <v>4.5344196750999997</v>
      </c>
      <c r="O909">
        <v>4.5744532226999999</v>
      </c>
      <c r="P909">
        <v>4.6525137731999999</v>
      </c>
      <c r="Q909">
        <v>4.7640126868000001</v>
      </c>
      <c r="R909">
        <v>4.9764626788999999</v>
      </c>
      <c r="S909">
        <v>5.0868754493999999</v>
      </c>
      <c r="T909">
        <v>5.1165146311000003</v>
      </c>
      <c r="U909">
        <v>4.9675542612000001</v>
      </c>
      <c r="V909">
        <v>4.8125475109</v>
      </c>
      <c r="W909">
        <v>5.0668487744000004</v>
      </c>
      <c r="X909">
        <v>5.0727071075000003</v>
      </c>
      <c r="Y909">
        <v>5.1785810669999996</v>
      </c>
      <c r="Z909">
        <v>5.0233200251000003</v>
      </c>
      <c r="AA909">
        <v>5.1785495634999998</v>
      </c>
      <c r="AB909">
        <v>5.2569991896000001</v>
      </c>
    </row>
    <row r="910" spans="1:28" hidden="1" x14ac:dyDescent="0.25">
      <c r="A910" t="s">
        <v>74</v>
      </c>
      <c r="B910" t="s">
        <v>98</v>
      </c>
      <c r="C910">
        <v>34</v>
      </c>
      <c r="D910" t="s">
        <v>4</v>
      </c>
      <c r="E910">
        <v>0.45850427999999999</v>
      </c>
      <c r="F910">
        <v>0.44400719999999999</v>
      </c>
      <c r="G910">
        <v>0.43237799999999998</v>
      </c>
      <c r="H910">
        <v>0.42407028000000002</v>
      </c>
      <c r="I910">
        <v>0.41746284</v>
      </c>
      <c r="J910">
        <v>0.40167071999999998</v>
      </c>
      <c r="K910">
        <v>0.36713412000000001</v>
      </c>
      <c r="L910">
        <v>0.36127409999999999</v>
      </c>
      <c r="M910">
        <v>0.3651684</v>
      </c>
      <c r="N910">
        <v>0.37010862</v>
      </c>
      <c r="O910">
        <v>0.37998246000000002</v>
      </c>
      <c r="P910">
        <v>0.39590760000000003</v>
      </c>
      <c r="Q910">
        <v>0.41012567999999999</v>
      </c>
      <c r="R910">
        <v>0.44655156000000001</v>
      </c>
      <c r="S910">
        <v>0.46233384</v>
      </c>
      <c r="T910">
        <v>0.46469663999999999</v>
      </c>
      <c r="U910">
        <v>0.44744813999999999</v>
      </c>
      <c r="V910">
        <v>0.43784664000000001</v>
      </c>
      <c r="W910">
        <v>0.51372954000000004</v>
      </c>
      <c r="X910">
        <v>0.53598104999999996</v>
      </c>
      <c r="Y910">
        <v>0.55199388000000005</v>
      </c>
      <c r="Z910">
        <v>0.52729062000000004</v>
      </c>
      <c r="AA910">
        <v>0.51902519999999996</v>
      </c>
      <c r="AB910">
        <v>0.50223983999999999</v>
      </c>
    </row>
    <row r="911" spans="1:28" hidden="1" x14ac:dyDescent="0.25">
      <c r="A911" t="s">
        <v>74</v>
      </c>
      <c r="B911" t="s">
        <v>99</v>
      </c>
      <c r="C911">
        <v>110</v>
      </c>
      <c r="D911" t="s">
        <v>2</v>
      </c>
      <c r="E911">
        <v>17.074776029999999</v>
      </c>
      <c r="F911">
        <v>16.636255999999999</v>
      </c>
      <c r="G911">
        <v>16.270200450000001</v>
      </c>
      <c r="H911">
        <v>15.88766388</v>
      </c>
      <c r="I911">
        <v>15.700637990000001</v>
      </c>
      <c r="J911">
        <v>15.03814472</v>
      </c>
      <c r="K911">
        <v>13.23712935</v>
      </c>
      <c r="L911">
        <v>12.413999325000001</v>
      </c>
      <c r="M911">
        <v>12.1396522</v>
      </c>
      <c r="N911">
        <v>12.1309842</v>
      </c>
      <c r="O911">
        <v>12.898644935</v>
      </c>
      <c r="P911">
        <v>14.072476330000001</v>
      </c>
      <c r="Q911">
        <v>15.13801584</v>
      </c>
      <c r="R911">
        <v>16.650597600000001</v>
      </c>
      <c r="S911">
        <v>17.211362040000001</v>
      </c>
      <c r="T911">
        <v>17.174759439999999</v>
      </c>
      <c r="U911">
        <v>16.423297030000001</v>
      </c>
      <c r="V911">
        <v>16.260340599999999</v>
      </c>
      <c r="W911">
        <v>19.361700764999998</v>
      </c>
      <c r="X911">
        <v>20.24248875</v>
      </c>
      <c r="Y911">
        <v>20.913425440000001</v>
      </c>
      <c r="Z911">
        <v>19.43212334</v>
      </c>
      <c r="AA911">
        <v>18.5401822</v>
      </c>
      <c r="AB911">
        <v>18.120146680000001</v>
      </c>
    </row>
    <row r="912" spans="1:28" hidden="1" x14ac:dyDescent="0.25">
      <c r="A912" t="s">
        <v>74</v>
      </c>
      <c r="B912" t="s">
        <v>99</v>
      </c>
      <c r="C912">
        <v>110</v>
      </c>
      <c r="D912" t="s">
        <v>3</v>
      </c>
      <c r="E912">
        <v>8.4842120825999991</v>
      </c>
      <c r="F912">
        <v>8.2649192607999993</v>
      </c>
      <c r="G912">
        <v>8.0734850051000002</v>
      </c>
      <c r="H912">
        <v>7.8729719422000004</v>
      </c>
      <c r="I912">
        <v>7.7512019254000002</v>
      </c>
      <c r="J912">
        <v>7.3271197662000001</v>
      </c>
      <c r="K912">
        <v>6.5884640913999997</v>
      </c>
      <c r="L912">
        <v>6.4051912695000004</v>
      </c>
      <c r="M912">
        <v>6.3222038532999996</v>
      </c>
      <c r="N912">
        <v>6.2939693393000002</v>
      </c>
      <c r="O912">
        <v>6.5376723628000004</v>
      </c>
      <c r="P912">
        <v>6.9398857208000004</v>
      </c>
      <c r="Q912">
        <v>7.4052638142999996</v>
      </c>
      <c r="R912">
        <v>8.1362691759000008</v>
      </c>
      <c r="S912">
        <v>8.4136843194999997</v>
      </c>
      <c r="T912">
        <v>8.3147103725000004</v>
      </c>
      <c r="U912">
        <v>7.8735164474000001</v>
      </c>
      <c r="V912">
        <v>7.667716296</v>
      </c>
      <c r="W912">
        <v>8.9434195099</v>
      </c>
      <c r="X912">
        <v>9.3678307266999994</v>
      </c>
      <c r="Y912">
        <v>9.8595245506999998</v>
      </c>
      <c r="Z912">
        <v>9.3717437850999996</v>
      </c>
      <c r="AA912">
        <v>9.0721609963999992</v>
      </c>
      <c r="AB912">
        <v>8.9487364651999997</v>
      </c>
    </row>
    <row r="913" spans="1:28" hidden="1" x14ac:dyDescent="0.25">
      <c r="A913" t="s">
        <v>74</v>
      </c>
      <c r="B913" t="s">
        <v>99</v>
      </c>
      <c r="C913">
        <v>110</v>
      </c>
      <c r="D913" t="s">
        <v>4</v>
      </c>
      <c r="E913">
        <v>0.26002196999999999</v>
      </c>
      <c r="F913">
        <v>0.25334400000000001</v>
      </c>
      <c r="G913">
        <v>0.24776955000000001</v>
      </c>
      <c r="H913">
        <v>0.24194412000000001</v>
      </c>
      <c r="I913">
        <v>0.23909601</v>
      </c>
      <c r="J913">
        <v>0.22900728000000001</v>
      </c>
      <c r="K913">
        <v>0.20158065</v>
      </c>
      <c r="L913">
        <v>0.189045675</v>
      </c>
      <c r="M913">
        <v>0.1848678</v>
      </c>
      <c r="N913">
        <v>0.18473580000000001</v>
      </c>
      <c r="O913">
        <v>0.19642606500000001</v>
      </c>
      <c r="P913">
        <v>0.21430167</v>
      </c>
      <c r="Q913">
        <v>0.23052816000000001</v>
      </c>
      <c r="R913">
        <v>0.25356240000000002</v>
      </c>
      <c r="S913">
        <v>0.26210196000000002</v>
      </c>
      <c r="T913">
        <v>0.26154455999999998</v>
      </c>
      <c r="U913">
        <v>0.25010096999999998</v>
      </c>
      <c r="V913">
        <v>0.24761939999999999</v>
      </c>
      <c r="W913">
        <v>0.29484823500000001</v>
      </c>
      <c r="X913">
        <v>0.30826124999999999</v>
      </c>
      <c r="Y913">
        <v>0.31847856000000002</v>
      </c>
      <c r="Z913">
        <v>0.29592066</v>
      </c>
      <c r="AA913">
        <v>0.28233780000000003</v>
      </c>
      <c r="AB913">
        <v>0.27594131999999999</v>
      </c>
    </row>
    <row r="914" spans="1:28" hidden="1" x14ac:dyDescent="0.25">
      <c r="A914" t="s">
        <v>74</v>
      </c>
      <c r="B914" t="s">
        <v>100</v>
      </c>
      <c r="C914">
        <v>34</v>
      </c>
      <c r="D914" t="s">
        <v>2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</row>
    <row r="915" spans="1:28" hidden="1" x14ac:dyDescent="0.25">
      <c r="A915" t="s">
        <v>74</v>
      </c>
      <c r="B915" t="s">
        <v>100</v>
      </c>
      <c r="C915">
        <v>34</v>
      </c>
      <c r="D915" t="s">
        <v>3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</row>
    <row r="916" spans="1:28" hidden="1" x14ac:dyDescent="0.25">
      <c r="A916" t="s">
        <v>74</v>
      </c>
      <c r="B916" t="s">
        <v>100</v>
      </c>
      <c r="C916">
        <v>34</v>
      </c>
      <c r="D916" t="s">
        <v>4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</row>
    <row r="917" spans="1:28" hidden="1" x14ac:dyDescent="0.25">
      <c r="A917" t="s">
        <v>74</v>
      </c>
      <c r="B917" t="s">
        <v>101</v>
      </c>
      <c r="C917">
        <v>34</v>
      </c>
      <c r="D917" t="s">
        <v>2</v>
      </c>
      <c r="E917">
        <v>45.509893519999999</v>
      </c>
      <c r="F917">
        <v>42.673248800000003</v>
      </c>
      <c r="G917">
        <v>41.474658599999998</v>
      </c>
      <c r="H917">
        <v>39.95839728</v>
      </c>
      <c r="I917">
        <v>38.731877869999998</v>
      </c>
      <c r="J917">
        <v>38.09242768</v>
      </c>
      <c r="K917">
        <v>36.585823679999997</v>
      </c>
      <c r="L917">
        <v>37.871127999999999</v>
      </c>
      <c r="M917">
        <v>40.455634799999999</v>
      </c>
      <c r="N917">
        <v>42.182615040000002</v>
      </c>
      <c r="O917">
        <v>43.530313640000003</v>
      </c>
      <c r="P917">
        <v>44.61656232</v>
      </c>
      <c r="Q917">
        <v>45.249714300000001</v>
      </c>
      <c r="R917">
        <v>47.133884979999998</v>
      </c>
      <c r="S917">
        <v>48.878571600000001</v>
      </c>
      <c r="T917">
        <v>49.783783360000001</v>
      </c>
      <c r="U917">
        <v>48.953767939999999</v>
      </c>
      <c r="V917">
        <v>46.975637239999998</v>
      </c>
      <c r="W917">
        <v>49.971419189999999</v>
      </c>
      <c r="X917">
        <v>51.812026199999998</v>
      </c>
      <c r="Y917">
        <v>52.584497339999999</v>
      </c>
      <c r="Z917">
        <v>49.526587859999999</v>
      </c>
      <c r="AA917">
        <v>49.134137500000001</v>
      </c>
      <c r="AB917">
        <v>48.341432159999997</v>
      </c>
    </row>
    <row r="918" spans="1:28" hidden="1" x14ac:dyDescent="0.25">
      <c r="A918" t="s">
        <v>74</v>
      </c>
      <c r="B918" t="s">
        <v>101</v>
      </c>
      <c r="C918">
        <v>34</v>
      </c>
      <c r="D918" t="s">
        <v>3</v>
      </c>
      <c r="E918">
        <v>11.1183445289</v>
      </c>
      <c r="F918">
        <v>10.7582004498</v>
      </c>
      <c r="G918">
        <v>10.734492622699999</v>
      </c>
      <c r="H918">
        <v>10.591456579700001</v>
      </c>
      <c r="I918">
        <v>10.509965230500001</v>
      </c>
      <c r="J918">
        <v>10.4762509028</v>
      </c>
      <c r="K918">
        <v>10.4608612376</v>
      </c>
      <c r="L918">
        <v>10.765634675899999</v>
      </c>
      <c r="M918">
        <v>10.984342708</v>
      </c>
      <c r="N918">
        <v>11.1474923471</v>
      </c>
      <c r="O918">
        <v>11.3238841327</v>
      </c>
      <c r="P918">
        <v>11.4619264761</v>
      </c>
      <c r="Q918">
        <v>11.6594340047</v>
      </c>
      <c r="R918">
        <v>11.9134830767</v>
      </c>
      <c r="S918">
        <v>12.183732732299999</v>
      </c>
      <c r="T918">
        <v>12.343640897</v>
      </c>
      <c r="U918">
        <v>12.2003273008</v>
      </c>
      <c r="V918">
        <v>11.844904548300001</v>
      </c>
      <c r="W918">
        <v>11.7757377776</v>
      </c>
      <c r="X918">
        <v>11.533084044800001</v>
      </c>
      <c r="Y918">
        <v>11.357677949399999</v>
      </c>
      <c r="Z918">
        <v>10.5886907355</v>
      </c>
      <c r="AA918">
        <v>10.851268581899999</v>
      </c>
      <c r="AB918">
        <v>11.248496961400001</v>
      </c>
    </row>
    <row r="919" spans="1:28" hidden="1" x14ac:dyDescent="0.25">
      <c r="A919" t="s">
        <v>74</v>
      </c>
      <c r="B919" t="s">
        <v>101</v>
      </c>
      <c r="C919">
        <v>34</v>
      </c>
      <c r="D919" t="s">
        <v>4</v>
      </c>
      <c r="E919">
        <v>1.4075224799999999</v>
      </c>
      <c r="F919">
        <v>1.3197912000000001</v>
      </c>
      <c r="G919">
        <v>1.2827214</v>
      </c>
      <c r="H919">
        <v>1.2358267199999999</v>
      </c>
      <c r="I919">
        <v>1.19789313</v>
      </c>
      <c r="J919">
        <v>1.17811632</v>
      </c>
      <c r="K919">
        <v>1.1315203199999999</v>
      </c>
      <c r="L919">
        <v>1.1712720000000001</v>
      </c>
      <c r="M919">
        <v>1.2512052</v>
      </c>
      <c r="N919">
        <v>1.3046169599999999</v>
      </c>
      <c r="O919">
        <v>1.34629836</v>
      </c>
      <c r="P919">
        <v>1.3798936799999999</v>
      </c>
      <c r="Q919">
        <v>1.3994757</v>
      </c>
      <c r="R919">
        <v>1.4577490200000001</v>
      </c>
      <c r="S919">
        <v>1.5117084000000001</v>
      </c>
      <c r="T919">
        <v>1.5397046400000001</v>
      </c>
      <c r="U919">
        <v>1.51403406</v>
      </c>
      <c r="V919">
        <v>1.4528547599999999</v>
      </c>
      <c r="W919">
        <v>1.5455078099999999</v>
      </c>
      <c r="X919">
        <v>1.6024338</v>
      </c>
      <c r="Y919">
        <v>1.6263246600000001</v>
      </c>
      <c r="Z919">
        <v>1.53175014</v>
      </c>
      <c r="AA919">
        <v>1.5196125</v>
      </c>
      <c r="AB919">
        <v>1.4950958400000001</v>
      </c>
    </row>
    <row r="920" spans="1:28" hidden="1" x14ac:dyDescent="0.25">
      <c r="A920" t="s">
        <v>74</v>
      </c>
      <c r="B920" t="s">
        <v>102</v>
      </c>
      <c r="C920">
        <v>110</v>
      </c>
      <c r="D920" t="s">
        <v>2</v>
      </c>
      <c r="E920">
        <v>11.42759176</v>
      </c>
      <c r="F920">
        <v>11.365717999999999</v>
      </c>
      <c r="G920">
        <v>11.3014566</v>
      </c>
      <c r="H920">
        <v>11.09571768</v>
      </c>
      <c r="I920">
        <v>11.89762391</v>
      </c>
      <c r="J920">
        <v>12.582279679999999</v>
      </c>
      <c r="K920">
        <v>12.93045354</v>
      </c>
      <c r="L920">
        <v>12.992150000000001</v>
      </c>
      <c r="M920">
        <v>12.8280884</v>
      </c>
      <c r="N920">
        <v>12.57020949</v>
      </c>
      <c r="O920">
        <v>12.34717594</v>
      </c>
      <c r="P920">
        <v>12.232173250000001</v>
      </c>
      <c r="Q920">
        <v>12.18228891</v>
      </c>
      <c r="R920">
        <v>12.287524339999999</v>
      </c>
      <c r="S920">
        <v>12.27569252</v>
      </c>
      <c r="T920">
        <v>12.38572096</v>
      </c>
      <c r="U920">
        <v>12.321409324999999</v>
      </c>
      <c r="V920">
        <v>12.25604177</v>
      </c>
      <c r="W920">
        <v>13.213672559999999</v>
      </c>
      <c r="X920">
        <v>13.084400175000001</v>
      </c>
      <c r="Y920">
        <v>12.8954427</v>
      </c>
      <c r="Z920">
        <v>11.91859062</v>
      </c>
      <c r="AA920">
        <v>11.54281115</v>
      </c>
      <c r="AB920">
        <v>11.6480978</v>
      </c>
    </row>
    <row r="921" spans="1:28" hidden="1" x14ac:dyDescent="0.25">
      <c r="A921" t="s">
        <v>74</v>
      </c>
      <c r="B921" t="s">
        <v>102</v>
      </c>
      <c r="C921">
        <v>110</v>
      </c>
      <c r="D921" t="s">
        <v>3</v>
      </c>
      <c r="E921">
        <v>6.8013175091000004</v>
      </c>
      <c r="F921">
        <v>6.7783329421999996</v>
      </c>
      <c r="G921">
        <v>6.7734920338000002</v>
      </c>
      <c r="H921">
        <v>6.6862471287999998</v>
      </c>
      <c r="I921">
        <v>7.1314321546999997</v>
      </c>
      <c r="J921">
        <v>7.6414813941000004</v>
      </c>
      <c r="K921">
        <v>7.8556623901</v>
      </c>
      <c r="L921">
        <v>7.8595583593000002</v>
      </c>
      <c r="M921">
        <v>7.7230532866999999</v>
      </c>
      <c r="N921">
        <v>7.5362414418999997</v>
      </c>
      <c r="O921">
        <v>7.3790147769000001</v>
      </c>
      <c r="P921">
        <v>7.3368118023999997</v>
      </c>
      <c r="Q921">
        <v>7.3255650040000004</v>
      </c>
      <c r="R921">
        <v>7.3511661928000001</v>
      </c>
      <c r="S921">
        <v>7.3281743432999997</v>
      </c>
      <c r="T921">
        <v>7.4017226484999998</v>
      </c>
      <c r="U921">
        <v>7.3961977563000003</v>
      </c>
      <c r="V921">
        <v>7.3941935346000003</v>
      </c>
      <c r="W921">
        <v>7.9433221047</v>
      </c>
      <c r="X921">
        <v>7.8490119422999998</v>
      </c>
      <c r="Y921">
        <v>7.7073564253000004</v>
      </c>
      <c r="Z921">
        <v>7.0944902598999997</v>
      </c>
      <c r="AA921">
        <v>6.8053358822999996</v>
      </c>
      <c r="AB921">
        <v>6.8822418318</v>
      </c>
    </row>
    <row r="922" spans="1:28" hidden="1" x14ac:dyDescent="0.25">
      <c r="A922" t="s">
        <v>74</v>
      </c>
      <c r="B922" t="s">
        <v>102</v>
      </c>
      <c r="C922">
        <v>110</v>
      </c>
      <c r="D922" t="s">
        <v>4</v>
      </c>
      <c r="E922">
        <v>0.17402424</v>
      </c>
      <c r="F922">
        <v>0.17308200000000001</v>
      </c>
      <c r="G922">
        <v>0.17210339999999999</v>
      </c>
      <c r="H922">
        <v>0.16897032000000001</v>
      </c>
      <c r="I922">
        <v>0.18118208999999999</v>
      </c>
      <c r="J922">
        <v>0.19160832</v>
      </c>
      <c r="K922">
        <v>0.19691046000000001</v>
      </c>
      <c r="L922">
        <v>0.19785</v>
      </c>
      <c r="M922">
        <v>0.19535159999999999</v>
      </c>
      <c r="N922">
        <v>0.19142450999999999</v>
      </c>
      <c r="O922">
        <v>0.18802806</v>
      </c>
      <c r="P922">
        <v>0.18627674999999999</v>
      </c>
      <c r="Q922">
        <v>0.18551709</v>
      </c>
      <c r="R922">
        <v>0.18711965999999999</v>
      </c>
      <c r="S922">
        <v>0.18693947999999999</v>
      </c>
      <c r="T922">
        <v>0.18861504000000001</v>
      </c>
      <c r="U922">
        <v>0.187635675</v>
      </c>
      <c r="V922">
        <v>0.18664022999999999</v>
      </c>
      <c r="W922">
        <v>0.20122344</v>
      </c>
      <c r="X922">
        <v>0.199254825</v>
      </c>
      <c r="Y922">
        <v>0.1963773</v>
      </c>
      <c r="Z922">
        <v>0.18150137999999999</v>
      </c>
      <c r="AA922">
        <v>0.17577884999999999</v>
      </c>
      <c r="AB922">
        <v>0.17738219999999999</v>
      </c>
    </row>
    <row r="923" spans="1:28" hidden="1" x14ac:dyDescent="0.25">
      <c r="A923" t="s">
        <v>74</v>
      </c>
      <c r="B923" t="s">
        <v>103</v>
      </c>
      <c r="C923">
        <v>110</v>
      </c>
      <c r="D923" t="s">
        <v>2</v>
      </c>
      <c r="E923">
        <v>24.083797659999998</v>
      </c>
      <c r="F923">
        <v>23.075634399999998</v>
      </c>
      <c r="G923">
        <v>22.101863399999999</v>
      </c>
      <c r="H923">
        <v>21.226296900000001</v>
      </c>
      <c r="I923">
        <v>20.368573675</v>
      </c>
      <c r="J923">
        <v>19.453545120000001</v>
      </c>
      <c r="K923">
        <v>18.469394189999999</v>
      </c>
      <c r="L923">
        <v>18.838617500000002</v>
      </c>
      <c r="M923">
        <v>19.3174566</v>
      </c>
      <c r="N923">
        <v>19.327659229999998</v>
      </c>
      <c r="O923">
        <v>19.483920614999999</v>
      </c>
      <c r="P923">
        <v>20.021672500000001</v>
      </c>
      <c r="Q923">
        <v>20.499396449999999</v>
      </c>
      <c r="R923">
        <v>21.445353019999999</v>
      </c>
      <c r="S923">
        <v>22.170837039999999</v>
      </c>
      <c r="T923">
        <v>22.525326719999999</v>
      </c>
      <c r="U923">
        <v>21.989582264999999</v>
      </c>
      <c r="V923">
        <v>21.214425680000002</v>
      </c>
      <c r="W923">
        <v>23.74123239</v>
      </c>
      <c r="X923">
        <v>25.169596649999999</v>
      </c>
      <c r="Y923">
        <v>26.41372651</v>
      </c>
      <c r="Z923">
        <v>25.71556442</v>
      </c>
      <c r="AA923">
        <v>25.627158699999999</v>
      </c>
      <c r="AB923">
        <v>25.045397999999999</v>
      </c>
    </row>
    <row r="924" spans="1:28" hidden="1" x14ac:dyDescent="0.25">
      <c r="A924" t="s">
        <v>74</v>
      </c>
      <c r="B924" t="s">
        <v>103</v>
      </c>
      <c r="C924">
        <v>110</v>
      </c>
      <c r="D924" t="s">
        <v>3</v>
      </c>
      <c r="E924">
        <v>9.2965097820999993</v>
      </c>
      <c r="F924">
        <v>8.9014605899999992</v>
      </c>
      <c r="G924">
        <v>8.4890930456000007</v>
      </c>
      <c r="H924">
        <v>8.1555142643000007</v>
      </c>
      <c r="I924">
        <v>7.8187905813</v>
      </c>
      <c r="J924">
        <v>7.3429569930999996</v>
      </c>
      <c r="K924">
        <v>7.0257206423999996</v>
      </c>
      <c r="L924">
        <v>7.1904081710999996</v>
      </c>
      <c r="M924">
        <v>7.4140662171000002</v>
      </c>
      <c r="N924">
        <v>7.4377691689000001</v>
      </c>
      <c r="O924">
        <v>7.4910494165000001</v>
      </c>
      <c r="P924">
        <v>7.6657401578000002</v>
      </c>
      <c r="Q924">
        <v>7.8453601843999996</v>
      </c>
      <c r="R924">
        <v>8.1881144760000009</v>
      </c>
      <c r="S924">
        <v>8.5708216287999992</v>
      </c>
      <c r="T924">
        <v>8.7092966557999993</v>
      </c>
      <c r="U924">
        <v>8.4579257020000007</v>
      </c>
      <c r="V924">
        <v>7.98220157</v>
      </c>
      <c r="W924">
        <v>8.4432977067999992</v>
      </c>
      <c r="X924">
        <v>8.8578774004999996</v>
      </c>
      <c r="Y924">
        <v>9.4212408688</v>
      </c>
      <c r="Z924">
        <v>9.3437364352000003</v>
      </c>
      <c r="AA924">
        <v>9.6242618567000005</v>
      </c>
      <c r="AB924">
        <v>9.5827581521000003</v>
      </c>
    </row>
    <row r="925" spans="1:28" hidden="1" x14ac:dyDescent="0.25">
      <c r="A925" t="s">
        <v>74</v>
      </c>
      <c r="B925" t="s">
        <v>103</v>
      </c>
      <c r="C925">
        <v>110</v>
      </c>
      <c r="D925" t="s">
        <v>4</v>
      </c>
      <c r="E925">
        <v>0.36675834000000002</v>
      </c>
      <c r="F925">
        <v>0.35140559999999998</v>
      </c>
      <c r="G925">
        <v>0.3365766</v>
      </c>
      <c r="H925">
        <v>0.32324310000000001</v>
      </c>
      <c r="I925">
        <v>0.31018132500000001</v>
      </c>
      <c r="J925">
        <v>0.29624687999999999</v>
      </c>
      <c r="K925">
        <v>0.28125981</v>
      </c>
      <c r="L925">
        <v>0.28688249999999998</v>
      </c>
      <c r="M925">
        <v>0.29417446590000002</v>
      </c>
      <c r="N925">
        <v>0.2943298359</v>
      </c>
      <c r="O925">
        <v>0.2967094509</v>
      </c>
      <c r="P925">
        <v>0.30489856589999997</v>
      </c>
      <c r="Q925">
        <v>0.31217355000000002</v>
      </c>
      <c r="R925">
        <v>0.32657898000000002</v>
      </c>
      <c r="S925">
        <v>0.33762695999999998</v>
      </c>
      <c r="T925">
        <v>0.34302527999999999</v>
      </c>
      <c r="U925">
        <v>0.33486673500000003</v>
      </c>
      <c r="V925">
        <v>0.32306232000000001</v>
      </c>
      <c r="W925">
        <v>0.36154161000000001</v>
      </c>
      <c r="X925">
        <v>0.38329334999999998</v>
      </c>
      <c r="Y925">
        <v>0.40223948999999998</v>
      </c>
      <c r="Z925">
        <v>0.39160758000000001</v>
      </c>
      <c r="AA925">
        <v>0.39026129999999998</v>
      </c>
      <c r="AB925">
        <v>0.38140200000000002</v>
      </c>
    </row>
    <row r="926" spans="1:28" hidden="1" x14ac:dyDescent="0.25">
      <c r="A926" t="s">
        <v>74</v>
      </c>
      <c r="B926" t="s">
        <v>104</v>
      </c>
      <c r="C926">
        <v>110</v>
      </c>
      <c r="D926" t="s">
        <v>2</v>
      </c>
      <c r="E926">
        <v>22.736762880000001</v>
      </c>
      <c r="F926">
        <v>21.9928436</v>
      </c>
      <c r="G926">
        <v>21.315493575000001</v>
      </c>
      <c r="H926">
        <v>20.774099159999999</v>
      </c>
      <c r="I926">
        <v>20.157295115</v>
      </c>
      <c r="J926">
        <v>19.33107416</v>
      </c>
      <c r="K926">
        <v>18.513205020000001</v>
      </c>
      <c r="L926">
        <v>18.832121425</v>
      </c>
      <c r="M926">
        <v>19.467067199999999</v>
      </c>
      <c r="N926">
        <v>19.521124</v>
      </c>
      <c r="O926">
        <v>19.83855995</v>
      </c>
      <c r="P926">
        <v>20.294453409999999</v>
      </c>
      <c r="Q926">
        <v>20.64608265</v>
      </c>
      <c r="R926">
        <v>22.15454514</v>
      </c>
      <c r="S926">
        <v>22.781844360000001</v>
      </c>
      <c r="T926">
        <v>23.118942879999999</v>
      </c>
      <c r="U926">
        <v>22.753273449999998</v>
      </c>
      <c r="V926">
        <v>22.08063074</v>
      </c>
      <c r="W926">
        <v>24.934133384999999</v>
      </c>
      <c r="X926">
        <v>25.970682374999999</v>
      </c>
      <c r="Y926">
        <v>26.782167730000001</v>
      </c>
      <c r="Z926">
        <v>25.973218750000001</v>
      </c>
      <c r="AA926">
        <v>25.578282999999999</v>
      </c>
      <c r="AB926">
        <v>24.918183280000001</v>
      </c>
    </row>
    <row r="927" spans="1:28" hidden="1" x14ac:dyDescent="0.25">
      <c r="A927" t="s">
        <v>74</v>
      </c>
      <c r="B927" t="s">
        <v>104</v>
      </c>
      <c r="C927">
        <v>110</v>
      </c>
      <c r="D927" t="s">
        <v>3</v>
      </c>
      <c r="E927">
        <v>9.5833987538999992</v>
      </c>
      <c r="F927">
        <v>9.2618377270999996</v>
      </c>
      <c r="G927">
        <v>8.9532912170000003</v>
      </c>
      <c r="H927">
        <v>8.7731464200999998</v>
      </c>
      <c r="I927">
        <v>8.5132734985000003</v>
      </c>
      <c r="J927">
        <v>8.0626887114999999</v>
      </c>
      <c r="K927">
        <v>7.8009509074999999</v>
      </c>
      <c r="L927">
        <v>7.9923308677999998</v>
      </c>
      <c r="M927">
        <v>8.3468322255</v>
      </c>
      <c r="N927">
        <v>8.4069125558</v>
      </c>
      <c r="O927">
        <v>8.5632279716999999</v>
      </c>
      <c r="P927">
        <v>8.7320431663000004</v>
      </c>
      <c r="Q927">
        <v>8.7964391326999998</v>
      </c>
      <c r="R927">
        <v>9.5847849016000009</v>
      </c>
      <c r="S927">
        <v>9.9540057627999996</v>
      </c>
      <c r="T927">
        <v>10.084782218999999</v>
      </c>
      <c r="U927">
        <v>9.8363296374000004</v>
      </c>
      <c r="V927">
        <v>9.3636559590000008</v>
      </c>
      <c r="W927">
        <v>10.0991005545</v>
      </c>
      <c r="X927">
        <v>10.4171831603</v>
      </c>
      <c r="Y927">
        <v>10.8326579941</v>
      </c>
      <c r="Z927">
        <v>10.717826006099999</v>
      </c>
      <c r="AA927">
        <v>10.8198205144</v>
      </c>
      <c r="AB927">
        <v>10.6863356647</v>
      </c>
    </row>
    <row r="928" spans="1:28" hidden="1" x14ac:dyDescent="0.25">
      <c r="A928" t="s">
        <v>74</v>
      </c>
      <c r="B928" t="s">
        <v>104</v>
      </c>
      <c r="C928">
        <v>110</v>
      </c>
      <c r="D928" t="s">
        <v>4</v>
      </c>
      <c r="E928">
        <v>0.34624512000000002</v>
      </c>
      <c r="F928">
        <v>0.3349164</v>
      </c>
      <c r="G928">
        <v>0.324601425</v>
      </c>
      <c r="H928">
        <v>0.31635683999999997</v>
      </c>
      <c r="I928">
        <v>0.30696388499999999</v>
      </c>
      <c r="J928">
        <v>0.29438184000000001</v>
      </c>
      <c r="K928">
        <v>0.28192697999999999</v>
      </c>
      <c r="L928">
        <v>0.28678357500000001</v>
      </c>
      <c r="M928">
        <v>0.29645280000000002</v>
      </c>
      <c r="N928">
        <v>0.29727599999999998</v>
      </c>
      <c r="O928">
        <v>0.30211005000000002</v>
      </c>
      <c r="P928">
        <v>0.30905259000000002</v>
      </c>
      <c r="Q928">
        <v>0.31440734999999997</v>
      </c>
      <c r="R928">
        <v>0.33737886</v>
      </c>
      <c r="S928">
        <v>0.34693163999999999</v>
      </c>
      <c r="T928">
        <v>0.35206512000000001</v>
      </c>
      <c r="U928">
        <v>0.34649655000000001</v>
      </c>
      <c r="V928">
        <v>0.33625326</v>
      </c>
      <c r="W928">
        <v>0.379707615</v>
      </c>
      <c r="X928">
        <v>0.39549262499999999</v>
      </c>
      <c r="Y928">
        <v>0.40785027000000001</v>
      </c>
      <c r="Z928">
        <v>0.39553125</v>
      </c>
      <c r="AA928">
        <v>0.389517</v>
      </c>
      <c r="AB928">
        <v>0.37946471999999998</v>
      </c>
    </row>
    <row r="929" spans="1:28" hidden="1" x14ac:dyDescent="0.25">
      <c r="A929" t="s">
        <v>74</v>
      </c>
      <c r="B929" t="s">
        <v>105</v>
      </c>
      <c r="C929">
        <v>110</v>
      </c>
      <c r="D929" t="s">
        <v>2</v>
      </c>
      <c r="E929">
        <v>13.159493619999999</v>
      </c>
      <c r="F929">
        <v>12.5990956</v>
      </c>
      <c r="G929">
        <v>12.185252775</v>
      </c>
      <c r="H929">
        <v>11.7436428</v>
      </c>
      <c r="I929">
        <v>11.296800505</v>
      </c>
      <c r="J929">
        <v>10.85479456</v>
      </c>
      <c r="K929">
        <v>10.05771483</v>
      </c>
      <c r="L929">
        <v>10.029939799999999</v>
      </c>
      <c r="M929">
        <v>10.421969799999999</v>
      </c>
      <c r="N929">
        <v>10.67387173</v>
      </c>
      <c r="O929">
        <v>11.38747665</v>
      </c>
      <c r="P929">
        <v>11.903547700000001</v>
      </c>
      <c r="Q929">
        <v>12.40965252</v>
      </c>
      <c r="R929">
        <v>13.073802560000001</v>
      </c>
      <c r="S929">
        <v>13.46596652</v>
      </c>
      <c r="T929">
        <v>13.73339008</v>
      </c>
      <c r="U929">
        <v>13.644090965</v>
      </c>
      <c r="V929">
        <v>13.62373397</v>
      </c>
      <c r="W929">
        <v>15.340873634999999</v>
      </c>
      <c r="X929">
        <v>16.013100675</v>
      </c>
      <c r="Y929">
        <v>16.07105512</v>
      </c>
      <c r="Z929">
        <v>14.86914827</v>
      </c>
      <c r="AA929">
        <v>14.42647745</v>
      </c>
      <c r="AB929">
        <v>13.97771736</v>
      </c>
    </row>
    <row r="930" spans="1:28" hidden="1" x14ac:dyDescent="0.25">
      <c r="A930" t="s">
        <v>74</v>
      </c>
      <c r="B930" t="s">
        <v>105</v>
      </c>
      <c r="C930">
        <v>110</v>
      </c>
      <c r="D930" t="s">
        <v>3</v>
      </c>
      <c r="E930">
        <v>4.3402413052000002</v>
      </c>
      <c r="F930">
        <v>4.1781139436999997</v>
      </c>
      <c r="G930">
        <v>4.0576091558999998</v>
      </c>
      <c r="H930">
        <v>3.9060119875999999</v>
      </c>
      <c r="I930">
        <v>3.7298884509999999</v>
      </c>
      <c r="J930">
        <v>3.4968059661000002</v>
      </c>
      <c r="K930">
        <v>3.2497965217</v>
      </c>
      <c r="L930">
        <v>3.2788517569</v>
      </c>
      <c r="M930">
        <v>3.4524586935000001</v>
      </c>
      <c r="N930">
        <v>3.5234596288</v>
      </c>
      <c r="O930">
        <v>3.7485368025999999</v>
      </c>
      <c r="P930">
        <v>3.9146185851999999</v>
      </c>
      <c r="Q930">
        <v>4.0519304613999996</v>
      </c>
      <c r="R930">
        <v>4.2934384406000001</v>
      </c>
      <c r="S930">
        <v>4.4821842971999999</v>
      </c>
      <c r="T930">
        <v>4.5586259279999997</v>
      </c>
      <c r="U930">
        <v>4.4937882496999997</v>
      </c>
      <c r="V930">
        <v>4.3775129537000002</v>
      </c>
      <c r="W930">
        <v>4.6898747586000002</v>
      </c>
      <c r="X930">
        <v>4.8821926945999996</v>
      </c>
      <c r="Y930">
        <v>4.9010667315000003</v>
      </c>
      <c r="Z930">
        <v>4.5822587841000004</v>
      </c>
      <c r="AA930">
        <v>4.5606098898000003</v>
      </c>
      <c r="AB930">
        <v>4.5259394716000001</v>
      </c>
    </row>
    <row r="931" spans="1:28" hidden="1" x14ac:dyDescent="0.25">
      <c r="A931" t="s">
        <v>74</v>
      </c>
      <c r="B931" t="s">
        <v>105</v>
      </c>
      <c r="C931">
        <v>110</v>
      </c>
      <c r="D931" t="s">
        <v>4</v>
      </c>
      <c r="E931">
        <v>0.20039837999999999</v>
      </c>
      <c r="F931">
        <v>0.19186439999999999</v>
      </c>
      <c r="G931">
        <v>0.185562225</v>
      </c>
      <c r="H931">
        <v>0.1788372</v>
      </c>
      <c r="I931">
        <v>0.17203249500000001</v>
      </c>
      <c r="J931">
        <v>0.16530143999999999</v>
      </c>
      <c r="K931">
        <v>0.15316316999999999</v>
      </c>
      <c r="L931">
        <v>0.15274019999999999</v>
      </c>
      <c r="M931">
        <v>0.1587102</v>
      </c>
      <c r="N931">
        <v>0.16254626999999999</v>
      </c>
      <c r="O931">
        <v>0.17341334999999999</v>
      </c>
      <c r="P931">
        <v>0.1812723</v>
      </c>
      <c r="Q931">
        <v>0.18897948000000001</v>
      </c>
      <c r="R931">
        <v>0.19909344000000001</v>
      </c>
      <c r="S931">
        <v>0.20506547999999999</v>
      </c>
      <c r="T931">
        <v>0.20913792</v>
      </c>
      <c r="U931">
        <v>0.207778035</v>
      </c>
      <c r="V931">
        <v>0.20746803</v>
      </c>
      <c r="W931">
        <v>0.23361736499999999</v>
      </c>
      <c r="X931">
        <v>0.24385432500000001</v>
      </c>
      <c r="Y931">
        <v>0.24473687999999999</v>
      </c>
      <c r="Z931">
        <v>0.22643373</v>
      </c>
      <c r="AA931">
        <v>0.21969254999999999</v>
      </c>
      <c r="AB931">
        <v>0.21285863999999999</v>
      </c>
    </row>
    <row r="932" spans="1:28" hidden="1" x14ac:dyDescent="0.25">
      <c r="A932" t="s">
        <v>74</v>
      </c>
      <c r="B932" t="s">
        <v>106</v>
      </c>
      <c r="C932">
        <v>115</v>
      </c>
      <c r="D932" t="s">
        <v>2</v>
      </c>
      <c r="E932">
        <v>32.795115989999999</v>
      </c>
      <c r="F932">
        <v>31.902889200000001</v>
      </c>
      <c r="G932">
        <v>30.960702224999999</v>
      </c>
      <c r="H932">
        <v>30.18926106</v>
      </c>
      <c r="I932">
        <v>29.400732115</v>
      </c>
      <c r="J932">
        <v>27.94916224</v>
      </c>
      <c r="K932">
        <v>26.029891710000001</v>
      </c>
      <c r="L932">
        <v>25.607527650000002</v>
      </c>
      <c r="M932">
        <v>25.335815400000001</v>
      </c>
      <c r="N932">
        <v>24.927889830000002</v>
      </c>
      <c r="O932">
        <v>25.44773343</v>
      </c>
      <c r="P932">
        <v>26.15619074</v>
      </c>
      <c r="Q932">
        <v>27.1793063</v>
      </c>
      <c r="R932">
        <v>28.652903370000001</v>
      </c>
      <c r="S932">
        <v>29.986969640000002</v>
      </c>
      <c r="T932">
        <v>30.619363280000002</v>
      </c>
      <c r="U932">
        <v>30.311454250000001</v>
      </c>
      <c r="V932">
        <v>30.058835240000001</v>
      </c>
      <c r="W932">
        <v>34.260450255000002</v>
      </c>
      <c r="X932">
        <v>36.298658549999999</v>
      </c>
      <c r="Y932">
        <v>37.844176740000002</v>
      </c>
      <c r="Z932">
        <v>36.462243409999999</v>
      </c>
      <c r="AA932">
        <v>35.980661150000003</v>
      </c>
      <c r="AB932">
        <v>35.373643080000001</v>
      </c>
    </row>
    <row r="933" spans="1:28" hidden="1" x14ac:dyDescent="0.25">
      <c r="A933" t="s">
        <v>74</v>
      </c>
      <c r="B933" t="s">
        <v>106</v>
      </c>
      <c r="C933">
        <v>115</v>
      </c>
      <c r="D933" t="s">
        <v>3</v>
      </c>
      <c r="E933">
        <v>9.9125053484999999</v>
      </c>
      <c r="F933">
        <v>9.8576548472999992</v>
      </c>
      <c r="G933">
        <v>9.7104899112999998</v>
      </c>
      <c r="H933">
        <v>9.6052115078</v>
      </c>
      <c r="I933">
        <v>9.3873898691999997</v>
      </c>
      <c r="J933">
        <v>8.8965469111999997</v>
      </c>
      <c r="K933">
        <v>8.6302004577000009</v>
      </c>
      <c r="L933">
        <v>8.7555188656999992</v>
      </c>
      <c r="M933">
        <v>8.7358779112999994</v>
      </c>
      <c r="N933">
        <v>8.5429204434999999</v>
      </c>
      <c r="O933">
        <v>8.5479692414000006</v>
      </c>
      <c r="P933">
        <v>8.5729677296000002</v>
      </c>
      <c r="Q933">
        <v>8.6781085455000007</v>
      </c>
      <c r="R933">
        <v>9.0045384291000001</v>
      </c>
      <c r="S933">
        <v>9.3918756229000007</v>
      </c>
      <c r="T933">
        <v>9.5820630988000008</v>
      </c>
      <c r="U933">
        <v>9.4656325554999992</v>
      </c>
      <c r="V933">
        <v>9.3001250313000003</v>
      </c>
      <c r="W933">
        <v>9.8618622667999993</v>
      </c>
      <c r="X933">
        <v>10.041684371900001</v>
      </c>
      <c r="Y933">
        <v>10.252008539</v>
      </c>
      <c r="Z933">
        <v>9.9090352202999998</v>
      </c>
      <c r="AA933">
        <v>10.144051869</v>
      </c>
      <c r="AB933">
        <v>10.366572108</v>
      </c>
    </row>
    <row r="934" spans="1:28" hidden="1" x14ac:dyDescent="0.25">
      <c r="A934" t="s">
        <v>74</v>
      </c>
      <c r="B934" t="s">
        <v>106</v>
      </c>
      <c r="C934">
        <v>115</v>
      </c>
      <c r="D934" t="s">
        <v>4</v>
      </c>
      <c r="E934">
        <v>0.49941801000000002</v>
      </c>
      <c r="F934">
        <v>0.48583080000000001</v>
      </c>
      <c r="G934">
        <v>0.47148277500000002</v>
      </c>
      <c r="H934">
        <v>0.45973493999999998</v>
      </c>
      <c r="I934">
        <v>0.44772688500000002</v>
      </c>
      <c r="J934">
        <v>0.42562176000000002</v>
      </c>
      <c r="K934">
        <v>0.39639428999999998</v>
      </c>
      <c r="L934">
        <v>0.38996235000000001</v>
      </c>
      <c r="M934">
        <v>0.38582460000000002</v>
      </c>
      <c r="N934">
        <v>0.37961253540000001</v>
      </c>
      <c r="O934">
        <v>0.3875289354</v>
      </c>
      <c r="P934">
        <v>0.39831762539999999</v>
      </c>
      <c r="Q934">
        <v>0.41389806540000001</v>
      </c>
      <c r="R934">
        <v>0.43633863000000001</v>
      </c>
      <c r="S934">
        <v>0.45665435999999998</v>
      </c>
      <c r="T934">
        <v>0.46628471999999999</v>
      </c>
      <c r="U934">
        <v>0.46159575000000003</v>
      </c>
      <c r="V934">
        <v>0.45774875999999998</v>
      </c>
      <c r="W934">
        <v>0.521732745</v>
      </c>
      <c r="X934">
        <v>0.55277145000000005</v>
      </c>
      <c r="Y934">
        <v>0.57630725999999999</v>
      </c>
      <c r="Z934">
        <v>0.55526259</v>
      </c>
      <c r="AA934">
        <v>0.54792885000000002</v>
      </c>
      <c r="AB934">
        <v>0.53868492000000001</v>
      </c>
    </row>
    <row r="935" spans="1:28" hidden="1" x14ac:dyDescent="0.25">
      <c r="A935" t="s">
        <v>74</v>
      </c>
      <c r="B935" t="s">
        <v>107</v>
      </c>
      <c r="C935">
        <v>110</v>
      </c>
      <c r="D935" t="s">
        <v>2</v>
      </c>
      <c r="E935">
        <v>31.973572799999999</v>
      </c>
      <c r="F935">
        <v>30.769902800000001</v>
      </c>
      <c r="G935">
        <v>29.6732826</v>
      </c>
      <c r="H935">
        <v>28.60319436</v>
      </c>
      <c r="I935">
        <v>27.459610345000002</v>
      </c>
      <c r="J935">
        <v>25.5255264</v>
      </c>
      <c r="K935">
        <v>22.600129590000002</v>
      </c>
      <c r="L935">
        <v>21.281141699999999</v>
      </c>
      <c r="M935">
        <v>20.7144318</v>
      </c>
      <c r="N935">
        <v>20.608729480000001</v>
      </c>
      <c r="O935">
        <v>21.235137275</v>
      </c>
      <c r="P935">
        <v>22.017911850000001</v>
      </c>
      <c r="Q935">
        <v>22.74369531</v>
      </c>
      <c r="R935">
        <v>24.575048679999998</v>
      </c>
      <c r="S935">
        <v>25.376641679999999</v>
      </c>
      <c r="T935">
        <v>25.870433999999999</v>
      </c>
      <c r="U935">
        <v>25.422256045000001</v>
      </c>
      <c r="V935">
        <v>25.431476629999999</v>
      </c>
      <c r="W935">
        <v>30.181229370000001</v>
      </c>
      <c r="X935">
        <v>32.706693524999999</v>
      </c>
      <c r="Y935">
        <v>34.756288419999997</v>
      </c>
      <c r="Z935">
        <v>34.434254490000001</v>
      </c>
      <c r="AA935">
        <v>34.75876865</v>
      </c>
      <c r="AB935">
        <v>34.06174128</v>
      </c>
    </row>
    <row r="936" spans="1:28" hidden="1" x14ac:dyDescent="0.25">
      <c r="A936" t="s">
        <v>74</v>
      </c>
      <c r="B936" t="s">
        <v>107</v>
      </c>
      <c r="C936">
        <v>110</v>
      </c>
      <c r="D936" t="s">
        <v>3</v>
      </c>
      <c r="E936">
        <v>9.6267471380000007</v>
      </c>
      <c r="F936">
        <v>9.4411784370999996</v>
      </c>
      <c r="G936">
        <v>9.1940292302</v>
      </c>
      <c r="H936">
        <v>8.9205886589999999</v>
      </c>
      <c r="I936">
        <v>8.5183049498999992</v>
      </c>
      <c r="J936">
        <v>7.751754687</v>
      </c>
      <c r="K936">
        <v>7.0725137485999996</v>
      </c>
      <c r="L936">
        <v>6.8210546084999999</v>
      </c>
      <c r="M936">
        <v>6.6618363670000003</v>
      </c>
      <c r="N936">
        <v>6.5951024470000004</v>
      </c>
      <c r="O936">
        <v>6.7701821106000004</v>
      </c>
      <c r="P936">
        <v>6.9274740716999998</v>
      </c>
      <c r="Q936">
        <v>7.0705057337000001</v>
      </c>
      <c r="R936">
        <v>7.5779152691</v>
      </c>
      <c r="S936">
        <v>7.8401717293999997</v>
      </c>
      <c r="T936">
        <v>7.9744729897999997</v>
      </c>
      <c r="U936">
        <v>7.8599235391000004</v>
      </c>
      <c r="V936">
        <v>7.6261900004000003</v>
      </c>
      <c r="W936">
        <v>8.2735301130999996</v>
      </c>
      <c r="X936">
        <v>8.6350944433999999</v>
      </c>
      <c r="Y936">
        <v>9.0738079934999991</v>
      </c>
      <c r="Z936">
        <v>9.1559465987999999</v>
      </c>
      <c r="AA936">
        <v>9.7093590525</v>
      </c>
      <c r="AB936">
        <v>9.9161816654999999</v>
      </c>
    </row>
    <row r="937" spans="1:28" hidden="1" x14ac:dyDescent="0.25">
      <c r="A937" t="s">
        <v>74</v>
      </c>
      <c r="B937" t="s">
        <v>107</v>
      </c>
      <c r="C937">
        <v>110</v>
      </c>
      <c r="D937" t="s">
        <v>4</v>
      </c>
      <c r="E937">
        <v>0.48690719999999998</v>
      </c>
      <c r="F937">
        <v>0.46857720000000003</v>
      </c>
      <c r="G937">
        <v>0.45187739999999998</v>
      </c>
      <c r="H937">
        <v>0.43558163999999999</v>
      </c>
      <c r="I937">
        <v>0.418166655</v>
      </c>
      <c r="J937">
        <v>0.38871359999999999</v>
      </c>
      <c r="K937">
        <v>0.34416440999999998</v>
      </c>
      <c r="L937">
        <v>0.32407829999999999</v>
      </c>
      <c r="M937">
        <v>0.31544820000000001</v>
      </c>
      <c r="N937">
        <v>0.31383852000000001</v>
      </c>
      <c r="O937">
        <v>0.323377725</v>
      </c>
      <c r="P937">
        <v>0.33529815000000002</v>
      </c>
      <c r="Q937">
        <v>0.34635069000000002</v>
      </c>
      <c r="R937">
        <v>0.37423931999999999</v>
      </c>
      <c r="S937">
        <v>0.38644632000000001</v>
      </c>
      <c r="T937">
        <v>0.39396599999999998</v>
      </c>
      <c r="U937">
        <v>0.38714095500000001</v>
      </c>
      <c r="V937">
        <v>0.38728137000000001</v>
      </c>
      <c r="W937">
        <v>0.45961263000000002</v>
      </c>
      <c r="X937">
        <v>0.49807147499999999</v>
      </c>
      <c r="Y937">
        <v>0.52928357999999998</v>
      </c>
      <c r="Z937">
        <v>0.52437951000000005</v>
      </c>
      <c r="AA937">
        <v>0.52932135000000002</v>
      </c>
      <c r="AB937">
        <v>0.51870671999999995</v>
      </c>
    </row>
    <row r="938" spans="1:28" hidden="1" x14ac:dyDescent="0.25">
      <c r="A938" t="s">
        <v>74</v>
      </c>
      <c r="B938" t="s">
        <v>108</v>
      </c>
      <c r="C938">
        <v>110</v>
      </c>
      <c r="D938" t="s">
        <v>2</v>
      </c>
      <c r="E938">
        <v>30.737557370000001</v>
      </c>
      <c r="F938">
        <v>29.550866800000001</v>
      </c>
      <c r="G938">
        <v>28.490248350000002</v>
      </c>
      <c r="H938">
        <v>27.644805120000001</v>
      </c>
      <c r="I938">
        <v>26.845582029999999</v>
      </c>
      <c r="J938">
        <v>25.64155152</v>
      </c>
      <c r="K938">
        <v>23.495122259999999</v>
      </c>
      <c r="L938">
        <v>22.879176149999999</v>
      </c>
      <c r="M938">
        <v>22.745659400000001</v>
      </c>
      <c r="N938">
        <v>22.686334819999999</v>
      </c>
      <c r="O938">
        <v>23.612899694999999</v>
      </c>
      <c r="P938">
        <v>24.515466029999999</v>
      </c>
      <c r="Q938">
        <v>25.208023470000001</v>
      </c>
      <c r="R938">
        <v>26.972426389999999</v>
      </c>
      <c r="S938">
        <v>27.979374159999999</v>
      </c>
      <c r="T938">
        <v>28.637968799999999</v>
      </c>
      <c r="U938">
        <v>28.099111744999998</v>
      </c>
      <c r="V938">
        <v>27.619784150000001</v>
      </c>
      <c r="W938">
        <v>31.66609914</v>
      </c>
      <c r="X938">
        <v>33.602531325000001</v>
      </c>
      <c r="Y938">
        <v>34.598385039999997</v>
      </c>
      <c r="Z938">
        <v>33.644668639999999</v>
      </c>
      <c r="AA938">
        <v>33.618335649999999</v>
      </c>
      <c r="AB938">
        <v>32.980416159999997</v>
      </c>
    </row>
    <row r="939" spans="1:28" hidden="1" x14ac:dyDescent="0.25">
      <c r="A939" t="s">
        <v>74</v>
      </c>
      <c r="B939" t="s">
        <v>108</v>
      </c>
      <c r="C939">
        <v>110</v>
      </c>
      <c r="D939" t="s">
        <v>3</v>
      </c>
      <c r="E939">
        <v>8.9412734925000006</v>
      </c>
      <c r="F939">
        <v>8.8030266058999995</v>
      </c>
      <c r="G939">
        <v>8.6285171876</v>
      </c>
      <c r="H939">
        <v>8.4936368603000005</v>
      </c>
      <c r="I939">
        <v>8.3407310968000008</v>
      </c>
      <c r="J939">
        <v>7.9277241960999998</v>
      </c>
      <c r="K939">
        <v>7.4625518679000002</v>
      </c>
      <c r="L939">
        <v>7.4458810942999998</v>
      </c>
      <c r="M939">
        <v>7.4146143474999997</v>
      </c>
      <c r="N939">
        <v>7.3041807535999999</v>
      </c>
      <c r="O939">
        <v>7.3911871391000004</v>
      </c>
      <c r="P939">
        <v>7.5221196101999999</v>
      </c>
      <c r="Q939">
        <v>7.5935588340000004</v>
      </c>
      <c r="R939">
        <v>7.9678537014000002</v>
      </c>
      <c r="S939">
        <v>8.2491947614000001</v>
      </c>
      <c r="T939">
        <v>8.4213333321999997</v>
      </c>
      <c r="U939">
        <v>8.2607113276999993</v>
      </c>
      <c r="V939">
        <v>8.0375588699999998</v>
      </c>
      <c r="W939">
        <v>8.4291361708999997</v>
      </c>
      <c r="X939">
        <v>8.6093800823999995</v>
      </c>
      <c r="Y939">
        <v>8.7435286091000002</v>
      </c>
      <c r="Z939">
        <v>8.6677397678000005</v>
      </c>
      <c r="AA939">
        <v>9.0906526690000007</v>
      </c>
      <c r="AB939">
        <v>9.2942540811000001</v>
      </c>
    </row>
    <row r="940" spans="1:28" hidden="1" x14ac:dyDescent="0.25">
      <c r="A940" t="s">
        <v>74</v>
      </c>
      <c r="B940" t="s">
        <v>108</v>
      </c>
      <c r="C940">
        <v>110</v>
      </c>
      <c r="D940" t="s">
        <v>4</v>
      </c>
      <c r="E940">
        <v>0.46808463</v>
      </c>
      <c r="F940">
        <v>0.4500132</v>
      </c>
      <c r="G940">
        <v>0.43386164999999999</v>
      </c>
      <c r="H940">
        <v>0.42098688000000001</v>
      </c>
      <c r="I940">
        <v>0.40881596999999997</v>
      </c>
      <c r="J940">
        <v>0.39048048000000002</v>
      </c>
      <c r="K940">
        <v>0.35779374000000003</v>
      </c>
      <c r="L940">
        <v>0.34841385000000002</v>
      </c>
      <c r="M940">
        <v>0.34638059999999998</v>
      </c>
      <c r="N940">
        <v>0.34547717999999999</v>
      </c>
      <c r="O940">
        <v>0.35958730500000002</v>
      </c>
      <c r="P940">
        <v>0.37333197000000001</v>
      </c>
      <c r="Q940">
        <v>0.38387853</v>
      </c>
      <c r="R940">
        <v>0.41074760999999999</v>
      </c>
      <c r="S940">
        <v>0.42608183999999999</v>
      </c>
      <c r="T940">
        <v>0.43611119999999998</v>
      </c>
      <c r="U940">
        <v>0.42790525499999998</v>
      </c>
      <c r="V940">
        <v>0.42060585</v>
      </c>
      <c r="W940">
        <v>0.48222485999999998</v>
      </c>
      <c r="X940">
        <v>0.51171367499999998</v>
      </c>
      <c r="Y940">
        <v>0.52687896000000001</v>
      </c>
      <c r="Z940">
        <v>0.51235536000000004</v>
      </c>
      <c r="AA940">
        <v>0.51195435</v>
      </c>
      <c r="AB940">
        <v>0.50223983999999999</v>
      </c>
    </row>
    <row r="941" spans="1:28" hidden="1" x14ac:dyDescent="0.25">
      <c r="A941" t="s">
        <v>109</v>
      </c>
      <c r="B941" t="s">
        <v>110</v>
      </c>
      <c r="C941">
        <v>115</v>
      </c>
      <c r="D941" t="s">
        <v>2</v>
      </c>
      <c r="E941">
        <v>4.3444478950000001</v>
      </c>
      <c r="F941">
        <v>4.1078804450000002</v>
      </c>
      <c r="G941">
        <v>3.8880284450000002</v>
      </c>
      <c r="H941">
        <v>3.7973936699999999</v>
      </c>
      <c r="I941">
        <v>3.8480354750000001</v>
      </c>
      <c r="J941">
        <v>4.1620032399999998</v>
      </c>
      <c r="K941">
        <v>4.47709095</v>
      </c>
      <c r="L941">
        <v>4.8169011749999999</v>
      </c>
      <c r="M941">
        <v>5.4381160499999996</v>
      </c>
      <c r="N941">
        <v>5.8040622649999998</v>
      </c>
      <c r="O941">
        <v>6.1047522299999999</v>
      </c>
      <c r="P941">
        <v>6.2017225250000001</v>
      </c>
      <c r="Q941">
        <v>6.1699444550000004</v>
      </c>
      <c r="R941">
        <v>6.2693733099999998</v>
      </c>
      <c r="S941">
        <v>7.0863441299999996</v>
      </c>
      <c r="T941">
        <v>7.3132615349999996</v>
      </c>
      <c r="U941">
        <v>7.3166794849999999</v>
      </c>
      <c r="V941">
        <v>7.2249759850000004</v>
      </c>
      <c r="W941">
        <v>7.4876498749999998</v>
      </c>
      <c r="X941">
        <v>7.4305464700000003</v>
      </c>
      <c r="Y941">
        <v>7.0977878600000004</v>
      </c>
      <c r="Z941">
        <v>6.1579688250000002</v>
      </c>
      <c r="AA941">
        <v>5.4369153350000001</v>
      </c>
      <c r="AB941">
        <v>4.66572633</v>
      </c>
    </row>
    <row r="942" spans="1:28" hidden="1" x14ac:dyDescent="0.25">
      <c r="A942" t="s">
        <v>109</v>
      </c>
      <c r="B942" t="s">
        <v>110</v>
      </c>
      <c r="C942">
        <v>115</v>
      </c>
      <c r="D942" t="s">
        <v>3</v>
      </c>
      <c r="E942">
        <v>1.8940696127000001</v>
      </c>
      <c r="F942">
        <v>1.7925220565</v>
      </c>
      <c r="G942">
        <v>1.6290963989</v>
      </c>
      <c r="H942">
        <v>1.7231688676000001</v>
      </c>
      <c r="I942">
        <v>1.6517589275</v>
      </c>
      <c r="J942">
        <v>1.6920577453000001</v>
      </c>
      <c r="K942">
        <v>1.9870654620999999</v>
      </c>
      <c r="L942">
        <v>2.6001497485999998</v>
      </c>
      <c r="M942">
        <v>3.0284600138000002</v>
      </c>
      <c r="N942">
        <v>2.9511396317999998</v>
      </c>
      <c r="O942">
        <v>2.7758926061000002</v>
      </c>
      <c r="P942">
        <v>2.7868030185000001</v>
      </c>
      <c r="Q942">
        <v>2.8421166327999998</v>
      </c>
      <c r="R942">
        <v>2.8587841783000001</v>
      </c>
      <c r="S942">
        <v>3.2304910575000001</v>
      </c>
      <c r="T942">
        <v>3.1613329688</v>
      </c>
      <c r="U942">
        <v>3.2118540029</v>
      </c>
      <c r="V942">
        <v>3.0581906409999999</v>
      </c>
      <c r="W942">
        <v>2.6742086252999999</v>
      </c>
      <c r="X942">
        <v>2.6293272403999999</v>
      </c>
      <c r="Y942">
        <v>2.6350514717000002</v>
      </c>
      <c r="Z942">
        <v>2.2937859660000002</v>
      </c>
      <c r="AA942">
        <v>2.1192685525999999</v>
      </c>
      <c r="AB942">
        <v>1.9494147640999999</v>
      </c>
    </row>
    <row r="943" spans="1:28" hidden="1" x14ac:dyDescent="0.25">
      <c r="A943" t="s">
        <v>109</v>
      </c>
      <c r="B943" t="s">
        <v>110</v>
      </c>
      <c r="C943">
        <v>115</v>
      </c>
      <c r="D943" t="s">
        <v>4</v>
      </c>
      <c r="E943">
        <v>6.6159104999999996E-2</v>
      </c>
      <c r="F943">
        <v>6.2556555E-2</v>
      </c>
      <c r="G943">
        <v>5.9208555000000003E-2</v>
      </c>
      <c r="H943">
        <v>5.7828329999999997E-2</v>
      </c>
      <c r="I943">
        <v>5.8599525E-2</v>
      </c>
      <c r="J943">
        <v>6.3380759999999994E-2</v>
      </c>
      <c r="K943">
        <v>6.8179050000000005E-2</v>
      </c>
      <c r="L943">
        <v>7.3353824999999998E-2</v>
      </c>
      <c r="M943">
        <v>8.2813949999999997E-2</v>
      </c>
      <c r="N943">
        <v>8.8386734999999994E-2</v>
      </c>
      <c r="O943">
        <v>9.2965770000000003E-2</v>
      </c>
      <c r="P943">
        <v>9.4442474999999998E-2</v>
      </c>
      <c r="Q943">
        <v>9.3958545000000004E-2</v>
      </c>
      <c r="R943">
        <v>9.5472689999999999E-2</v>
      </c>
      <c r="S943">
        <v>0.10791387</v>
      </c>
      <c r="T943">
        <v>0.111369465</v>
      </c>
      <c r="U943">
        <v>0.111421515</v>
      </c>
      <c r="V943">
        <v>0.110025015</v>
      </c>
      <c r="W943">
        <v>0.114025125</v>
      </c>
      <c r="X943">
        <v>0.11315553</v>
      </c>
      <c r="Y943">
        <v>0.10808814</v>
      </c>
      <c r="Z943">
        <v>9.3776175000000003E-2</v>
      </c>
      <c r="AA943">
        <v>8.2795665000000004E-2</v>
      </c>
      <c r="AB943">
        <v>7.1051669999999997E-2</v>
      </c>
    </row>
    <row r="944" spans="1:28" hidden="1" x14ac:dyDescent="0.25">
      <c r="A944" t="s">
        <v>109</v>
      </c>
      <c r="B944" t="s">
        <v>111</v>
      </c>
      <c r="C944">
        <v>115</v>
      </c>
      <c r="D944" t="s">
        <v>2</v>
      </c>
      <c r="E944">
        <v>4.6886068950000004</v>
      </c>
      <c r="F944">
        <v>4.2622260049999996</v>
      </c>
      <c r="G944">
        <v>4.1041364600000003</v>
      </c>
      <c r="H944">
        <v>3.900545825</v>
      </c>
      <c r="I944">
        <v>4.0023741399999997</v>
      </c>
      <c r="J944">
        <v>4.198790035</v>
      </c>
      <c r="K944">
        <v>4.5807119649999999</v>
      </c>
      <c r="L944">
        <v>5.0744727650000003</v>
      </c>
      <c r="M944">
        <v>5.7837495949999997</v>
      </c>
      <c r="N944">
        <v>6.3086797350000001</v>
      </c>
      <c r="O944">
        <v>6.4600860549999997</v>
      </c>
      <c r="P944">
        <v>6.5257638849999999</v>
      </c>
      <c r="Q944">
        <v>6.6270534049999998</v>
      </c>
      <c r="R944">
        <v>6.6401342049999998</v>
      </c>
      <c r="S944">
        <v>7.3761734849999998</v>
      </c>
      <c r="T944">
        <v>7.4309197850000004</v>
      </c>
      <c r="U944">
        <v>7.49891138</v>
      </c>
      <c r="V944">
        <v>7.5054429149999997</v>
      </c>
      <c r="W944">
        <v>8.4306494749999992</v>
      </c>
      <c r="X944">
        <v>8.4402463300000008</v>
      </c>
      <c r="Y944">
        <v>7.99168915</v>
      </c>
      <c r="Z944">
        <v>6.7302035900000003</v>
      </c>
      <c r="AA944">
        <v>5.8399497550000001</v>
      </c>
      <c r="AB944">
        <v>4.9584949250000001</v>
      </c>
    </row>
    <row r="945" spans="1:28" hidden="1" x14ac:dyDescent="0.25">
      <c r="A945" t="s">
        <v>109</v>
      </c>
      <c r="B945" t="s">
        <v>111</v>
      </c>
      <c r="C945">
        <v>115</v>
      </c>
      <c r="D945" t="s">
        <v>3</v>
      </c>
      <c r="E945">
        <v>3.1160950875000002</v>
      </c>
      <c r="F945">
        <v>3.4076415994999998</v>
      </c>
      <c r="G945">
        <v>3.0430611399999998</v>
      </c>
      <c r="H945">
        <v>3.4105378443999999</v>
      </c>
      <c r="I945">
        <v>3.1915924132</v>
      </c>
      <c r="J945">
        <v>2.8557941972999998</v>
      </c>
      <c r="K945">
        <v>3.1948571254</v>
      </c>
      <c r="L945">
        <v>3.4971671328</v>
      </c>
      <c r="M945">
        <v>3.9076224663999999</v>
      </c>
      <c r="N945">
        <v>3.7077087043999999</v>
      </c>
      <c r="O945">
        <v>3.6965401215</v>
      </c>
      <c r="P945">
        <v>3.6554105223</v>
      </c>
      <c r="Q945">
        <v>3.8073056782000001</v>
      </c>
      <c r="R945">
        <v>3.8647352753000002</v>
      </c>
      <c r="S945">
        <v>4.2081141655999996</v>
      </c>
      <c r="T945">
        <v>4.290945078</v>
      </c>
      <c r="U945">
        <v>4.4050358315000002</v>
      </c>
      <c r="V945">
        <v>4.0762861195999998</v>
      </c>
      <c r="W945">
        <v>3.5840672525000001</v>
      </c>
      <c r="X945">
        <v>3.5636483770999998</v>
      </c>
      <c r="Y945">
        <v>3.4884569914000001</v>
      </c>
      <c r="Z945">
        <v>3.1384964464</v>
      </c>
      <c r="AA945">
        <v>3.1706297683</v>
      </c>
      <c r="AB945">
        <v>3.1182831881999999</v>
      </c>
    </row>
    <row r="946" spans="1:28" hidden="1" x14ac:dyDescent="0.25">
      <c r="A946" t="s">
        <v>109</v>
      </c>
      <c r="B946" t="s">
        <v>111</v>
      </c>
      <c r="C946">
        <v>115</v>
      </c>
      <c r="D946" t="s">
        <v>4</v>
      </c>
      <c r="E946">
        <v>7.1400105000000005E-2</v>
      </c>
      <c r="F946">
        <v>6.4906994999999995E-2</v>
      </c>
      <c r="G946">
        <v>6.2499539999999999E-2</v>
      </c>
      <c r="H946">
        <v>5.9399174999999999E-2</v>
      </c>
      <c r="I946">
        <v>6.0949860000000002E-2</v>
      </c>
      <c r="J946">
        <v>6.3940965000000002E-2</v>
      </c>
      <c r="K946">
        <v>6.9757034999999995E-2</v>
      </c>
      <c r="L946">
        <v>7.7276234999999999E-2</v>
      </c>
      <c r="M946">
        <v>8.8077404999999998E-2</v>
      </c>
      <c r="N946">
        <v>9.6071265000000003E-2</v>
      </c>
      <c r="O946">
        <v>9.8376944999999993E-2</v>
      </c>
      <c r="P946">
        <v>9.9377115000000002E-2</v>
      </c>
      <c r="Q946">
        <v>0.100919595</v>
      </c>
      <c r="R946">
        <v>0.101118795</v>
      </c>
      <c r="S946">
        <v>0.112327515</v>
      </c>
      <c r="T946">
        <v>0.113161215</v>
      </c>
      <c r="U946">
        <v>0.11419662</v>
      </c>
      <c r="V946">
        <v>0.11429608500000001</v>
      </c>
      <c r="W946">
        <v>0.128385525</v>
      </c>
      <c r="X946">
        <v>0.12853166999999999</v>
      </c>
      <c r="Y946">
        <v>0.12170085</v>
      </c>
      <c r="Z946">
        <v>0.10249041</v>
      </c>
      <c r="AA946">
        <v>8.8933244999999994E-2</v>
      </c>
      <c r="AB946">
        <v>7.5510074999999996E-2</v>
      </c>
    </row>
    <row r="947" spans="1:28" hidden="1" x14ac:dyDescent="0.25">
      <c r="A947" t="s">
        <v>0</v>
      </c>
      <c r="B947" t="s">
        <v>1</v>
      </c>
      <c r="C947">
        <v>115</v>
      </c>
      <c r="D947" t="s">
        <v>2</v>
      </c>
      <c r="E947">
        <v>11.378646125</v>
      </c>
      <c r="F947">
        <v>10.895270180000001</v>
      </c>
      <c r="G947">
        <v>10.74889524</v>
      </c>
      <c r="H947">
        <v>10.353066095000001</v>
      </c>
      <c r="I947">
        <v>10.622629075000001</v>
      </c>
      <c r="J947">
        <v>11.368607004999999</v>
      </c>
      <c r="K947">
        <v>12.042816849999999</v>
      </c>
      <c r="L947">
        <v>13.40721521</v>
      </c>
      <c r="M947">
        <v>14.403577185</v>
      </c>
      <c r="N947">
        <v>14.85423537</v>
      </c>
      <c r="O947">
        <v>16.099973734999999</v>
      </c>
      <c r="P947">
        <v>16.969114094999998</v>
      </c>
      <c r="Q947">
        <v>16.38552425</v>
      </c>
      <c r="R947">
        <v>16.151031209999999</v>
      </c>
      <c r="S947">
        <v>17.045325514999998</v>
      </c>
      <c r="T947">
        <v>17.229521500000001</v>
      </c>
      <c r="U947">
        <v>17.116508509999999</v>
      </c>
      <c r="V947">
        <v>17.340360595</v>
      </c>
      <c r="W947">
        <v>19.717833424999998</v>
      </c>
      <c r="X947">
        <v>19.457123625000001</v>
      </c>
      <c r="Y947">
        <v>17.917235694999999</v>
      </c>
      <c r="Z947">
        <v>15.484817595000001</v>
      </c>
      <c r="AA947">
        <v>13.509069135000001</v>
      </c>
      <c r="AB947">
        <v>12.111513705</v>
      </c>
    </row>
    <row r="948" spans="1:28" hidden="1" x14ac:dyDescent="0.25">
      <c r="A948" t="s">
        <v>0</v>
      </c>
      <c r="B948" t="s">
        <v>1</v>
      </c>
      <c r="C948">
        <v>115</v>
      </c>
      <c r="D948" t="s">
        <v>3</v>
      </c>
      <c r="E948">
        <v>0.4937149482</v>
      </c>
      <c r="F948">
        <v>0.64910796029999995</v>
      </c>
      <c r="G948">
        <v>0.6582778078</v>
      </c>
      <c r="H948">
        <v>0.68788023539999998</v>
      </c>
      <c r="I948">
        <v>0.58248085169999997</v>
      </c>
      <c r="J948">
        <v>0.41946783929999998</v>
      </c>
      <c r="K948">
        <v>0.88510873739999996</v>
      </c>
      <c r="L948">
        <v>1.6844306183</v>
      </c>
      <c r="M948">
        <v>1.8990557688</v>
      </c>
      <c r="N948">
        <v>2.5736607973000001</v>
      </c>
      <c r="O948">
        <v>3.4397275749</v>
      </c>
      <c r="P948">
        <v>3.8528191405999999</v>
      </c>
      <c r="Q948">
        <v>3.5931636165</v>
      </c>
      <c r="R948">
        <v>3.7340548079999998</v>
      </c>
      <c r="S948">
        <v>3.9883987731000001</v>
      </c>
      <c r="T948">
        <v>4.0378753897999999</v>
      </c>
      <c r="U948">
        <v>3.7951371211999998</v>
      </c>
      <c r="V948">
        <v>3.7829901961000001</v>
      </c>
      <c r="W948">
        <v>3.9976825172999999</v>
      </c>
      <c r="X948">
        <v>3.2238175105</v>
      </c>
      <c r="Y948">
        <v>2.3101739816000002</v>
      </c>
      <c r="Z948">
        <v>1.5496115626</v>
      </c>
      <c r="AA948">
        <v>0.71301900460000001</v>
      </c>
      <c r="AB948">
        <v>0.41974404929999998</v>
      </c>
    </row>
    <row r="949" spans="1:28" hidden="1" x14ac:dyDescent="0.25">
      <c r="A949" t="s">
        <v>0</v>
      </c>
      <c r="B949" t="s">
        <v>1</v>
      </c>
      <c r="C949">
        <v>115</v>
      </c>
      <c r="D949" t="s">
        <v>4</v>
      </c>
      <c r="E949">
        <v>0.173278875</v>
      </c>
      <c r="F949">
        <v>0.16591781999999999</v>
      </c>
      <c r="G949">
        <v>0.16368875999999999</v>
      </c>
      <c r="H949">
        <v>0.15766090499999999</v>
      </c>
      <c r="I949">
        <v>0.161765925</v>
      </c>
      <c r="J949">
        <v>0.173125995</v>
      </c>
      <c r="K949">
        <v>0.18339315</v>
      </c>
      <c r="L949">
        <v>0.20417078999999999</v>
      </c>
      <c r="M949">
        <v>0.219343815</v>
      </c>
      <c r="N949">
        <v>0.22620662999999999</v>
      </c>
      <c r="O949">
        <v>0.24517726500000001</v>
      </c>
      <c r="P949">
        <v>0.25841290500000003</v>
      </c>
      <c r="Q949">
        <v>0.24952574999999999</v>
      </c>
      <c r="R949">
        <v>0.24595479000000001</v>
      </c>
      <c r="S949">
        <v>0.25957348499999999</v>
      </c>
      <c r="T949">
        <v>0.26237850000000001</v>
      </c>
      <c r="U949">
        <v>0.26065748999999999</v>
      </c>
      <c r="V949">
        <v>0.264066405</v>
      </c>
      <c r="W949">
        <v>0.30027157500000001</v>
      </c>
      <c r="X949">
        <v>0.29630137499999998</v>
      </c>
      <c r="Y949">
        <v>0.27285130499999999</v>
      </c>
      <c r="Z949">
        <v>0.235809405</v>
      </c>
      <c r="AA949">
        <v>0.205721865</v>
      </c>
      <c r="AB949">
        <v>0.184439295</v>
      </c>
    </row>
    <row r="950" spans="1:28" hidden="1" x14ac:dyDescent="0.25">
      <c r="A950" t="s">
        <v>0</v>
      </c>
      <c r="B950" t="s">
        <v>5</v>
      </c>
      <c r="C950">
        <v>115</v>
      </c>
      <c r="D950" t="s">
        <v>2</v>
      </c>
      <c r="E950">
        <v>18.920779305</v>
      </c>
      <c r="F950">
        <v>18.168084660000002</v>
      </c>
      <c r="G950">
        <v>17.853045215000002</v>
      </c>
      <c r="H950">
        <v>17.194872154999999</v>
      </c>
      <c r="I950">
        <v>17.437252090000001</v>
      </c>
      <c r="J950">
        <v>18.928287959999999</v>
      </c>
      <c r="K950">
        <v>19.913708554999999</v>
      </c>
      <c r="L950">
        <v>22.430414089999999</v>
      </c>
      <c r="M950">
        <v>25.2702341</v>
      </c>
      <c r="N950">
        <v>26.858256024999999</v>
      </c>
      <c r="O950">
        <v>28.644547615</v>
      </c>
      <c r="P950">
        <v>29.644208355</v>
      </c>
      <c r="Q950">
        <v>28.850862759999998</v>
      </c>
      <c r="R950">
        <v>29.701316684999998</v>
      </c>
      <c r="S950">
        <v>32.380039945</v>
      </c>
      <c r="T950">
        <v>33.093283370000002</v>
      </c>
      <c r="U950">
        <v>32.766943019999999</v>
      </c>
      <c r="V950">
        <v>30.825969985</v>
      </c>
      <c r="W950">
        <v>32.358952080000002</v>
      </c>
      <c r="X950">
        <v>32.355310535000001</v>
      </c>
      <c r="Y950">
        <v>29.982128365000001</v>
      </c>
      <c r="Z950">
        <v>26.803784539999999</v>
      </c>
      <c r="AA950">
        <v>23.326479424999999</v>
      </c>
      <c r="AB950">
        <v>21.109854139999999</v>
      </c>
    </row>
    <row r="951" spans="1:28" hidden="1" x14ac:dyDescent="0.25">
      <c r="A951" t="s">
        <v>0</v>
      </c>
      <c r="B951" t="s">
        <v>5</v>
      </c>
      <c r="C951">
        <v>115</v>
      </c>
      <c r="D951" t="s">
        <v>3</v>
      </c>
      <c r="E951">
        <v>6.3423112715999999</v>
      </c>
      <c r="F951">
        <v>6.2169010421999999</v>
      </c>
      <c r="G951">
        <v>6.1998072502000001</v>
      </c>
      <c r="H951">
        <v>5.9388799819999996</v>
      </c>
      <c r="I951">
        <v>5.9215769652999999</v>
      </c>
      <c r="J951">
        <v>6.2267990669</v>
      </c>
      <c r="K951">
        <v>7.2824042533000002</v>
      </c>
      <c r="L951">
        <v>8.6539977935000003</v>
      </c>
      <c r="M951">
        <v>9.7310826102999997</v>
      </c>
      <c r="N951">
        <v>10.7589571903</v>
      </c>
      <c r="O951">
        <v>11.363352046199999</v>
      </c>
      <c r="P951">
        <v>11.5832757303</v>
      </c>
      <c r="Q951">
        <v>11.6613292293</v>
      </c>
      <c r="R951">
        <v>11.8607283613</v>
      </c>
      <c r="S951">
        <v>12.9456123134</v>
      </c>
      <c r="T951">
        <v>13.238004971000001</v>
      </c>
      <c r="U951">
        <v>12.962689920300001</v>
      </c>
      <c r="V951">
        <v>11.667490691099999</v>
      </c>
      <c r="W951">
        <v>10.815090207700001</v>
      </c>
      <c r="X951">
        <v>10.3950865857</v>
      </c>
      <c r="Y951">
        <v>9.1972275019000005</v>
      </c>
      <c r="Z951">
        <v>8.6780173255000008</v>
      </c>
      <c r="AA951">
        <v>7.7058778825000003</v>
      </c>
      <c r="AB951">
        <v>7.9099654573000002</v>
      </c>
    </row>
    <row r="952" spans="1:28" hidden="1" x14ac:dyDescent="0.25">
      <c r="A952" t="s">
        <v>0</v>
      </c>
      <c r="B952" t="s">
        <v>5</v>
      </c>
      <c r="C952">
        <v>115</v>
      </c>
      <c r="D952" t="s">
        <v>4</v>
      </c>
      <c r="E952">
        <v>0.28813369500000002</v>
      </c>
      <c r="F952">
        <v>0.27667133999999999</v>
      </c>
      <c r="G952">
        <v>0.27187378499999998</v>
      </c>
      <c r="H952">
        <v>0.261850845</v>
      </c>
      <c r="I952">
        <v>0.26554190999999999</v>
      </c>
      <c r="J952">
        <v>0.28824803999999998</v>
      </c>
      <c r="K952">
        <v>0.30325444499999998</v>
      </c>
      <c r="L952">
        <v>0.34157990999999999</v>
      </c>
      <c r="M952">
        <v>0.3848259</v>
      </c>
      <c r="N952">
        <v>0.409008975</v>
      </c>
      <c r="O952">
        <v>0.43621138500000001</v>
      </c>
      <c r="P952">
        <v>0.45143464500000002</v>
      </c>
      <c r="Q952">
        <v>0.43935323999999998</v>
      </c>
      <c r="R952">
        <v>0.45230431500000001</v>
      </c>
      <c r="S952">
        <v>0.49309705500000001</v>
      </c>
      <c r="T952">
        <v>0.50395862999999996</v>
      </c>
      <c r="U952">
        <v>0.49898898000000003</v>
      </c>
      <c r="V952">
        <v>0.46943101500000001</v>
      </c>
      <c r="W952">
        <v>0.49277591999999998</v>
      </c>
      <c r="X952">
        <v>0.492720465</v>
      </c>
      <c r="Y952">
        <v>0.45658063500000001</v>
      </c>
      <c r="Z952">
        <v>0.40817945999999999</v>
      </c>
      <c r="AA952">
        <v>0.35522557500000002</v>
      </c>
      <c r="AB952">
        <v>0.32146986</v>
      </c>
    </row>
    <row r="953" spans="1:28" hidden="1" x14ac:dyDescent="0.25">
      <c r="A953" t="s">
        <v>0</v>
      </c>
      <c r="B953" t="s">
        <v>6</v>
      </c>
      <c r="C953">
        <v>115</v>
      </c>
      <c r="D953" t="s">
        <v>2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</row>
    <row r="954" spans="1:28" hidden="1" x14ac:dyDescent="0.25">
      <c r="A954" t="s">
        <v>0</v>
      </c>
      <c r="B954" t="s">
        <v>6</v>
      </c>
      <c r="C954">
        <v>115</v>
      </c>
      <c r="D954" t="s">
        <v>3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</row>
    <row r="955" spans="1:28" hidden="1" x14ac:dyDescent="0.25">
      <c r="A955" t="s">
        <v>0</v>
      </c>
      <c r="B955" t="s">
        <v>6</v>
      </c>
      <c r="C955">
        <v>115</v>
      </c>
      <c r="D955" t="s">
        <v>4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</row>
    <row r="956" spans="1:28" hidden="1" x14ac:dyDescent="0.25">
      <c r="A956" t="s">
        <v>7</v>
      </c>
      <c r="B956" t="s">
        <v>8</v>
      </c>
      <c r="C956">
        <v>110</v>
      </c>
      <c r="D956" t="s">
        <v>2</v>
      </c>
      <c r="E956">
        <v>15.056907000000001</v>
      </c>
      <c r="F956">
        <v>15.2453375</v>
      </c>
      <c r="G956">
        <v>15.009449699999999</v>
      </c>
      <c r="H956">
        <v>15.441884399999999</v>
      </c>
      <c r="I956">
        <v>16.595624749999999</v>
      </c>
      <c r="J956">
        <v>18.2842792</v>
      </c>
      <c r="K956">
        <v>19.383519499999998</v>
      </c>
      <c r="L956">
        <v>19.850862599999999</v>
      </c>
      <c r="M956">
        <v>20.641975200000001</v>
      </c>
      <c r="N956">
        <v>20.409475799999999</v>
      </c>
      <c r="O956">
        <v>21.193890400000001</v>
      </c>
      <c r="P956">
        <v>21.6769344</v>
      </c>
      <c r="Q956">
        <v>21.418332500000002</v>
      </c>
      <c r="R956">
        <v>20.131351200000001</v>
      </c>
      <c r="S956">
        <v>20.897021250000002</v>
      </c>
      <c r="T956">
        <v>20.386052500000002</v>
      </c>
      <c r="U956">
        <v>19.727717899999998</v>
      </c>
      <c r="V956">
        <v>18.985510550000001</v>
      </c>
      <c r="W956">
        <v>22.097874149999999</v>
      </c>
      <c r="X956">
        <v>22.793215199999999</v>
      </c>
      <c r="Y956">
        <v>22.44786435</v>
      </c>
      <c r="Z956">
        <v>18.866886999999998</v>
      </c>
      <c r="AA956">
        <v>17.335842400000001</v>
      </c>
      <c r="AB956">
        <v>15.875245</v>
      </c>
    </row>
    <row r="957" spans="1:28" hidden="1" x14ac:dyDescent="0.25">
      <c r="A957" t="s">
        <v>7</v>
      </c>
      <c r="B957" t="s">
        <v>8</v>
      </c>
      <c r="C957">
        <v>110</v>
      </c>
      <c r="D957" t="s">
        <v>3</v>
      </c>
      <c r="E957">
        <v>6.2772448866000001</v>
      </c>
      <c r="F957">
        <v>6.8121370526999998</v>
      </c>
      <c r="G957">
        <v>6.3486643614</v>
      </c>
      <c r="H957">
        <v>6.3905414439000001</v>
      </c>
      <c r="I957">
        <v>6.7659162987999997</v>
      </c>
      <c r="J957">
        <v>7.5107293100000003</v>
      </c>
      <c r="K957">
        <v>10.2091974803</v>
      </c>
      <c r="L957">
        <v>10.4406492071</v>
      </c>
      <c r="M957">
        <v>11.077883587400001</v>
      </c>
      <c r="N957">
        <v>8.7558101396999994</v>
      </c>
      <c r="O957">
        <v>9.0285595025000003</v>
      </c>
      <c r="P957">
        <v>9.5580791212000005</v>
      </c>
      <c r="Q957">
        <v>8.7320994019999993</v>
      </c>
      <c r="R957">
        <v>8.6968398294</v>
      </c>
      <c r="S957">
        <v>9.1522169420000008</v>
      </c>
      <c r="T957">
        <v>8.6228481099999996</v>
      </c>
      <c r="U957">
        <v>8.6986049359000006</v>
      </c>
      <c r="V957">
        <v>8.4274517950999996</v>
      </c>
      <c r="W957">
        <v>9.2799058007999999</v>
      </c>
      <c r="X957">
        <v>11.3364783324</v>
      </c>
      <c r="Y957">
        <v>10.6105780162</v>
      </c>
      <c r="Z957">
        <v>9.3334127235000004</v>
      </c>
      <c r="AA957">
        <v>9.1245183638</v>
      </c>
      <c r="AB957">
        <v>6.9999218975000002</v>
      </c>
    </row>
    <row r="958" spans="1:28" hidden="1" x14ac:dyDescent="0.25">
      <c r="A958" t="s">
        <v>7</v>
      </c>
      <c r="B958" t="s">
        <v>8</v>
      </c>
      <c r="C958">
        <v>110</v>
      </c>
      <c r="D958" t="s">
        <v>4</v>
      </c>
      <c r="E958">
        <v>0.229293</v>
      </c>
      <c r="F958">
        <v>0.23216249999999999</v>
      </c>
      <c r="G958">
        <v>0.2285703</v>
      </c>
      <c r="H958">
        <v>0.23515559999999999</v>
      </c>
      <c r="I958">
        <v>0.25272525000000001</v>
      </c>
      <c r="J958">
        <v>0.27844079999999999</v>
      </c>
      <c r="K958">
        <v>0.29518050000000001</v>
      </c>
      <c r="L958">
        <v>0.30229739999999999</v>
      </c>
      <c r="M958">
        <v>0.31434479999999998</v>
      </c>
      <c r="N958">
        <v>0.31080419999999997</v>
      </c>
      <c r="O958">
        <v>0.32274960000000003</v>
      </c>
      <c r="P958">
        <v>0.3301056</v>
      </c>
      <c r="Q958">
        <v>0.3261675</v>
      </c>
      <c r="R958">
        <v>0.30656879999999997</v>
      </c>
      <c r="S958">
        <v>0.31822875</v>
      </c>
      <c r="T958">
        <v>0.31044749999999999</v>
      </c>
      <c r="U958">
        <v>0.30042210000000003</v>
      </c>
      <c r="V958">
        <v>0.28911945</v>
      </c>
      <c r="W958">
        <v>0.33651585000000001</v>
      </c>
      <c r="X958">
        <v>0.34710479999999999</v>
      </c>
      <c r="Y958">
        <v>0.34184565</v>
      </c>
      <c r="Z958">
        <v>0.28731299999999999</v>
      </c>
      <c r="AA958">
        <v>0.2639976</v>
      </c>
      <c r="AB958">
        <v>0.241755</v>
      </c>
    </row>
    <row r="959" spans="1:28" hidden="1" x14ac:dyDescent="0.25">
      <c r="A959" t="s">
        <v>7</v>
      </c>
      <c r="B959" t="s">
        <v>9</v>
      </c>
      <c r="C959">
        <v>110</v>
      </c>
      <c r="D959" t="s">
        <v>2</v>
      </c>
      <c r="E959">
        <v>59.134455299999999</v>
      </c>
      <c r="F959">
        <v>58.214977500000003</v>
      </c>
      <c r="G959">
        <v>56.601192900000001</v>
      </c>
      <c r="H959">
        <v>57.185987400000002</v>
      </c>
      <c r="I959">
        <v>62.142665000000001</v>
      </c>
      <c r="J959">
        <v>69.875348399999993</v>
      </c>
      <c r="K959">
        <v>74.869633300000004</v>
      </c>
      <c r="L959">
        <v>81.909408600000006</v>
      </c>
      <c r="M959">
        <v>86.076490500000006</v>
      </c>
      <c r="N959">
        <v>89.198556350000004</v>
      </c>
      <c r="O959">
        <v>90.118684250000001</v>
      </c>
      <c r="P959">
        <v>93.512570699999998</v>
      </c>
      <c r="Q959">
        <v>91.797272000000007</v>
      </c>
      <c r="R959">
        <v>89.908918650000004</v>
      </c>
      <c r="S959">
        <v>91.748317499999999</v>
      </c>
      <c r="T959">
        <v>90.575615900000003</v>
      </c>
      <c r="U959">
        <v>89.5802537</v>
      </c>
      <c r="V959">
        <v>84.765672199999997</v>
      </c>
      <c r="W959">
        <v>96.613961399999994</v>
      </c>
      <c r="X959">
        <v>95.906061600000001</v>
      </c>
      <c r="Y959">
        <v>92.134122300000001</v>
      </c>
      <c r="Z959">
        <v>77.829302200000001</v>
      </c>
      <c r="AA959">
        <v>70.579859799999994</v>
      </c>
      <c r="AB959">
        <v>62.505982250000002</v>
      </c>
    </row>
    <row r="960" spans="1:28" hidden="1" x14ac:dyDescent="0.25">
      <c r="A960" t="s">
        <v>7</v>
      </c>
      <c r="B960" t="s">
        <v>9</v>
      </c>
      <c r="C960">
        <v>110</v>
      </c>
      <c r="D960" t="s">
        <v>3</v>
      </c>
      <c r="E960">
        <v>22.884747528999998</v>
      </c>
      <c r="F960">
        <v>23.218054819799999</v>
      </c>
      <c r="G960">
        <v>22.588588989800002</v>
      </c>
      <c r="H960">
        <v>22.989733217800001</v>
      </c>
      <c r="I960">
        <v>25.208235287299999</v>
      </c>
      <c r="J960">
        <v>26.320937266000001</v>
      </c>
      <c r="K960">
        <v>26.1046098751</v>
      </c>
      <c r="L960">
        <v>30.7743130516</v>
      </c>
      <c r="M960">
        <v>36.844654276500002</v>
      </c>
      <c r="N960">
        <v>39.730954785000002</v>
      </c>
      <c r="O960">
        <v>40.347566167499998</v>
      </c>
      <c r="P960">
        <v>42.958953530000002</v>
      </c>
      <c r="Q960">
        <v>43.316800170599997</v>
      </c>
      <c r="R960">
        <v>41.844317747300003</v>
      </c>
      <c r="S960">
        <v>42.222963937199999</v>
      </c>
      <c r="T960">
        <v>42.128483712200001</v>
      </c>
      <c r="U960">
        <v>41.334200173600003</v>
      </c>
      <c r="V960">
        <v>38.521564829500001</v>
      </c>
      <c r="W960">
        <v>41.749255289700002</v>
      </c>
      <c r="X960">
        <v>38.139382961499997</v>
      </c>
      <c r="Y960">
        <v>32.4931187671</v>
      </c>
      <c r="Z960">
        <v>27.5349448184</v>
      </c>
      <c r="AA960">
        <v>27.129305860700001</v>
      </c>
      <c r="AB960">
        <v>24.621281724900001</v>
      </c>
    </row>
    <row r="961" spans="1:28" hidden="1" x14ac:dyDescent="0.25">
      <c r="A961" t="s">
        <v>7</v>
      </c>
      <c r="B961" t="s">
        <v>9</v>
      </c>
      <c r="C961">
        <v>110</v>
      </c>
      <c r="D961" t="s">
        <v>4</v>
      </c>
      <c r="E961">
        <v>0.90052469999999996</v>
      </c>
      <c r="F961">
        <v>0.88652249999999999</v>
      </c>
      <c r="G961">
        <v>0.86194709999999997</v>
      </c>
      <c r="H961">
        <v>0.87085259999999998</v>
      </c>
      <c r="I961">
        <v>0.94633500000000004</v>
      </c>
      <c r="J961">
        <v>1.0640916</v>
      </c>
      <c r="K961">
        <v>1.1401467000000001</v>
      </c>
      <c r="L961">
        <v>1.2473514000000001</v>
      </c>
      <c r="M961">
        <v>1.3108095</v>
      </c>
      <c r="N961">
        <v>1.35835365</v>
      </c>
      <c r="O961">
        <v>1.3723657499999999</v>
      </c>
      <c r="P961">
        <v>1.4240493000000001</v>
      </c>
      <c r="Q961">
        <v>1.3979280000000001</v>
      </c>
      <c r="R961">
        <v>1.36917135</v>
      </c>
      <c r="S961">
        <v>1.3971825</v>
      </c>
      <c r="T961">
        <v>1.3793241000000001</v>
      </c>
      <c r="U961">
        <v>1.3641662999999999</v>
      </c>
      <c r="V961">
        <v>1.2908478000000001</v>
      </c>
      <c r="W961">
        <v>1.4712786</v>
      </c>
      <c r="X961">
        <v>1.4604984000000001</v>
      </c>
      <c r="Y961">
        <v>1.4030577</v>
      </c>
      <c r="Z961">
        <v>1.1852178</v>
      </c>
      <c r="AA961">
        <v>1.0748202</v>
      </c>
      <c r="AB961">
        <v>0.95186775000000001</v>
      </c>
    </row>
    <row r="962" spans="1:28" hidden="1" x14ac:dyDescent="0.25">
      <c r="A962" t="s">
        <v>7</v>
      </c>
      <c r="B962" t="s">
        <v>10</v>
      </c>
      <c r="C962">
        <v>44</v>
      </c>
      <c r="D962" t="s">
        <v>2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</row>
    <row r="963" spans="1:28" hidden="1" x14ac:dyDescent="0.25">
      <c r="A963" t="s">
        <v>7</v>
      </c>
      <c r="B963" t="s">
        <v>10</v>
      </c>
      <c r="C963">
        <v>44</v>
      </c>
      <c r="D963" t="s">
        <v>3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</row>
    <row r="964" spans="1:28" hidden="1" x14ac:dyDescent="0.25">
      <c r="A964" t="s">
        <v>7</v>
      </c>
      <c r="B964" t="s">
        <v>10</v>
      </c>
      <c r="C964">
        <v>44</v>
      </c>
      <c r="D964" t="s">
        <v>4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</row>
    <row r="965" spans="1:28" hidden="1" x14ac:dyDescent="0.25">
      <c r="A965" t="s">
        <v>7</v>
      </c>
      <c r="B965" t="s">
        <v>11</v>
      </c>
      <c r="C965">
        <v>110</v>
      </c>
      <c r="D965" t="s">
        <v>2</v>
      </c>
      <c r="E965">
        <v>6.25996065</v>
      </c>
      <c r="F965">
        <v>6.0476537500000003</v>
      </c>
      <c r="G965">
        <v>6.0116126000000003</v>
      </c>
      <c r="H965">
        <v>6.0040871999999998</v>
      </c>
      <c r="I965">
        <v>6.1103490000000003</v>
      </c>
      <c r="J965">
        <v>6.5120516999999998</v>
      </c>
      <c r="K965">
        <v>6.6926810000000003</v>
      </c>
      <c r="L965">
        <v>6.3632970000000002</v>
      </c>
      <c r="M965">
        <v>6.6349206000000001</v>
      </c>
      <c r="N965">
        <v>8.5754099999999998</v>
      </c>
      <c r="O965">
        <v>8.7216430999999996</v>
      </c>
      <c r="P965">
        <v>8.8986278999999993</v>
      </c>
      <c r="Q965">
        <v>9.0312680000000007</v>
      </c>
      <c r="R965">
        <v>9.1258082999999992</v>
      </c>
      <c r="S965">
        <v>9.6030112499999998</v>
      </c>
      <c r="T965">
        <v>9.8160766000000006</v>
      </c>
      <c r="U965">
        <v>9.4838951999999992</v>
      </c>
      <c r="V965">
        <v>8.1030335499999993</v>
      </c>
      <c r="W965">
        <v>9.7144443000000003</v>
      </c>
      <c r="X965">
        <v>10.238484</v>
      </c>
      <c r="Y965">
        <v>9.9643486499999998</v>
      </c>
      <c r="Z965">
        <v>7.8453673999999998</v>
      </c>
      <c r="AA965">
        <v>7.5188595999999999</v>
      </c>
      <c r="AB965">
        <v>6.8084677500000002</v>
      </c>
    </row>
    <row r="966" spans="1:28" hidden="1" x14ac:dyDescent="0.25">
      <c r="A966" t="s">
        <v>7</v>
      </c>
      <c r="B966" t="s">
        <v>11</v>
      </c>
      <c r="C966">
        <v>110</v>
      </c>
      <c r="D966" t="s">
        <v>3</v>
      </c>
      <c r="E966">
        <v>3.2807725332</v>
      </c>
      <c r="F966">
        <v>2.8109626395</v>
      </c>
      <c r="G966">
        <v>2.886480905</v>
      </c>
      <c r="H966">
        <v>2.9700418199</v>
      </c>
      <c r="I966">
        <v>2.9123138095000001</v>
      </c>
      <c r="J966">
        <v>3.3932003786</v>
      </c>
      <c r="K966">
        <v>3.127935533</v>
      </c>
      <c r="L966">
        <v>3.0743118137000001</v>
      </c>
      <c r="M966">
        <v>3.3829897986000002</v>
      </c>
      <c r="N966">
        <v>4.3469195145999997</v>
      </c>
      <c r="O966">
        <v>3.9380564594999998</v>
      </c>
      <c r="P966">
        <v>4.0527794637000003</v>
      </c>
      <c r="Q966">
        <v>4.0498072005000001</v>
      </c>
      <c r="R966">
        <v>4.1170766147000002</v>
      </c>
      <c r="S966">
        <v>5.1436843489999999</v>
      </c>
      <c r="T966">
        <v>5.2658332966000003</v>
      </c>
      <c r="U966">
        <v>5.0599654413000001</v>
      </c>
      <c r="V966">
        <v>4.3280952172999996</v>
      </c>
      <c r="W966">
        <v>4.9620555735999998</v>
      </c>
      <c r="X966">
        <v>4.4621960021999998</v>
      </c>
      <c r="Y966">
        <v>4.0191670845000003</v>
      </c>
      <c r="Z966">
        <v>3.5630209420000001</v>
      </c>
      <c r="AA966">
        <v>3.7172433651999999</v>
      </c>
      <c r="AB966">
        <v>3.1638048688999998</v>
      </c>
    </row>
    <row r="967" spans="1:28" hidden="1" x14ac:dyDescent="0.25">
      <c r="A967" t="s">
        <v>7</v>
      </c>
      <c r="B967" t="s">
        <v>11</v>
      </c>
      <c r="C967">
        <v>110</v>
      </c>
      <c r="D967" t="s">
        <v>4</v>
      </c>
      <c r="E967">
        <v>9.5329349999999993E-2</v>
      </c>
      <c r="F967">
        <v>9.2096250000000004E-2</v>
      </c>
      <c r="G967">
        <v>9.1547400000000001E-2</v>
      </c>
      <c r="H967">
        <v>9.1432799999999995E-2</v>
      </c>
      <c r="I967">
        <v>9.3050999999999995E-2</v>
      </c>
      <c r="J967">
        <v>9.9168300000000001E-2</v>
      </c>
      <c r="K967">
        <v>0.101919</v>
      </c>
      <c r="L967">
        <v>9.6903000000000003E-2</v>
      </c>
      <c r="M967">
        <v>0.1010394</v>
      </c>
      <c r="N967">
        <v>0.13059000000000001</v>
      </c>
      <c r="O967">
        <v>0.13281689999999999</v>
      </c>
      <c r="P967">
        <v>0.1355121</v>
      </c>
      <c r="Q967">
        <v>0.13753199999999999</v>
      </c>
      <c r="R967">
        <v>0.1389717</v>
      </c>
      <c r="S967">
        <v>0.14623875</v>
      </c>
      <c r="T967">
        <v>0.14948339999999999</v>
      </c>
      <c r="U967">
        <v>0.14442479999999999</v>
      </c>
      <c r="V967">
        <v>0.12339645</v>
      </c>
      <c r="W967">
        <v>0.1479357</v>
      </c>
      <c r="X967">
        <v>0.155916</v>
      </c>
      <c r="Y967">
        <v>0.15174135</v>
      </c>
      <c r="Z967">
        <v>0.1194726</v>
      </c>
      <c r="AA967">
        <v>0.1145004</v>
      </c>
      <c r="AB967">
        <v>0.10368225</v>
      </c>
    </row>
    <row r="968" spans="1:28" hidden="1" x14ac:dyDescent="0.25">
      <c r="A968" t="s">
        <v>7</v>
      </c>
      <c r="B968" t="s">
        <v>12</v>
      </c>
      <c r="C968">
        <v>110</v>
      </c>
      <c r="D968" t="s">
        <v>2</v>
      </c>
      <c r="E968">
        <v>34.115238599999998</v>
      </c>
      <c r="F968">
        <v>33.792148750000003</v>
      </c>
      <c r="G968">
        <v>33.3380145</v>
      </c>
      <c r="H968">
        <v>33.179449200000001</v>
      </c>
      <c r="I968">
        <v>34.833145999999999</v>
      </c>
      <c r="J968">
        <v>37.211723999999997</v>
      </c>
      <c r="K968">
        <v>36.683468499999996</v>
      </c>
      <c r="L968">
        <v>35.568862199999998</v>
      </c>
      <c r="M968">
        <v>38.662747199999998</v>
      </c>
      <c r="N968">
        <v>41.219137400000001</v>
      </c>
      <c r="O968">
        <v>44.054715999999999</v>
      </c>
      <c r="P968">
        <v>45.401476950000003</v>
      </c>
      <c r="Q968">
        <v>44.955301499999997</v>
      </c>
      <c r="R968">
        <v>42.294028500000003</v>
      </c>
      <c r="S968">
        <v>45.37771875</v>
      </c>
      <c r="T968">
        <v>45.7263004</v>
      </c>
      <c r="U968">
        <v>44.729332650000003</v>
      </c>
      <c r="V968">
        <v>43.250493050000003</v>
      </c>
      <c r="W968">
        <v>48.273825600000002</v>
      </c>
      <c r="X968">
        <v>46.425650400000002</v>
      </c>
      <c r="Y968">
        <v>44.671089600000002</v>
      </c>
      <c r="Z968">
        <v>37.910226899999998</v>
      </c>
      <c r="AA968">
        <v>36.769971200000001</v>
      </c>
      <c r="AB968">
        <v>34.769022499999998</v>
      </c>
    </row>
    <row r="969" spans="1:28" hidden="1" x14ac:dyDescent="0.25">
      <c r="A969" t="s">
        <v>7</v>
      </c>
      <c r="B969" t="s">
        <v>12</v>
      </c>
      <c r="C969">
        <v>110</v>
      </c>
      <c r="D969" t="s">
        <v>3</v>
      </c>
      <c r="E969">
        <v>14.9697308289</v>
      </c>
      <c r="F969">
        <v>15.1372226344</v>
      </c>
      <c r="G969">
        <v>15.063736668700001</v>
      </c>
      <c r="H969">
        <v>15.2125299262</v>
      </c>
      <c r="I969">
        <v>15.8247637836</v>
      </c>
      <c r="J969">
        <v>16.711620206900001</v>
      </c>
      <c r="K969">
        <v>16.251971083800001</v>
      </c>
      <c r="L969">
        <v>15.625520120899999</v>
      </c>
      <c r="M969">
        <v>17.199575879000001</v>
      </c>
      <c r="N969">
        <v>18.559662618800001</v>
      </c>
      <c r="O969">
        <v>19.998718472499998</v>
      </c>
      <c r="P969">
        <v>20.849184672100002</v>
      </c>
      <c r="Q969">
        <v>20.539813569900002</v>
      </c>
      <c r="R969">
        <v>19.349719002899999</v>
      </c>
      <c r="S969">
        <v>20.894854631099999</v>
      </c>
      <c r="T969">
        <v>21.252364612699999</v>
      </c>
      <c r="U969">
        <v>20.868940418499999</v>
      </c>
      <c r="V969">
        <v>20.169006320800001</v>
      </c>
      <c r="W969">
        <v>22.201824278</v>
      </c>
      <c r="X969">
        <v>20.3866803475</v>
      </c>
      <c r="Y969">
        <v>18.955660715099999</v>
      </c>
      <c r="Z969">
        <v>15.940959124300001</v>
      </c>
      <c r="AA969">
        <v>15.282301116299999</v>
      </c>
      <c r="AB969">
        <v>14.829354196600001</v>
      </c>
    </row>
    <row r="970" spans="1:28" hidden="1" x14ac:dyDescent="0.25">
      <c r="A970" t="s">
        <v>7</v>
      </c>
      <c r="B970" t="s">
        <v>12</v>
      </c>
      <c r="C970">
        <v>110</v>
      </c>
      <c r="D970" t="s">
        <v>4</v>
      </c>
      <c r="E970">
        <v>0.51952140000000002</v>
      </c>
      <c r="F970">
        <v>0.51460125000000001</v>
      </c>
      <c r="G970">
        <v>0.50768550000000001</v>
      </c>
      <c r="H970">
        <v>0.50527080000000002</v>
      </c>
      <c r="I970">
        <v>0.53045399999999998</v>
      </c>
      <c r="J970">
        <v>0.56667599999999996</v>
      </c>
      <c r="K970">
        <v>0.55863149999999995</v>
      </c>
      <c r="L970">
        <v>0.54165779999999997</v>
      </c>
      <c r="M970">
        <v>0.58877279999999999</v>
      </c>
      <c r="N970">
        <v>0.6277026</v>
      </c>
      <c r="O970">
        <v>0.67088400000000004</v>
      </c>
      <c r="P970">
        <v>0.69139304999999995</v>
      </c>
      <c r="Q970">
        <v>0.6845985</v>
      </c>
      <c r="R970">
        <v>0.64407150000000002</v>
      </c>
      <c r="S970">
        <v>0.69103124999999999</v>
      </c>
      <c r="T970">
        <v>0.69633959999999995</v>
      </c>
      <c r="U970">
        <v>0.68115734999999999</v>
      </c>
      <c r="V970">
        <v>0.65863695</v>
      </c>
      <c r="W970">
        <v>0.73513439999999997</v>
      </c>
      <c r="X970">
        <v>0.7069896</v>
      </c>
      <c r="Y970">
        <v>0.68027040000000005</v>
      </c>
      <c r="Z970">
        <v>0.57731310000000002</v>
      </c>
      <c r="AA970">
        <v>0.55994880000000002</v>
      </c>
      <c r="AB970">
        <v>0.52947750000000005</v>
      </c>
    </row>
    <row r="971" spans="1:28" hidden="1" x14ac:dyDescent="0.25">
      <c r="A971" t="s">
        <v>7</v>
      </c>
      <c r="B971" t="s">
        <v>13</v>
      </c>
      <c r="C971">
        <v>110</v>
      </c>
      <c r="D971" t="s">
        <v>2</v>
      </c>
      <c r="E971">
        <v>19.182086999999999</v>
      </c>
      <c r="F971">
        <v>20.02086375</v>
      </c>
      <c r="G971">
        <v>20.0517632</v>
      </c>
      <c r="H971">
        <v>20.680744799999999</v>
      </c>
      <c r="I971">
        <v>22.155211000000001</v>
      </c>
      <c r="J971">
        <v>24.0957398</v>
      </c>
      <c r="K971">
        <v>24.093651600000001</v>
      </c>
      <c r="L971">
        <v>22.697946000000002</v>
      </c>
      <c r="M971">
        <v>22.266575100000001</v>
      </c>
      <c r="N971">
        <v>22.79629825</v>
      </c>
      <c r="O971">
        <v>22.816175550000001</v>
      </c>
      <c r="P971">
        <v>22.67764515</v>
      </c>
      <c r="Q971">
        <v>22.021447999999999</v>
      </c>
      <c r="R971">
        <v>21.632107049999998</v>
      </c>
      <c r="S971">
        <v>22.277744999999999</v>
      </c>
      <c r="T971">
        <v>22.1861794</v>
      </c>
      <c r="U971">
        <v>22.721832249999999</v>
      </c>
      <c r="V971">
        <v>20.882591000000001</v>
      </c>
      <c r="W971">
        <v>25.463116800000002</v>
      </c>
      <c r="X971">
        <v>25.847975999999999</v>
      </c>
      <c r="Y971">
        <v>24.261022799999999</v>
      </c>
      <c r="Z971">
        <v>20.902882000000002</v>
      </c>
      <c r="AA971">
        <v>19.509067600000002</v>
      </c>
      <c r="AB971">
        <v>17.69754425</v>
      </c>
    </row>
    <row r="972" spans="1:28" hidden="1" x14ac:dyDescent="0.25">
      <c r="A972" t="s">
        <v>7</v>
      </c>
      <c r="B972" t="s">
        <v>13</v>
      </c>
      <c r="C972">
        <v>110</v>
      </c>
      <c r="D972" t="s">
        <v>3</v>
      </c>
      <c r="E972">
        <v>6.8746343015000004</v>
      </c>
      <c r="F972">
        <v>7.3927440854000004</v>
      </c>
      <c r="G972">
        <v>7.3004104281000002</v>
      </c>
      <c r="H972">
        <v>7.5990338161000004</v>
      </c>
      <c r="I972">
        <v>8.1035800340000002</v>
      </c>
      <c r="J972">
        <v>8.6951349740000001</v>
      </c>
      <c r="K972">
        <v>8.2503771884999999</v>
      </c>
      <c r="L972">
        <v>7.5909393894999999</v>
      </c>
      <c r="M972">
        <v>7.9606991743000002</v>
      </c>
      <c r="N972">
        <v>8.1401525451999994</v>
      </c>
      <c r="O972">
        <v>8.3204616581999993</v>
      </c>
      <c r="P972">
        <v>8.2661929792999995</v>
      </c>
      <c r="Q972">
        <v>8.5095600896000008</v>
      </c>
      <c r="R972">
        <v>8.7509410983000002</v>
      </c>
      <c r="S972">
        <v>8.9025154540999996</v>
      </c>
      <c r="T972">
        <v>8.9509687836000005</v>
      </c>
      <c r="U972">
        <v>8.8409348889999997</v>
      </c>
      <c r="V972">
        <v>8.1047253527999992</v>
      </c>
      <c r="W972">
        <v>9.6770985250999999</v>
      </c>
      <c r="X972">
        <v>9.5138595969999997</v>
      </c>
      <c r="Y972">
        <v>8.6574844261999999</v>
      </c>
      <c r="Z972">
        <v>7.5673020687000001</v>
      </c>
      <c r="AA972">
        <v>7.2917405840000002</v>
      </c>
      <c r="AB972">
        <v>6.8595707899000002</v>
      </c>
    </row>
    <row r="973" spans="1:28" hidden="1" x14ac:dyDescent="0.25">
      <c r="A973" t="s">
        <v>7</v>
      </c>
      <c r="B973" t="s">
        <v>13</v>
      </c>
      <c r="C973">
        <v>110</v>
      </c>
      <c r="D973" t="s">
        <v>4</v>
      </c>
      <c r="E973">
        <v>0.29211300000000001</v>
      </c>
      <c r="F973">
        <v>0.30488625000000003</v>
      </c>
      <c r="G973">
        <v>0.30535679999999998</v>
      </c>
      <c r="H973">
        <v>0.31493520000000003</v>
      </c>
      <c r="I973">
        <v>0.33738899999999999</v>
      </c>
      <c r="J973">
        <v>0.36694019999999999</v>
      </c>
      <c r="K973">
        <v>0.36690840000000002</v>
      </c>
      <c r="L973">
        <v>0.34565400000000002</v>
      </c>
      <c r="M973">
        <v>0.33908490000000002</v>
      </c>
      <c r="N973">
        <v>0.34715174999999998</v>
      </c>
      <c r="O973">
        <v>0.34745445000000003</v>
      </c>
      <c r="P973">
        <v>0.34534484999999998</v>
      </c>
      <c r="Q973">
        <v>0.33535199999999998</v>
      </c>
      <c r="R973">
        <v>0.32942294999999999</v>
      </c>
      <c r="S973">
        <v>0.33925499999999997</v>
      </c>
      <c r="T973">
        <v>0.33786060000000001</v>
      </c>
      <c r="U973">
        <v>0.34601775000000001</v>
      </c>
      <c r="V973">
        <v>0.31800899999999999</v>
      </c>
      <c r="W973">
        <v>0.38776319999999997</v>
      </c>
      <c r="X973">
        <v>0.39362399999999997</v>
      </c>
      <c r="Y973">
        <v>0.36945719999999999</v>
      </c>
      <c r="Z973">
        <v>0.31831799999999999</v>
      </c>
      <c r="AA973">
        <v>0.29709239999999998</v>
      </c>
      <c r="AB973">
        <v>0.26950574999999999</v>
      </c>
    </row>
    <row r="974" spans="1:28" hidden="1" x14ac:dyDescent="0.25">
      <c r="A974" t="s">
        <v>7</v>
      </c>
      <c r="B974" t="s">
        <v>14</v>
      </c>
      <c r="C974">
        <v>110</v>
      </c>
      <c r="D974" t="s">
        <v>2</v>
      </c>
      <c r="E974">
        <v>38.993263949999999</v>
      </c>
      <c r="F974">
        <v>36.709964999999997</v>
      </c>
      <c r="G974">
        <v>33.328223600000001</v>
      </c>
      <c r="H974">
        <v>33.210173400000002</v>
      </c>
      <c r="I974">
        <v>34.919896999999999</v>
      </c>
      <c r="J974">
        <v>37.759514099999997</v>
      </c>
      <c r="K974">
        <v>43.565498099999999</v>
      </c>
      <c r="L974">
        <v>46.930955400000002</v>
      </c>
      <c r="M974">
        <v>50.253380100000001</v>
      </c>
      <c r="N974">
        <v>53.596312500000003</v>
      </c>
      <c r="O974">
        <v>58.268315250000001</v>
      </c>
      <c r="P974">
        <v>60.612280349999999</v>
      </c>
      <c r="Q974">
        <v>62.012644999999999</v>
      </c>
      <c r="R974">
        <v>62.031241799999997</v>
      </c>
      <c r="S974">
        <v>59.572800000000001</v>
      </c>
      <c r="T974">
        <v>58.619517000099997</v>
      </c>
      <c r="U974">
        <v>56.948966849999998</v>
      </c>
      <c r="V974">
        <v>55.956520249999997</v>
      </c>
      <c r="W974">
        <v>59.695757550000003</v>
      </c>
      <c r="X974">
        <v>61.716238799999999</v>
      </c>
      <c r="Y974">
        <v>60.15514185</v>
      </c>
      <c r="Z974">
        <v>56.777113900000003</v>
      </c>
      <c r="AA974">
        <v>51.520425000000003</v>
      </c>
      <c r="AB974">
        <v>44.193551749999997</v>
      </c>
    </row>
    <row r="975" spans="1:28" hidden="1" x14ac:dyDescent="0.25">
      <c r="A975" t="s">
        <v>7</v>
      </c>
      <c r="B975" t="s">
        <v>14</v>
      </c>
      <c r="C975">
        <v>110</v>
      </c>
      <c r="D975" t="s">
        <v>3</v>
      </c>
      <c r="E975">
        <v>15.5432591458</v>
      </c>
      <c r="F975">
        <v>15.2753033505</v>
      </c>
      <c r="G975">
        <v>14.412906184700001</v>
      </c>
      <c r="H975">
        <v>14.631666150399999</v>
      </c>
      <c r="I975">
        <v>15.3683799728</v>
      </c>
      <c r="J975">
        <v>15.814465081</v>
      </c>
      <c r="K975">
        <v>15.3849381053</v>
      </c>
      <c r="L975">
        <v>16.106124140999999</v>
      </c>
      <c r="M975">
        <v>17.897369784199999</v>
      </c>
      <c r="N975">
        <v>19.4048226552</v>
      </c>
      <c r="O975">
        <v>21.6435207279</v>
      </c>
      <c r="P975">
        <v>22.624934451000001</v>
      </c>
      <c r="Q975">
        <v>23.511541211299999</v>
      </c>
      <c r="R975">
        <v>23.430432911099999</v>
      </c>
      <c r="S975">
        <v>23.151050523399999</v>
      </c>
      <c r="T975">
        <v>22.6779982913</v>
      </c>
      <c r="U975">
        <v>22.3317040785</v>
      </c>
      <c r="V975">
        <v>21.7901244711</v>
      </c>
      <c r="W975">
        <v>22.934243184700001</v>
      </c>
      <c r="X975">
        <v>21.050340005900001</v>
      </c>
      <c r="Y975">
        <v>19.8849469791</v>
      </c>
      <c r="Z975">
        <v>18.7763283938</v>
      </c>
      <c r="AA975">
        <v>17.465603077400001</v>
      </c>
      <c r="AB975">
        <v>16.3156581456</v>
      </c>
    </row>
    <row r="976" spans="1:28" hidden="1" x14ac:dyDescent="0.25">
      <c r="A976" t="s">
        <v>7</v>
      </c>
      <c r="B976" t="s">
        <v>14</v>
      </c>
      <c r="C976">
        <v>110</v>
      </c>
      <c r="D976" t="s">
        <v>4</v>
      </c>
      <c r="E976">
        <v>0.59380604999999997</v>
      </c>
      <c r="F976">
        <v>0.55903499999999995</v>
      </c>
      <c r="G976">
        <v>0.5075364</v>
      </c>
      <c r="H976">
        <v>0.50573868119999998</v>
      </c>
      <c r="I976">
        <v>0.53177508120000005</v>
      </c>
      <c r="J976">
        <v>0.57501798120000003</v>
      </c>
      <c r="K976">
        <v>0.66343398119999997</v>
      </c>
      <c r="L976">
        <v>0.7146846</v>
      </c>
      <c r="M976">
        <v>0.76527990000000001</v>
      </c>
      <c r="N976">
        <v>0.81618749999999995</v>
      </c>
      <c r="O976">
        <v>0.88733474999999995</v>
      </c>
      <c r="P976">
        <v>0.92302965000000003</v>
      </c>
      <c r="Q976">
        <v>0.94435500000000006</v>
      </c>
      <c r="R976">
        <v>0.94463819999999998</v>
      </c>
      <c r="S976">
        <v>0.90720000000000001</v>
      </c>
      <c r="T976">
        <v>0.8926829999</v>
      </c>
      <c r="U976">
        <v>0.86724314999999996</v>
      </c>
      <c r="V976">
        <v>0.85212975000000002</v>
      </c>
      <c r="W976">
        <v>0.90907245000000003</v>
      </c>
      <c r="X976">
        <v>0.93984120000000004</v>
      </c>
      <c r="Y976">
        <v>0.91606814999999997</v>
      </c>
      <c r="Z976">
        <v>0.86462609999999995</v>
      </c>
      <c r="AA976">
        <v>0.78457500000000002</v>
      </c>
      <c r="AB976">
        <v>0.67299825000000002</v>
      </c>
    </row>
    <row r="977" spans="1:28" hidden="1" x14ac:dyDescent="0.25">
      <c r="A977" t="s">
        <v>7</v>
      </c>
      <c r="B977" t="s">
        <v>15</v>
      </c>
      <c r="C977">
        <v>110</v>
      </c>
      <c r="D977" t="s">
        <v>2</v>
      </c>
      <c r="E977">
        <v>25.1017203</v>
      </c>
      <c r="F977">
        <v>24.34205875</v>
      </c>
      <c r="G977">
        <v>23.7331416</v>
      </c>
      <c r="H977">
        <v>23.672977800000002</v>
      </c>
      <c r="I977">
        <v>25.968983250000001</v>
      </c>
      <c r="J977">
        <v>31.331352800000001</v>
      </c>
      <c r="K977">
        <v>37.213831900000002</v>
      </c>
      <c r="L977">
        <v>39.386840399999997</v>
      </c>
      <c r="M977">
        <v>39.208831199999999</v>
      </c>
      <c r="N977">
        <v>39.432593650000001</v>
      </c>
      <c r="O977">
        <v>38.934843600000001</v>
      </c>
      <c r="P977">
        <v>40.197781050000003</v>
      </c>
      <c r="Q977">
        <v>40.872673499999998</v>
      </c>
      <c r="R977">
        <v>40.641681149999997</v>
      </c>
      <c r="S977">
        <v>41.157978749999998</v>
      </c>
      <c r="T977">
        <v>41.356761599999999</v>
      </c>
      <c r="U977">
        <v>43.194279100000003</v>
      </c>
      <c r="V977">
        <v>42.426954250000001</v>
      </c>
      <c r="W977">
        <v>46.135321650000002</v>
      </c>
      <c r="X977">
        <v>45.603214800000003</v>
      </c>
      <c r="Y977">
        <v>43.628122349999998</v>
      </c>
      <c r="Z977">
        <v>35.711352300000001</v>
      </c>
      <c r="AA977">
        <v>31.799030800000001</v>
      </c>
      <c r="AB977">
        <v>27.859936999999999</v>
      </c>
    </row>
    <row r="978" spans="1:28" hidden="1" x14ac:dyDescent="0.25">
      <c r="A978" t="s">
        <v>7</v>
      </c>
      <c r="B978" t="s">
        <v>15</v>
      </c>
      <c r="C978">
        <v>110</v>
      </c>
      <c r="D978" t="s">
        <v>3</v>
      </c>
      <c r="E978">
        <v>9.6926381611999997</v>
      </c>
      <c r="F978">
        <v>9.3222370550000004</v>
      </c>
      <c r="G978">
        <v>9.7139110454999997</v>
      </c>
      <c r="H978">
        <v>9.9521490014000005</v>
      </c>
      <c r="I978">
        <v>10.7868554585</v>
      </c>
      <c r="J978">
        <v>12.954794313000001</v>
      </c>
      <c r="K978">
        <v>14.968700348900001</v>
      </c>
      <c r="L978">
        <v>15.804721424</v>
      </c>
      <c r="M978">
        <v>16.93253593</v>
      </c>
      <c r="N978">
        <v>17.2256509875</v>
      </c>
      <c r="O978">
        <v>16.078371931700001</v>
      </c>
      <c r="P978">
        <v>16.811190501199999</v>
      </c>
      <c r="Q978">
        <v>16.456951162199999</v>
      </c>
      <c r="R978">
        <v>16.8218324632</v>
      </c>
      <c r="S978">
        <v>17.2227812227</v>
      </c>
      <c r="T978">
        <v>18.242913086400002</v>
      </c>
      <c r="U978">
        <v>20.2844095751</v>
      </c>
      <c r="V978">
        <v>19.667474016100002</v>
      </c>
      <c r="W978">
        <v>20.781372103300001</v>
      </c>
      <c r="X978">
        <v>17.234087804400001</v>
      </c>
      <c r="Y978">
        <v>15.1506897564</v>
      </c>
      <c r="Z978">
        <v>12.2507753603</v>
      </c>
      <c r="AA978">
        <v>11.052587837700001</v>
      </c>
      <c r="AB978">
        <v>10.022831702</v>
      </c>
    </row>
    <row r="979" spans="1:28" hidden="1" x14ac:dyDescent="0.25">
      <c r="A979" t="s">
        <v>7</v>
      </c>
      <c r="B979" t="s">
        <v>15</v>
      </c>
      <c r="C979">
        <v>110</v>
      </c>
      <c r="D979" t="s">
        <v>4</v>
      </c>
      <c r="E979">
        <v>0.38225969999999998</v>
      </c>
      <c r="F979">
        <v>0.37069125000000003</v>
      </c>
      <c r="G979">
        <v>0.36141839999999997</v>
      </c>
      <c r="H979">
        <v>0.36050219999999999</v>
      </c>
      <c r="I979">
        <v>0.39546674999999998</v>
      </c>
      <c r="J979">
        <v>0.47712719999999997</v>
      </c>
      <c r="K979">
        <v>0.56670810000000005</v>
      </c>
      <c r="L979">
        <v>0.59979959999999999</v>
      </c>
      <c r="M979">
        <v>0.59708879999999998</v>
      </c>
      <c r="N979">
        <v>0.60049635000000001</v>
      </c>
      <c r="O979">
        <v>0.59291640000000001</v>
      </c>
      <c r="P979">
        <v>0.61214895000000003</v>
      </c>
      <c r="Q979">
        <v>0.62242649999999999</v>
      </c>
      <c r="R979">
        <v>0.61890884999999995</v>
      </c>
      <c r="S979">
        <v>0.62677125</v>
      </c>
      <c r="T979">
        <v>0.62979839999999998</v>
      </c>
      <c r="U979">
        <v>0.6577809</v>
      </c>
      <c r="V979">
        <v>0.64609574999999997</v>
      </c>
      <c r="W979">
        <v>0.70256834999999995</v>
      </c>
      <c r="X979">
        <v>0.6944652</v>
      </c>
      <c r="Y979">
        <v>0.66438765</v>
      </c>
      <c r="Z979">
        <v>0.54382770000000002</v>
      </c>
      <c r="AA979">
        <v>0.48424919999999999</v>
      </c>
      <c r="AB979">
        <v>0.424263</v>
      </c>
    </row>
    <row r="980" spans="1:28" hidden="1" x14ac:dyDescent="0.25">
      <c r="A980" t="s">
        <v>7</v>
      </c>
      <c r="B980" t="s">
        <v>16</v>
      </c>
      <c r="C980">
        <v>110</v>
      </c>
      <c r="D980" t="s">
        <v>2</v>
      </c>
      <c r="E980">
        <v>12.509608350000001</v>
      </c>
      <c r="F980">
        <v>11.55011</v>
      </c>
      <c r="G980">
        <v>10.9462262</v>
      </c>
      <c r="H980">
        <v>10.742607</v>
      </c>
      <c r="I980">
        <v>11.389358</v>
      </c>
      <c r="J980">
        <v>12.955192800000001</v>
      </c>
      <c r="K980">
        <v>14.6607597</v>
      </c>
      <c r="L980">
        <v>14.786465400000001</v>
      </c>
      <c r="M980">
        <v>15.809131799999999</v>
      </c>
      <c r="N980">
        <v>17.207989399999999</v>
      </c>
      <c r="O980">
        <v>17.651653100000001</v>
      </c>
      <c r="P980">
        <v>19.136668650000001</v>
      </c>
      <c r="Q980">
        <v>19.949204999999999</v>
      </c>
      <c r="R980">
        <v>19.979759699999999</v>
      </c>
      <c r="S980">
        <v>20.105820000000001</v>
      </c>
      <c r="T980">
        <v>19.5706104</v>
      </c>
      <c r="U980">
        <v>19.378151249999998</v>
      </c>
      <c r="V980">
        <v>18.7943319</v>
      </c>
      <c r="W980">
        <v>21.23584155</v>
      </c>
      <c r="X980">
        <v>22.407174000000001</v>
      </c>
      <c r="Y980">
        <v>23.025507749999999</v>
      </c>
      <c r="Z980">
        <v>19.6948583</v>
      </c>
      <c r="AA980">
        <v>17.460740399999999</v>
      </c>
      <c r="AB980">
        <v>14.72373075</v>
      </c>
    </row>
    <row r="981" spans="1:28" hidden="1" x14ac:dyDescent="0.25">
      <c r="A981" t="s">
        <v>7</v>
      </c>
      <c r="B981" t="s">
        <v>16</v>
      </c>
      <c r="C981">
        <v>110</v>
      </c>
      <c r="D981" t="s">
        <v>3</v>
      </c>
      <c r="E981">
        <v>4.8303903408000002</v>
      </c>
      <c r="F981">
        <v>4.4233260849000002</v>
      </c>
      <c r="G981">
        <v>4.4802609524000001</v>
      </c>
      <c r="H981">
        <v>4.5162052036000002</v>
      </c>
      <c r="I981">
        <v>4.7308497728000001</v>
      </c>
      <c r="J981">
        <v>5.3566744812999998</v>
      </c>
      <c r="K981">
        <v>5.8970685798</v>
      </c>
      <c r="L981">
        <v>5.9333514472999997</v>
      </c>
      <c r="M981">
        <v>6.8272550860000001</v>
      </c>
      <c r="N981">
        <v>7.5171017719000002</v>
      </c>
      <c r="O981">
        <v>7.2893536356000004</v>
      </c>
      <c r="P981">
        <v>8.0031826092999996</v>
      </c>
      <c r="Q981">
        <v>8.0323371166000008</v>
      </c>
      <c r="R981">
        <v>8.2697408379000006</v>
      </c>
      <c r="S981">
        <v>8.4133902993999996</v>
      </c>
      <c r="T981">
        <v>8.6328070854999996</v>
      </c>
      <c r="U981">
        <v>9.1001485601999992</v>
      </c>
      <c r="V981">
        <v>8.7123160458999998</v>
      </c>
      <c r="W981">
        <v>9.5655543170000001</v>
      </c>
      <c r="X981">
        <v>8.4679820458999995</v>
      </c>
      <c r="Y981">
        <v>7.9960425893</v>
      </c>
      <c r="Z981">
        <v>6.7563189081999999</v>
      </c>
      <c r="AA981">
        <v>6.0689386476999996</v>
      </c>
      <c r="AB981">
        <v>5.2969780703999998</v>
      </c>
    </row>
    <row r="982" spans="1:28" hidden="1" x14ac:dyDescent="0.25">
      <c r="A982" t="s">
        <v>7</v>
      </c>
      <c r="B982" t="s">
        <v>16</v>
      </c>
      <c r="C982">
        <v>110</v>
      </c>
      <c r="D982" t="s">
        <v>4</v>
      </c>
      <c r="E982">
        <v>0.19050164999999999</v>
      </c>
      <c r="F982">
        <v>0.17588999999999999</v>
      </c>
      <c r="G982">
        <v>0.1666938</v>
      </c>
      <c r="H982">
        <v>0.16359299999999999</v>
      </c>
      <c r="I982">
        <v>0.17344200000000001</v>
      </c>
      <c r="J982">
        <v>0.1972872</v>
      </c>
      <c r="K982">
        <v>0.22326029999999999</v>
      </c>
      <c r="L982">
        <v>0.2251746</v>
      </c>
      <c r="M982">
        <v>0.2407482</v>
      </c>
      <c r="N982">
        <v>0.26205060000000002</v>
      </c>
      <c r="O982">
        <v>0.26880690000000002</v>
      </c>
      <c r="P982">
        <v>0.29142135000000002</v>
      </c>
      <c r="Q982">
        <v>0.30379499999999998</v>
      </c>
      <c r="R982">
        <v>0.30426029999999998</v>
      </c>
      <c r="S982">
        <v>0.30618000000000001</v>
      </c>
      <c r="T982">
        <v>0.29802960000000001</v>
      </c>
      <c r="U982">
        <v>0.29509875000000002</v>
      </c>
      <c r="V982">
        <v>0.28620810000000002</v>
      </c>
      <c r="W982">
        <v>0.32338844999999999</v>
      </c>
      <c r="X982">
        <v>0.34122599999999997</v>
      </c>
      <c r="Y982">
        <v>0.35064224999999999</v>
      </c>
      <c r="Z982">
        <v>0.29992170000000001</v>
      </c>
      <c r="AA982">
        <v>0.26589960000000001</v>
      </c>
      <c r="AB982">
        <v>0.22421925000000001</v>
      </c>
    </row>
    <row r="983" spans="1:28" hidden="1" x14ac:dyDescent="0.25">
      <c r="A983" t="s">
        <v>7</v>
      </c>
      <c r="B983" t="s">
        <v>17</v>
      </c>
      <c r="C983">
        <v>110</v>
      </c>
      <c r="D983" t="s">
        <v>2</v>
      </c>
      <c r="E983">
        <v>8.3638024499999997</v>
      </c>
      <c r="F983">
        <v>8.1476737499999992</v>
      </c>
      <c r="G983">
        <v>8.1851924</v>
      </c>
      <c r="H983">
        <v>8.2703357999999998</v>
      </c>
      <c r="I983">
        <v>9.0823894999999997</v>
      </c>
      <c r="J983">
        <v>10.910845</v>
      </c>
      <c r="K983">
        <v>12.842370900000001</v>
      </c>
      <c r="L983">
        <v>13.2776424</v>
      </c>
      <c r="M983">
        <v>12.2186295</v>
      </c>
      <c r="N983">
        <v>11.93411225</v>
      </c>
      <c r="O983">
        <v>12.39783055</v>
      </c>
      <c r="P983">
        <v>12.778306499999999</v>
      </c>
      <c r="Q983">
        <v>13.005644500000001</v>
      </c>
      <c r="R983">
        <v>12.309229800000001</v>
      </c>
      <c r="S983">
        <v>12.271376249999999</v>
      </c>
      <c r="T983">
        <v>11.954688900000001</v>
      </c>
      <c r="U983">
        <v>12.02205305</v>
      </c>
      <c r="V983">
        <v>12.529554600000001</v>
      </c>
      <c r="W983">
        <v>15.301078649999999</v>
      </c>
      <c r="X983">
        <v>16.935459600000002</v>
      </c>
      <c r="Y983">
        <v>16.462836899999999</v>
      </c>
      <c r="Z983">
        <v>12.867488399999999</v>
      </c>
      <c r="AA983">
        <v>10.7662076</v>
      </c>
      <c r="AB983">
        <v>8.9996987500000003</v>
      </c>
    </row>
    <row r="984" spans="1:28" hidden="1" x14ac:dyDescent="0.25">
      <c r="A984" t="s">
        <v>7</v>
      </c>
      <c r="B984" t="s">
        <v>17</v>
      </c>
      <c r="C984">
        <v>110</v>
      </c>
      <c r="D984" t="s">
        <v>3</v>
      </c>
      <c r="E984">
        <v>3.6878778195000002</v>
      </c>
      <c r="F984">
        <v>3.4708944827999999</v>
      </c>
      <c r="G984">
        <v>3.4124177787000001</v>
      </c>
      <c r="H984">
        <v>3.3972492334000002</v>
      </c>
      <c r="I984">
        <v>4.0315692060000003</v>
      </c>
      <c r="J984">
        <v>4.7135371304999998</v>
      </c>
      <c r="K984">
        <v>5.3930976075999997</v>
      </c>
      <c r="L984">
        <v>6.1300405092999997</v>
      </c>
      <c r="M984">
        <v>6.5310356153000004</v>
      </c>
      <c r="N984">
        <v>4.8285048456000004</v>
      </c>
      <c r="O984">
        <v>5.2064148277999998</v>
      </c>
      <c r="P984">
        <v>5.5584546632</v>
      </c>
      <c r="Q984">
        <v>6.8093202210000001</v>
      </c>
      <c r="R984">
        <v>5.3910430664</v>
      </c>
      <c r="S984">
        <v>5.2645076066999996</v>
      </c>
      <c r="T984">
        <v>4.9106902891999997</v>
      </c>
      <c r="U984">
        <v>5.3718635636999998</v>
      </c>
      <c r="V984">
        <v>5.0694189756999997</v>
      </c>
      <c r="W984">
        <v>6.8370441007</v>
      </c>
      <c r="X984">
        <v>8.7516658626999995</v>
      </c>
      <c r="Y984">
        <v>7.9013686574999999</v>
      </c>
      <c r="Z984">
        <v>6.7585350995000004</v>
      </c>
      <c r="AA984">
        <v>4.7471779070000002</v>
      </c>
      <c r="AB984">
        <v>4.0477941097999999</v>
      </c>
    </row>
    <row r="985" spans="1:28" hidden="1" x14ac:dyDescent="0.25">
      <c r="A985" t="s">
        <v>7</v>
      </c>
      <c r="B985" t="s">
        <v>17</v>
      </c>
      <c r="C985">
        <v>110</v>
      </c>
      <c r="D985" t="s">
        <v>4</v>
      </c>
      <c r="E985">
        <v>0.12736755</v>
      </c>
      <c r="F985">
        <v>0.12407625</v>
      </c>
      <c r="G985">
        <v>0.1246476</v>
      </c>
      <c r="H985">
        <v>0.12594420000000001</v>
      </c>
      <c r="I985">
        <v>0.1383105</v>
      </c>
      <c r="J985">
        <v>0.166155</v>
      </c>
      <c r="K985">
        <v>0.1955691</v>
      </c>
      <c r="L985">
        <v>0.20219760000000001</v>
      </c>
      <c r="M985">
        <v>0.1860705</v>
      </c>
      <c r="N985">
        <v>0.18173775</v>
      </c>
      <c r="O985">
        <v>0.18879945000000001</v>
      </c>
      <c r="P985">
        <v>0.1945935</v>
      </c>
      <c r="Q985">
        <v>0.1980555</v>
      </c>
      <c r="R985">
        <v>0.18745020000000001</v>
      </c>
      <c r="S985">
        <v>0.18687375000000001</v>
      </c>
      <c r="T985">
        <v>0.18205109999999999</v>
      </c>
      <c r="U985">
        <v>0.18307694999999999</v>
      </c>
      <c r="V985">
        <v>0.19080540000000001</v>
      </c>
      <c r="W985">
        <v>0.23301135000000001</v>
      </c>
      <c r="X985">
        <v>0.25790039999999997</v>
      </c>
      <c r="Y985">
        <v>0.25070310000000001</v>
      </c>
      <c r="Z985">
        <v>0.1959516</v>
      </c>
      <c r="AA985">
        <v>0.1639524</v>
      </c>
      <c r="AB985">
        <v>0.13705125000000001</v>
      </c>
    </row>
    <row r="986" spans="1:28" hidden="1" x14ac:dyDescent="0.25">
      <c r="A986" t="s">
        <v>7</v>
      </c>
      <c r="B986" t="s">
        <v>18</v>
      </c>
      <c r="C986">
        <v>115</v>
      </c>
      <c r="D986" t="s">
        <v>2</v>
      </c>
      <c r="E986">
        <v>2.7741835500000001</v>
      </c>
      <c r="F986">
        <v>2.6250249999999999</v>
      </c>
      <c r="G986">
        <v>2.5162613</v>
      </c>
      <c r="H986">
        <v>2.4722711999999998</v>
      </c>
      <c r="I986">
        <v>2.50441175</v>
      </c>
      <c r="J986">
        <v>3.0320664000000002</v>
      </c>
      <c r="K986">
        <v>3.4473620999999999</v>
      </c>
      <c r="L986">
        <v>3.2013288000000002</v>
      </c>
      <c r="M986">
        <v>3.1945914000000002</v>
      </c>
      <c r="N986">
        <v>3.3301175500000002</v>
      </c>
      <c r="O986">
        <v>3.5422373</v>
      </c>
      <c r="P986">
        <v>3.7719097499999998</v>
      </c>
      <c r="Q986">
        <v>3.8197315000000001</v>
      </c>
      <c r="R986">
        <v>3.7291509</v>
      </c>
      <c r="S986">
        <v>3.8939512500000002</v>
      </c>
      <c r="T986">
        <v>3.7233394</v>
      </c>
      <c r="U986">
        <v>3.6172548999999998</v>
      </c>
      <c r="V986">
        <v>3.6765124999999999</v>
      </c>
      <c r="W986">
        <v>4.4262058499999997</v>
      </c>
      <c r="X986">
        <v>4.9178291999999999</v>
      </c>
      <c r="Y986">
        <v>5.1025166999999998</v>
      </c>
      <c r="Z986">
        <v>4.4113224999999998</v>
      </c>
      <c r="AA986">
        <v>4.0217156000000003</v>
      </c>
      <c r="AB986">
        <v>3.3762845000000001</v>
      </c>
    </row>
    <row r="987" spans="1:28" hidden="1" x14ac:dyDescent="0.25">
      <c r="A987" t="s">
        <v>7</v>
      </c>
      <c r="B987" t="s">
        <v>18</v>
      </c>
      <c r="C987">
        <v>115</v>
      </c>
      <c r="D987" t="s">
        <v>3</v>
      </c>
      <c r="E987">
        <v>1.4277797954</v>
      </c>
      <c r="F987">
        <v>1.1103273602999999</v>
      </c>
      <c r="G987">
        <v>1.0413413093999999</v>
      </c>
      <c r="H987">
        <v>1.0306932059</v>
      </c>
      <c r="I987">
        <v>1.0364374363</v>
      </c>
      <c r="J987">
        <v>1.3548307388</v>
      </c>
      <c r="K987">
        <v>1.7111091518999999</v>
      </c>
      <c r="L987">
        <v>1.5949084187</v>
      </c>
      <c r="M987">
        <v>1.6085947537</v>
      </c>
      <c r="N987">
        <v>1.6974866547</v>
      </c>
      <c r="O987">
        <v>1.8176834336000001</v>
      </c>
      <c r="P987">
        <v>1.8587506250000001</v>
      </c>
      <c r="Q987">
        <v>1.8469501155000001</v>
      </c>
      <c r="R987">
        <v>1.8092776347999999</v>
      </c>
      <c r="S987">
        <v>1.9416089443</v>
      </c>
      <c r="T987">
        <v>1.9187480364</v>
      </c>
      <c r="U987">
        <v>1.9065770740000001</v>
      </c>
      <c r="V987">
        <v>1.8809876969999999</v>
      </c>
      <c r="W987">
        <v>2.2254261737999999</v>
      </c>
      <c r="X987">
        <v>2.1531190067999999</v>
      </c>
      <c r="Y987">
        <v>2.0409539443</v>
      </c>
      <c r="Z987">
        <v>1.7727392484</v>
      </c>
      <c r="AA987">
        <v>1.6943954422</v>
      </c>
      <c r="AB987">
        <v>1.6059286536999999</v>
      </c>
    </row>
    <row r="988" spans="1:28" hidden="1" x14ac:dyDescent="0.25">
      <c r="A988" t="s">
        <v>7</v>
      </c>
      <c r="B988" t="s">
        <v>18</v>
      </c>
      <c r="C988">
        <v>115</v>
      </c>
      <c r="D988" t="s">
        <v>4</v>
      </c>
      <c r="E988">
        <v>4.2246449999999998E-2</v>
      </c>
      <c r="F988">
        <v>3.9974999999999997E-2</v>
      </c>
      <c r="G988">
        <v>3.8318699999999997E-2</v>
      </c>
      <c r="H988">
        <v>3.7648800000000003E-2</v>
      </c>
      <c r="I988">
        <v>3.8138249999999999E-2</v>
      </c>
      <c r="J988">
        <v>4.6173600000000002E-2</v>
      </c>
      <c r="K988">
        <v>5.24979E-2</v>
      </c>
      <c r="L988">
        <v>4.8751200000000001E-2</v>
      </c>
      <c r="M988">
        <v>4.86486E-2</v>
      </c>
      <c r="N988">
        <v>5.0712449999999999E-2</v>
      </c>
      <c r="O988">
        <v>5.3942700000000003E-2</v>
      </c>
      <c r="P988">
        <v>5.7440249999999998E-2</v>
      </c>
      <c r="Q988">
        <v>5.8168499999999998E-2</v>
      </c>
      <c r="R988">
        <v>5.6789100000000002E-2</v>
      </c>
      <c r="S988">
        <v>5.9298749999999997E-2</v>
      </c>
      <c r="T988">
        <v>5.6700599999999997E-2</v>
      </c>
      <c r="U988">
        <v>5.5085099999999998E-2</v>
      </c>
      <c r="V988">
        <v>5.5987500000000003E-2</v>
      </c>
      <c r="W988">
        <v>6.7404149999999996E-2</v>
      </c>
      <c r="X988">
        <v>7.4890799999999993E-2</v>
      </c>
      <c r="Y988">
        <v>7.7703300000000003E-2</v>
      </c>
      <c r="Z988">
        <v>6.7177500000000001E-2</v>
      </c>
      <c r="AA988">
        <v>6.1244399999999997E-2</v>
      </c>
      <c r="AB988">
        <v>5.1415500000000003E-2</v>
      </c>
    </row>
    <row r="989" spans="1:28" hidden="1" x14ac:dyDescent="0.25">
      <c r="A989" t="s">
        <v>7</v>
      </c>
      <c r="B989" t="s">
        <v>19</v>
      </c>
      <c r="C989">
        <v>110</v>
      </c>
      <c r="D989" t="s">
        <v>2</v>
      </c>
      <c r="E989">
        <v>13.3243314</v>
      </c>
      <c r="F989">
        <v>12.862622500000001</v>
      </c>
      <c r="G989">
        <v>12.248415899999999</v>
      </c>
      <c r="H989">
        <v>12.194575800000001</v>
      </c>
      <c r="I989">
        <v>13.291048249999999</v>
      </c>
      <c r="J989">
        <v>15.217757499999999</v>
      </c>
      <c r="K989">
        <v>16.883234900000001</v>
      </c>
      <c r="L989">
        <v>17.672909400000002</v>
      </c>
      <c r="M989">
        <v>17.556600599999999</v>
      </c>
      <c r="N989">
        <v>18.4085468</v>
      </c>
      <c r="O989">
        <v>18.61907085</v>
      </c>
      <c r="P989">
        <v>19.521557399999999</v>
      </c>
      <c r="Q989">
        <v>19.129586499999998</v>
      </c>
      <c r="R989">
        <v>19.055051550000002</v>
      </c>
      <c r="S989">
        <v>18.849206250000002</v>
      </c>
      <c r="T989">
        <v>18.724396899999999</v>
      </c>
      <c r="U989">
        <v>18.770209250000001</v>
      </c>
      <c r="V989">
        <v>18.309032250000001</v>
      </c>
      <c r="W989">
        <v>19.279690649999999</v>
      </c>
      <c r="X989">
        <v>20.644812000000002</v>
      </c>
      <c r="Y989">
        <v>20.089153799999998</v>
      </c>
      <c r="Z989">
        <v>18.391821499999999</v>
      </c>
      <c r="AA989">
        <v>16.998617800000002</v>
      </c>
      <c r="AB989">
        <v>14.846708</v>
      </c>
    </row>
    <row r="990" spans="1:28" hidden="1" x14ac:dyDescent="0.25">
      <c r="A990" t="s">
        <v>7</v>
      </c>
      <c r="B990" t="s">
        <v>19</v>
      </c>
      <c r="C990">
        <v>110</v>
      </c>
      <c r="D990" t="s">
        <v>3</v>
      </c>
      <c r="E990">
        <v>4.9187247798999998</v>
      </c>
      <c r="F990">
        <v>4.9309240381999997</v>
      </c>
      <c r="G990">
        <v>4.7665662003999998</v>
      </c>
      <c r="H990">
        <v>4.7614720543000004</v>
      </c>
      <c r="I990">
        <v>5.1202511179999997</v>
      </c>
      <c r="J990">
        <v>5.4503016584999999</v>
      </c>
      <c r="K990">
        <v>5.6101247999000003</v>
      </c>
      <c r="L990">
        <v>6.1396663841999999</v>
      </c>
      <c r="M990">
        <v>6.3727774912999999</v>
      </c>
      <c r="N990">
        <v>6.8881954259000002</v>
      </c>
      <c r="O990">
        <v>6.9675761875999997</v>
      </c>
      <c r="P990">
        <v>7.4152719960000004</v>
      </c>
      <c r="Q990">
        <v>7.2478735722999996</v>
      </c>
      <c r="R990">
        <v>7.2196335529000004</v>
      </c>
      <c r="S990">
        <v>7.1799063203999998</v>
      </c>
      <c r="T990">
        <v>7.2229641963000004</v>
      </c>
      <c r="U990">
        <v>7.2352427594000002</v>
      </c>
      <c r="V990">
        <v>6.9753249727000002</v>
      </c>
      <c r="W990">
        <v>7.0492721445999997</v>
      </c>
      <c r="X990">
        <v>6.7914803689000003</v>
      </c>
      <c r="Y990">
        <v>6.2600976320999999</v>
      </c>
      <c r="Z990">
        <v>5.7778409061999998</v>
      </c>
      <c r="AA990">
        <v>5.4545543695000003</v>
      </c>
      <c r="AB990">
        <v>5.1390455051000004</v>
      </c>
    </row>
    <row r="991" spans="1:28" hidden="1" x14ac:dyDescent="0.25">
      <c r="A991" t="s">
        <v>7</v>
      </c>
      <c r="B991" t="s">
        <v>19</v>
      </c>
      <c r="C991">
        <v>110</v>
      </c>
      <c r="D991" t="s">
        <v>4</v>
      </c>
      <c r="E991">
        <v>0.20290859999999999</v>
      </c>
      <c r="F991">
        <v>0.19587750000000001</v>
      </c>
      <c r="G991">
        <v>0.1865241</v>
      </c>
      <c r="H991">
        <v>0.18570420000000001</v>
      </c>
      <c r="I991">
        <v>0.20240174999999999</v>
      </c>
      <c r="J991">
        <v>0.23174249999999999</v>
      </c>
      <c r="K991">
        <v>0.25710509999999998</v>
      </c>
      <c r="L991">
        <v>0.2691306</v>
      </c>
      <c r="M991">
        <v>0.26735940000000002</v>
      </c>
      <c r="N991">
        <v>0.2803332</v>
      </c>
      <c r="O991">
        <v>0.28353915000000002</v>
      </c>
      <c r="P991">
        <v>0.29728260000000001</v>
      </c>
      <c r="Q991">
        <v>0.2913135</v>
      </c>
      <c r="R991">
        <v>0.29017844999999998</v>
      </c>
      <c r="S991">
        <v>0.28704374999999999</v>
      </c>
      <c r="T991">
        <v>0.28514309999999998</v>
      </c>
      <c r="U991">
        <v>0.28584074999999998</v>
      </c>
      <c r="V991">
        <v>0.27881774999999998</v>
      </c>
      <c r="W991">
        <v>0.29359934999999998</v>
      </c>
      <c r="X991">
        <v>0.314388</v>
      </c>
      <c r="Y991">
        <v>0.30592619999999998</v>
      </c>
      <c r="Z991">
        <v>0.28007850000000001</v>
      </c>
      <c r="AA991">
        <v>0.25886219999999999</v>
      </c>
      <c r="AB991">
        <v>0.22609199999999999</v>
      </c>
    </row>
    <row r="992" spans="1:28" hidden="1" x14ac:dyDescent="0.25">
      <c r="A992" t="s">
        <v>7</v>
      </c>
      <c r="B992" t="s">
        <v>20</v>
      </c>
      <c r="C992">
        <v>110</v>
      </c>
      <c r="D992" t="s">
        <v>2</v>
      </c>
      <c r="E992">
        <v>19.140835200000001</v>
      </c>
      <c r="F992">
        <v>20.990103749999999</v>
      </c>
      <c r="G992">
        <v>21.4029074</v>
      </c>
      <c r="H992">
        <v>21.0633582</v>
      </c>
      <c r="I992">
        <v>21.926592500000002</v>
      </c>
      <c r="J992">
        <v>23.0046553</v>
      </c>
      <c r="K992">
        <v>22.414167500000001</v>
      </c>
      <c r="L992">
        <v>20.729915999999999</v>
      </c>
      <c r="M992">
        <v>18.607812299999999</v>
      </c>
      <c r="N992">
        <v>19.437595999999999</v>
      </c>
      <c r="O992">
        <v>22.012474650000001</v>
      </c>
      <c r="P992">
        <v>22.3851297</v>
      </c>
      <c r="Q992">
        <v>22.207021999999998</v>
      </c>
      <c r="R992">
        <v>21.556311300000001</v>
      </c>
      <c r="S992">
        <v>22.200176249999998</v>
      </c>
      <c r="T992">
        <v>22.032322400000002</v>
      </c>
      <c r="U992">
        <v>21.916309099999999</v>
      </c>
      <c r="V992">
        <v>20.617882099999999</v>
      </c>
      <c r="W992">
        <v>25.380229050000001</v>
      </c>
      <c r="X992">
        <v>24.270242400000001</v>
      </c>
      <c r="Y992">
        <v>20.057062500000001</v>
      </c>
      <c r="Z992">
        <v>19.871311200000001</v>
      </c>
      <c r="AA992">
        <v>20.2459658</v>
      </c>
      <c r="AB992">
        <v>18.513666000000001</v>
      </c>
    </row>
    <row r="993" spans="1:28" hidden="1" x14ac:dyDescent="0.25">
      <c r="A993" t="s">
        <v>7</v>
      </c>
      <c r="B993" t="s">
        <v>20</v>
      </c>
      <c r="C993">
        <v>110</v>
      </c>
      <c r="D993" t="s">
        <v>3</v>
      </c>
      <c r="E993">
        <v>6.9731961306999999</v>
      </c>
      <c r="F993">
        <v>7.5716461514000004</v>
      </c>
      <c r="G993">
        <v>7.7404970400000002</v>
      </c>
      <c r="H993">
        <v>7.6253979753000003</v>
      </c>
      <c r="I993">
        <v>7.8699615479</v>
      </c>
      <c r="J993">
        <v>8.2883802374000002</v>
      </c>
      <c r="K993">
        <v>8.0097111971999997</v>
      </c>
      <c r="L993">
        <v>7.3876789871000001</v>
      </c>
      <c r="M993">
        <v>6.5441931709999999</v>
      </c>
      <c r="N993">
        <v>7.0613511556999997</v>
      </c>
      <c r="O993">
        <v>8.3543528518999999</v>
      </c>
      <c r="P993">
        <v>8.6458111174999992</v>
      </c>
      <c r="Q993">
        <v>8.6617634161999995</v>
      </c>
      <c r="R993">
        <v>8.3236337201000001</v>
      </c>
      <c r="S993">
        <v>8.5871163834999997</v>
      </c>
      <c r="T993">
        <v>8.5228921563999993</v>
      </c>
      <c r="U993">
        <v>8.5045268389000004</v>
      </c>
      <c r="V993">
        <v>7.9283461494000003</v>
      </c>
      <c r="W993">
        <v>9.6537713780000001</v>
      </c>
      <c r="X993">
        <v>9.0973335672999998</v>
      </c>
      <c r="Y993">
        <v>7.4677967480999996</v>
      </c>
      <c r="Z993">
        <v>7.4361860400999999</v>
      </c>
      <c r="AA993">
        <v>7.5368091180999999</v>
      </c>
      <c r="AB993">
        <v>6.7508368386999997</v>
      </c>
    </row>
    <row r="994" spans="1:28" hidden="1" x14ac:dyDescent="0.25">
      <c r="A994" t="s">
        <v>7</v>
      </c>
      <c r="B994" t="s">
        <v>20</v>
      </c>
      <c r="C994">
        <v>110</v>
      </c>
      <c r="D994" t="s">
        <v>4</v>
      </c>
      <c r="E994">
        <v>0.29148479999999999</v>
      </c>
      <c r="F994">
        <v>0.31964625000000002</v>
      </c>
      <c r="G994">
        <v>0.32593260000000002</v>
      </c>
      <c r="H994">
        <v>0.32076179999999999</v>
      </c>
      <c r="I994">
        <v>0.33390750000000002</v>
      </c>
      <c r="J994">
        <v>0.35032469999999999</v>
      </c>
      <c r="K994">
        <v>0.34133249999999998</v>
      </c>
      <c r="L994">
        <v>0.31568400000000002</v>
      </c>
      <c r="M994">
        <v>0.2833677</v>
      </c>
      <c r="N994">
        <v>0.29600399999999999</v>
      </c>
      <c r="O994">
        <v>0.33521535000000002</v>
      </c>
      <c r="P994">
        <v>0.34089029999999998</v>
      </c>
      <c r="Q994">
        <v>0.33817799999999998</v>
      </c>
      <c r="R994">
        <v>0.32826870000000002</v>
      </c>
      <c r="S994">
        <v>0.33807375000000001</v>
      </c>
      <c r="T994">
        <v>0.33551760000000003</v>
      </c>
      <c r="U994">
        <v>0.33375090000000002</v>
      </c>
      <c r="V994">
        <v>0.31397789999999998</v>
      </c>
      <c r="W994">
        <v>0.38650095000000001</v>
      </c>
      <c r="X994">
        <v>0.36959760000000003</v>
      </c>
      <c r="Y994">
        <v>0.30543749999999997</v>
      </c>
      <c r="Z994">
        <v>0.30260880000000001</v>
      </c>
      <c r="AA994">
        <v>0.30831419999999998</v>
      </c>
      <c r="AB994">
        <v>0.28193400000000002</v>
      </c>
    </row>
    <row r="995" spans="1:28" hidden="1" x14ac:dyDescent="0.25">
      <c r="A995" t="s">
        <v>7</v>
      </c>
      <c r="B995" t="s">
        <v>21</v>
      </c>
      <c r="C995">
        <v>110</v>
      </c>
      <c r="D995" t="s">
        <v>2</v>
      </c>
      <c r="E995">
        <v>31.42355865</v>
      </c>
      <c r="F995">
        <v>28.653157499999999</v>
      </c>
      <c r="G995">
        <v>26.9543477</v>
      </c>
      <c r="H995">
        <v>26.194302</v>
      </c>
      <c r="I995">
        <v>27.745972500000001</v>
      </c>
      <c r="J995">
        <v>30.297693800000001</v>
      </c>
      <c r="K995">
        <v>34.511504100000003</v>
      </c>
      <c r="L995">
        <v>33.561471599999997</v>
      </c>
      <c r="M995">
        <v>33.229211399999997</v>
      </c>
      <c r="N995">
        <v>34.930503399999999</v>
      </c>
      <c r="O995">
        <v>37.580458749999998</v>
      </c>
      <c r="P995">
        <v>39.42800355</v>
      </c>
      <c r="Q995">
        <v>40.841744499999997</v>
      </c>
      <c r="R995">
        <v>40.459771349999997</v>
      </c>
      <c r="S995">
        <v>42.259455000000003</v>
      </c>
      <c r="T995">
        <v>40.679790799999999</v>
      </c>
      <c r="U995">
        <v>40.139370550000002</v>
      </c>
      <c r="V995">
        <v>39.721041049999997</v>
      </c>
      <c r="W995">
        <v>47.312327699999997</v>
      </c>
      <c r="X995">
        <v>50.621750400000003</v>
      </c>
      <c r="Y995">
        <v>51.362125650000003</v>
      </c>
      <c r="Z995">
        <v>44.194664799999998</v>
      </c>
      <c r="AA995">
        <v>40.854135800000002</v>
      </c>
      <c r="AB995">
        <v>35.65222275</v>
      </c>
    </row>
    <row r="996" spans="1:28" hidden="1" x14ac:dyDescent="0.25">
      <c r="A996" t="s">
        <v>7</v>
      </c>
      <c r="B996" t="s">
        <v>21</v>
      </c>
      <c r="C996">
        <v>110</v>
      </c>
      <c r="D996" t="s">
        <v>3</v>
      </c>
      <c r="E996">
        <v>15.605110631600001</v>
      </c>
      <c r="F996">
        <v>12.7188101143</v>
      </c>
      <c r="G996">
        <v>11.237304001</v>
      </c>
      <c r="H996">
        <v>11.079608840100001</v>
      </c>
      <c r="I996">
        <v>11.482522635900001</v>
      </c>
      <c r="J996">
        <v>15.9792237592</v>
      </c>
      <c r="K996">
        <v>16.558952385600001</v>
      </c>
      <c r="L996">
        <v>15.8040976375</v>
      </c>
      <c r="M996">
        <v>16.2504876275</v>
      </c>
      <c r="N996">
        <v>17.907032373900002</v>
      </c>
      <c r="O996">
        <v>19.023602283799999</v>
      </c>
      <c r="P996">
        <v>18.738155793099999</v>
      </c>
      <c r="Q996">
        <v>19.413535086</v>
      </c>
      <c r="R996">
        <v>19.3588769341</v>
      </c>
      <c r="S996">
        <v>20.531777806200001</v>
      </c>
      <c r="T996">
        <v>20.498515439599998</v>
      </c>
      <c r="U996">
        <v>20.384780433500001</v>
      </c>
      <c r="V996">
        <v>20.183365222199999</v>
      </c>
      <c r="W996">
        <v>23.845918849</v>
      </c>
      <c r="X996">
        <v>23.338877764599999</v>
      </c>
      <c r="Y996">
        <v>21.777852488899999</v>
      </c>
      <c r="Z996">
        <v>18.8095241103</v>
      </c>
      <c r="AA996">
        <v>17.893998935300001</v>
      </c>
      <c r="AB996">
        <v>16.847884988299999</v>
      </c>
    </row>
    <row r="997" spans="1:28" hidden="1" x14ac:dyDescent="0.25">
      <c r="A997" t="s">
        <v>7</v>
      </c>
      <c r="B997" t="s">
        <v>21</v>
      </c>
      <c r="C997">
        <v>110</v>
      </c>
      <c r="D997" t="s">
        <v>4</v>
      </c>
      <c r="E997">
        <v>0.47853135000000002</v>
      </c>
      <c r="F997">
        <v>0.43634250000000002</v>
      </c>
      <c r="G997">
        <v>0.41047230000000001</v>
      </c>
      <c r="H997">
        <v>0.39889799999999997</v>
      </c>
      <c r="I997">
        <v>0.4225275</v>
      </c>
      <c r="J997">
        <v>0.46138620000000002</v>
      </c>
      <c r="K997">
        <v>0.52555589999999996</v>
      </c>
      <c r="L997">
        <v>0.5110884</v>
      </c>
      <c r="M997">
        <v>0.50602860000000005</v>
      </c>
      <c r="N997">
        <v>0.53193659999999998</v>
      </c>
      <c r="O997">
        <v>0.57229125000000003</v>
      </c>
      <c r="P997">
        <v>0.60042644999999994</v>
      </c>
      <c r="Q997">
        <v>0.62195549999999999</v>
      </c>
      <c r="R997">
        <v>0.61613865000000001</v>
      </c>
      <c r="S997">
        <v>0.64354500000000003</v>
      </c>
      <c r="T997">
        <v>0.61948919999999996</v>
      </c>
      <c r="U997">
        <v>0.61125945000000004</v>
      </c>
      <c r="V997">
        <v>0.60488894999999998</v>
      </c>
      <c r="W997">
        <v>0.72049229999999997</v>
      </c>
      <c r="X997">
        <v>0.77088959999999995</v>
      </c>
      <c r="Y997">
        <v>0.78216434999999995</v>
      </c>
      <c r="Z997">
        <v>0.67301520000000004</v>
      </c>
      <c r="AA997">
        <v>0.62214420000000004</v>
      </c>
      <c r="AB997">
        <v>0.54292724999999997</v>
      </c>
    </row>
    <row r="998" spans="1:28" hidden="1" x14ac:dyDescent="0.25">
      <c r="A998" t="s">
        <v>7</v>
      </c>
      <c r="B998" t="s">
        <v>22</v>
      </c>
      <c r="C998">
        <v>44</v>
      </c>
      <c r="D998" t="s">
        <v>2</v>
      </c>
      <c r="E998">
        <v>19.133715599999999</v>
      </c>
      <c r="F998">
        <v>19.3779325</v>
      </c>
      <c r="G998">
        <v>17.094911400000001</v>
      </c>
      <c r="H998">
        <v>17.052018</v>
      </c>
      <c r="I998">
        <v>18.737538499999999</v>
      </c>
      <c r="J998">
        <v>19.9285724</v>
      </c>
      <c r="K998">
        <v>18.926678800000001</v>
      </c>
      <c r="L998">
        <v>17.1970524</v>
      </c>
      <c r="M998">
        <v>17.006913000000001</v>
      </c>
      <c r="N998">
        <v>17.734121999999999</v>
      </c>
      <c r="O998">
        <v>18.3795018</v>
      </c>
      <c r="P998">
        <v>18.754280699999999</v>
      </c>
      <c r="Q998">
        <v>18.503235</v>
      </c>
      <c r="R998">
        <v>17.570609099999999</v>
      </c>
      <c r="S998">
        <v>18.82188</v>
      </c>
      <c r="T998">
        <v>18.802887399999999</v>
      </c>
      <c r="U998">
        <v>18.589138200000001</v>
      </c>
      <c r="V998">
        <v>18.001250299999999</v>
      </c>
      <c r="W998">
        <v>22.153160700000001</v>
      </c>
      <c r="X998">
        <v>22.413052799999999</v>
      </c>
      <c r="Y998">
        <v>21.110536799999998</v>
      </c>
      <c r="Z998">
        <v>18.165209399999998</v>
      </c>
      <c r="AA998">
        <v>17.551529200000001</v>
      </c>
      <c r="AB998">
        <v>17.615200000000002</v>
      </c>
    </row>
    <row r="999" spans="1:28" hidden="1" x14ac:dyDescent="0.25">
      <c r="A999" t="s">
        <v>7</v>
      </c>
      <c r="B999" t="s">
        <v>22</v>
      </c>
      <c r="C999">
        <v>44</v>
      </c>
      <c r="D999" t="s">
        <v>3</v>
      </c>
      <c r="E999">
        <v>7.0632798169999997</v>
      </c>
      <c r="F999">
        <v>7.4285872244000002</v>
      </c>
      <c r="G999">
        <v>6.6526175746999998</v>
      </c>
      <c r="H999">
        <v>6.6581001675999998</v>
      </c>
      <c r="I999">
        <v>7.2184601732000004</v>
      </c>
      <c r="J999">
        <v>7.1374991488999999</v>
      </c>
      <c r="K999">
        <v>6.2891401288999997</v>
      </c>
      <c r="L999">
        <v>5.9743510328999996</v>
      </c>
      <c r="M999">
        <v>6.1732492999000002</v>
      </c>
      <c r="N999">
        <v>6.6358360259999998</v>
      </c>
      <c r="O999">
        <v>6.8779253333000003</v>
      </c>
      <c r="P999">
        <v>7.1238216106000003</v>
      </c>
      <c r="Q999">
        <v>7.0105596875999998</v>
      </c>
      <c r="R999">
        <v>6.6572036642999999</v>
      </c>
      <c r="S999">
        <v>7.1694973985999999</v>
      </c>
      <c r="T999">
        <v>7.2532420244000004</v>
      </c>
      <c r="U999">
        <v>7.1654463608999999</v>
      </c>
      <c r="V999">
        <v>6.8580670481999997</v>
      </c>
      <c r="W999">
        <v>8.0999047897000001</v>
      </c>
      <c r="X999">
        <v>7.3731748247000004</v>
      </c>
      <c r="Y999">
        <v>6.5783767077000004</v>
      </c>
      <c r="Z999">
        <v>5.7066500966999998</v>
      </c>
      <c r="AA999">
        <v>5.631973812</v>
      </c>
      <c r="AB999">
        <v>6.0973324445000001</v>
      </c>
    </row>
    <row r="1000" spans="1:28" hidden="1" x14ac:dyDescent="0.25">
      <c r="A1000" t="s">
        <v>7</v>
      </c>
      <c r="B1000" t="s">
        <v>22</v>
      </c>
      <c r="C1000">
        <v>44</v>
      </c>
      <c r="D1000" t="s">
        <v>4</v>
      </c>
      <c r="E1000">
        <v>0.59176439999999997</v>
      </c>
      <c r="F1000">
        <v>0.59931749999999995</v>
      </c>
      <c r="G1000">
        <v>0.52870859999999997</v>
      </c>
      <c r="H1000">
        <v>0.52738200000000002</v>
      </c>
      <c r="I1000">
        <v>0.57951149999999996</v>
      </c>
      <c r="J1000">
        <v>0.6163476</v>
      </c>
      <c r="K1000">
        <v>0.58536120000000003</v>
      </c>
      <c r="L1000">
        <v>0.5318676</v>
      </c>
      <c r="M1000">
        <v>0.52598699999999998</v>
      </c>
      <c r="N1000">
        <v>0.54847800000000002</v>
      </c>
      <c r="O1000">
        <v>0.5684382</v>
      </c>
      <c r="P1000">
        <v>0.58002929999999997</v>
      </c>
      <c r="Q1000">
        <v>0.57226500000000002</v>
      </c>
      <c r="R1000">
        <v>0.54342089999999998</v>
      </c>
      <c r="S1000">
        <v>0.58211999999999997</v>
      </c>
      <c r="T1000">
        <v>0.58153259999999996</v>
      </c>
      <c r="U1000">
        <v>0.57492180000000004</v>
      </c>
      <c r="V1000">
        <v>0.55673969999999995</v>
      </c>
      <c r="W1000">
        <v>0.68514929999999996</v>
      </c>
      <c r="X1000">
        <v>0.6931872</v>
      </c>
      <c r="Y1000">
        <v>0.65290320000000002</v>
      </c>
      <c r="Z1000">
        <v>0.56181060000000005</v>
      </c>
      <c r="AA1000">
        <v>0.54283079999999995</v>
      </c>
      <c r="AB1000">
        <v>0.54479999999999995</v>
      </c>
    </row>
    <row r="1001" spans="1:28" hidden="1" x14ac:dyDescent="0.25">
      <c r="A1001" t="s">
        <v>7</v>
      </c>
      <c r="B1001" t="s">
        <v>23</v>
      </c>
      <c r="C1001">
        <v>44</v>
      </c>
      <c r="D1001" t="s">
        <v>2</v>
      </c>
      <c r="E1001">
        <v>9.2824925999999994</v>
      </c>
      <c r="F1001">
        <v>8.9880200000000006</v>
      </c>
      <c r="G1001">
        <v>8.5040676000000008</v>
      </c>
      <c r="H1001">
        <v>8.1926976000000007</v>
      </c>
      <c r="I1001">
        <v>7.9309624999999997</v>
      </c>
      <c r="J1001">
        <v>7.6570054000000001</v>
      </c>
      <c r="K1001">
        <v>7.4363691999999997</v>
      </c>
      <c r="L1001">
        <v>6.7444487999999998</v>
      </c>
      <c r="M1001">
        <v>6.9640956000000003</v>
      </c>
      <c r="N1001">
        <v>7.2906946000000001</v>
      </c>
      <c r="O1001">
        <v>7.5482005000000001</v>
      </c>
      <c r="P1001">
        <v>7.7776443000000004</v>
      </c>
      <c r="Q1001">
        <v>8.0104539999999993</v>
      </c>
      <c r="R1001">
        <v>7.8970707000000004</v>
      </c>
      <c r="S1001">
        <v>8.5248449999999991</v>
      </c>
      <c r="T1001">
        <v>8.8181148</v>
      </c>
      <c r="U1001">
        <v>8.8904574000000007</v>
      </c>
      <c r="V1001">
        <v>8.6313315999999993</v>
      </c>
      <c r="W1001">
        <v>8.9461548000000004</v>
      </c>
      <c r="X1001">
        <v>9.6032328000000007</v>
      </c>
      <c r="Y1001">
        <v>9.9548190000000005</v>
      </c>
      <c r="Z1001">
        <v>9.2095874000000002</v>
      </c>
      <c r="AA1001">
        <v>9.5813883999999998</v>
      </c>
      <c r="AB1001">
        <v>9.4791795000000008</v>
      </c>
    </row>
    <row r="1002" spans="1:28" hidden="1" x14ac:dyDescent="0.25">
      <c r="A1002" t="s">
        <v>7</v>
      </c>
      <c r="B1002" t="s">
        <v>23</v>
      </c>
      <c r="C1002">
        <v>44</v>
      </c>
      <c r="D1002" t="s">
        <v>3</v>
      </c>
      <c r="E1002">
        <v>3.4266654738</v>
      </c>
      <c r="F1002">
        <v>3.4455838124999998</v>
      </c>
      <c r="G1002">
        <v>3.3094239712000002</v>
      </c>
      <c r="H1002">
        <v>3.1989059161000002</v>
      </c>
      <c r="I1002">
        <v>3.0553285822</v>
      </c>
      <c r="J1002">
        <v>2.7423875843999999</v>
      </c>
      <c r="K1002">
        <v>2.4710287759999998</v>
      </c>
      <c r="L1002">
        <v>2.3430587822</v>
      </c>
      <c r="M1002">
        <v>2.5278601875</v>
      </c>
      <c r="N1002">
        <v>2.7280659216999998</v>
      </c>
      <c r="O1002">
        <v>2.8246663051000001</v>
      </c>
      <c r="P1002">
        <v>2.9543415409999998</v>
      </c>
      <c r="Q1002">
        <v>3.0350241939</v>
      </c>
      <c r="R1002">
        <v>2.9920651982000002</v>
      </c>
      <c r="S1002">
        <v>3.2472236592999999</v>
      </c>
      <c r="T1002">
        <v>3.4016010138000001</v>
      </c>
      <c r="U1002">
        <v>3.4269526074000001</v>
      </c>
      <c r="V1002">
        <v>3.2883410785999998</v>
      </c>
      <c r="W1002">
        <v>3.2710006077</v>
      </c>
      <c r="X1002">
        <v>3.1591552898000002</v>
      </c>
      <c r="Y1002">
        <v>3.1020788367000001</v>
      </c>
      <c r="Z1002">
        <v>2.8932170099999999</v>
      </c>
      <c r="AA1002">
        <v>3.0744972665999999</v>
      </c>
      <c r="AB1002">
        <v>3.2811270216000001</v>
      </c>
    </row>
    <row r="1003" spans="1:28" hidden="1" x14ac:dyDescent="0.25">
      <c r="A1003" t="s">
        <v>7</v>
      </c>
      <c r="B1003" t="s">
        <v>23</v>
      </c>
      <c r="C1003">
        <v>44</v>
      </c>
      <c r="D1003" t="s">
        <v>4</v>
      </c>
      <c r="E1003">
        <v>0.28708739999999999</v>
      </c>
      <c r="F1003">
        <v>0.27798</v>
      </c>
      <c r="G1003">
        <v>0.26301239999999998</v>
      </c>
      <c r="H1003">
        <v>0.25338240000000001</v>
      </c>
      <c r="I1003">
        <v>0.24528749999999999</v>
      </c>
      <c r="J1003">
        <v>0.23681459999999999</v>
      </c>
      <c r="K1003">
        <v>0.2299908</v>
      </c>
      <c r="L1003">
        <v>0.2085912</v>
      </c>
      <c r="M1003">
        <v>0.2153844</v>
      </c>
      <c r="N1003">
        <v>0.2254854</v>
      </c>
      <c r="O1003">
        <v>0.2334495</v>
      </c>
      <c r="P1003">
        <v>0.2405457</v>
      </c>
      <c r="Q1003">
        <v>0.24774599999999999</v>
      </c>
      <c r="R1003">
        <v>0.24423929999999999</v>
      </c>
      <c r="S1003">
        <v>0.26365499999999997</v>
      </c>
      <c r="T1003">
        <v>0.2727252</v>
      </c>
      <c r="U1003">
        <v>0.2749626</v>
      </c>
      <c r="V1003">
        <v>0.26694839999999997</v>
      </c>
      <c r="W1003">
        <v>0.27668520000000002</v>
      </c>
      <c r="X1003">
        <v>0.29700720000000003</v>
      </c>
      <c r="Y1003">
        <v>0.30788100000000002</v>
      </c>
      <c r="Z1003">
        <v>0.28483259999999999</v>
      </c>
      <c r="AA1003">
        <v>0.29633159999999997</v>
      </c>
      <c r="AB1003">
        <v>0.2931705</v>
      </c>
    </row>
    <row r="1004" spans="1:28" hidden="1" x14ac:dyDescent="0.25">
      <c r="A1004" t="s">
        <v>7</v>
      </c>
      <c r="B1004" t="s">
        <v>24</v>
      </c>
      <c r="C1004">
        <v>13</v>
      </c>
      <c r="D1004" t="s">
        <v>2</v>
      </c>
      <c r="E1004">
        <v>8.3351670000000002</v>
      </c>
      <c r="F1004">
        <v>8.0042249999999999</v>
      </c>
      <c r="G1004">
        <v>7.4788560000000004</v>
      </c>
      <c r="H1004">
        <v>7.115424</v>
      </c>
      <c r="I1004">
        <v>6.8553899999999999</v>
      </c>
      <c r="J1004">
        <v>6.6683539999999999</v>
      </c>
      <c r="K1004">
        <v>6.479228</v>
      </c>
      <c r="L1004">
        <v>5.8208399999999996</v>
      </c>
      <c r="M1004">
        <v>5.9119830000000002</v>
      </c>
      <c r="N1004">
        <v>6.7130514999999997</v>
      </c>
      <c r="O1004">
        <v>7.0049960000000002</v>
      </c>
      <c r="P1004">
        <v>7.2163709999999996</v>
      </c>
      <c r="Q1004">
        <v>7.3530949999999997</v>
      </c>
      <c r="R1004">
        <v>7.2517680000000002</v>
      </c>
      <c r="S1004">
        <v>7.9450874999999996</v>
      </c>
      <c r="T1004">
        <v>8.4285519999999998</v>
      </c>
      <c r="U1004">
        <v>8.5605639999999994</v>
      </c>
      <c r="V1004">
        <v>8.3115310000000004</v>
      </c>
      <c r="W1004">
        <v>8.5218705000000003</v>
      </c>
      <c r="X1004">
        <v>8.7091440000000002</v>
      </c>
      <c r="Y1004">
        <v>9.0067409999999999</v>
      </c>
      <c r="Z1004">
        <v>8.3651490000000006</v>
      </c>
      <c r="AA1004">
        <v>8.7694880000000008</v>
      </c>
      <c r="AB1004">
        <v>8.6799125000000004</v>
      </c>
    </row>
    <row r="1005" spans="1:28" hidden="1" x14ac:dyDescent="0.25">
      <c r="A1005" t="s">
        <v>7</v>
      </c>
      <c r="B1005" t="s">
        <v>24</v>
      </c>
      <c r="C1005">
        <v>13</v>
      </c>
      <c r="D1005" t="s">
        <v>3</v>
      </c>
      <c r="E1005">
        <v>3.0769568270000001</v>
      </c>
      <c r="F1005">
        <v>3.0684431157000001</v>
      </c>
      <c r="G1005">
        <v>2.9104549125000001</v>
      </c>
      <c r="H1005">
        <v>2.7782756109000002</v>
      </c>
      <c r="I1005">
        <v>2.6409744100000001</v>
      </c>
      <c r="J1005">
        <v>2.3882980697999998</v>
      </c>
      <c r="K1005">
        <v>2.1529806283999999</v>
      </c>
      <c r="L1005">
        <v>2.0221919812000002</v>
      </c>
      <c r="M1005">
        <v>2.1459594057000002</v>
      </c>
      <c r="N1005">
        <v>2.5119207473</v>
      </c>
      <c r="O1005">
        <v>2.6213898489999998</v>
      </c>
      <c r="P1005">
        <v>2.7411416359</v>
      </c>
      <c r="Q1005">
        <v>2.7859620972000001</v>
      </c>
      <c r="R1005">
        <v>2.7475710276999998</v>
      </c>
      <c r="S1005">
        <v>3.0263865332000002</v>
      </c>
      <c r="T1005">
        <v>3.2513265793000001</v>
      </c>
      <c r="U1005">
        <v>3.2997905283</v>
      </c>
      <c r="V1005">
        <v>3.1665043217000002</v>
      </c>
      <c r="W1005">
        <v>3.1158686841000001</v>
      </c>
      <c r="X1005">
        <v>2.8650287784000001</v>
      </c>
      <c r="Y1005">
        <v>2.8066427570000001</v>
      </c>
      <c r="Z1005">
        <v>2.6279343824999999</v>
      </c>
      <c r="AA1005">
        <v>2.8139728565</v>
      </c>
      <c r="AB1005">
        <v>3.0044684193000002</v>
      </c>
    </row>
    <row r="1006" spans="1:28" hidden="1" x14ac:dyDescent="0.25">
      <c r="A1006" t="s">
        <v>7</v>
      </c>
      <c r="B1006" t="s">
        <v>24</v>
      </c>
      <c r="C1006">
        <v>13</v>
      </c>
      <c r="D1006" t="s">
        <v>4</v>
      </c>
      <c r="E1006">
        <v>0.438693</v>
      </c>
      <c r="F1006">
        <v>0.42127500000000001</v>
      </c>
      <c r="G1006">
        <v>0.39362399999999997</v>
      </c>
      <c r="H1006">
        <v>0.374496</v>
      </c>
      <c r="I1006">
        <v>0.36081000000000002</v>
      </c>
      <c r="J1006">
        <v>0.350966</v>
      </c>
      <c r="K1006">
        <v>0.34101199999999998</v>
      </c>
      <c r="L1006">
        <v>0.30636000000000002</v>
      </c>
      <c r="M1006">
        <v>0.31115700000000002</v>
      </c>
      <c r="N1006">
        <v>0.35331849999999998</v>
      </c>
      <c r="O1006">
        <v>0.36868400000000001</v>
      </c>
      <c r="P1006">
        <v>0.37980900000000001</v>
      </c>
      <c r="Q1006">
        <v>0.38700499999999999</v>
      </c>
      <c r="R1006">
        <v>0.38167200000000001</v>
      </c>
      <c r="S1006">
        <v>0.41816249999999999</v>
      </c>
      <c r="T1006">
        <v>0.443608</v>
      </c>
      <c r="U1006">
        <v>0.45055600000000001</v>
      </c>
      <c r="V1006">
        <v>0.43744899999999998</v>
      </c>
      <c r="W1006">
        <v>0.44851950000000002</v>
      </c>
      <c r="X1006">
        <v>0.45837600000000001</v>
      </c>
      <c r="Y1006">
        <v>0.47403899999999999</v>
      </c>
      <c r="Z1006">
        <v>0.44027100000000002</v>
      </c>
      <c r="AA1006">
        <v>0.46155200000000002</v>
      </c>
      <c r="AB1006">
        <v>0.45683750000000001</v>
      </c>
    </row>
    <row r="1007" spans="1:28" hidden="1" x14ac:dyDescent="0.25">
      <c r="A1007" t="s">
        <v>7</v>
      </c>
      <c r="B1007" t="s">
        <v>25</v>
      </c>
      <c r="C1007">
        <v>115</v>
      </c>
      <c r="D1007" t="s">
        <v>2</v>
      </c>
      <c r="E1007">
        <v>5.88869445</v>
      </c>
      <c r="F1007">
        <v>5.9971724999999996</v>
      </c>
      <c r="G1007">
        <v>5.9626580999999996</v>
      </c>
      <c r="H1007">
        <v>5.9550342000000001</v>
      </c>
      <c r="I1007">
        <v>6.2038747499999998</v>
      </c>
      <c r="J1007">
        <v>6.4890815000000002</v>
      </c>
      <c r="K1007">
        <v>6.5032655000000004</v>
      </c>
      <c r="L1007">
        <v>6.0877727999999998</v>
      </c>
      <c r="M1007">
        <v>6.1161408000000002</v>
      </c>
      <c r="N1007">
        <v>6.1885875500000003</v>
      </c>
      <c r="O1007">
        <v>6.2510070000000004</v>
      </c>
      <c r="P1007">
        <v>6.3121755000000004</v>
      </c>
      <c r="Q1007">
        <v>6.2631224999999997</v>
      </c>
      <c r="R1007">
        <v>6.3213655500000003</v>
      </c>
      <c r="S1007">
        <v>6.7484812500000002</v>
      </c>
      <c r="T1007">
        <v>6.7850937</v>
      </c>
      <c r="U1007">
        <v>6.8545460499999997</v>
      </c>
      <c r="V1007">
        <v>6.8236071999999997</v>
      </c>
      <c r="W1007">
        <v>7.8411811499999997</v>
      </c>
      <c r="X1007">
        <v>8.4089843999999996</v>
      </c>
      <c r="Y1007">
        <v>8.3918749500000001</v>
      </c>
      <c r="Z1007">
        <v>7.1531291000000001</v>
      </c>
      <c r="AA1007">
        <v>6.9693084000000001</v>
      </c>
      <c r="AB1007">
        <v>6.4395360000000004</v>
      </c>
    </row>
    <row r="1008" spans="1:28" hidden="1" x14ac:dyDescent="0.25">
      <c r="A1008" t="s">
        <v>7</v>
      </c>
      <c r="B1008" t="s">
        <v>25</v>
      </c>
      <c r="C1008">
        <v>115</v>
      </c>
      <c r="D1008" t="s">
        <v>3</v>
      </c>
      <c r="E1008">
        <v>0.88071716919999998</v>
      </c>
      <c r="F1008">
        <v>0.84012203269999997</v>
      </c>
      <c r="G1008">
        <v>0.96406473299999995</v>
      </c>
      <c r="H1008">
        <v>0.76639581820000002</v>
      </c>
      <c r="I1008">
        <v>0.78296184719999995</v>
      </c>
      <c r="J1008">
        <v>0.91426372229999997</v>
      </c>
      <c r="K1008">
        <v>0.87447925370000001</v>
      </c>
      <c r="L1008">
        <v>0.80784534159999999</v>
      </c>
      <c r="M1008">
        <v>0.99905536669999995</v>
      </c>
      <c r="N1008">
        <v>1.2829567823000001</v>
      </c>
      <c r="O1008">
        <v>1.2933252519</v>
      </c>
      <c r="P1008">
        <v>1.3432040268000001</v>
      </c>
      <c r="Q1008">
        <v>1.3077115771000001</v>
      </c>
      <c r="R1008">
        <v>1.3340080706999999</v>
      </c>
      <c r="S1008">
        <v>1.4148993839999999</v>
      </c>
      <c r="T1008">
        <v>1.4163502800000001</v>
      </c>
      <c r="U1008">
        <v>1.2810703043</v>
      </c>
      <c r="V1008">
        <v>1.3273833846</v>
      </c>
      <c r="W1008">
        <v>1.4703177167999999</v>
      </c>
      <c r="X1008">
        <v>1.4881022007</v>
      </c>
      <c r="Y1008">
        <v>1.4905285127000001</v>
      </c>
      <c r="Z1008">
        <v>1.2302651257999999</v>
      </c>
      <c r="AA1008">
        <v>1.216310926</v>
      </c>
      <c r="AB1008">
        <v>1.0567918993000001</v>
      </c>
    </row>
    <row r="1009" spans="1:28" hidden="1" x14ac:dyDescent="0.25">
      <c r="A1009" t="s">
        <v>7</v>
      </c>
      <c r="B1009" t="s">
        <v>25</v>
      </c>
      <c r="C1009">
        <v>115</v>
      </c>
      <c r="D1009" t="s">
        <v>4</v>
      </c>
      <c r="E1009">
        <v>8.9675550000000007E-2</v>
      </c>
      <c r="F1009">
        <v>9.1327500000000006E-2</v>
      </c>
      <c r="G1009">
        <v>9.0801900000000005E-2</v>
      </c>
      <c r="H1009">
        <v>9.0685799999999997E-2</v>
      </c>
      <c r="I1009">
        <v>9.4475249999999997E-2</v>
      </c>
      <c r="J1009">
        <v>9.8818500000000004E-2</v>
      </c>
      <c r="K1009">
        <v>9.9034499999999998E-2</v>
      </c>
      <c r="L1009">
        <v>9.2707200000000003E-2</v>
      </c>
      <c r="M1009">
        <v>9.3139200000000005E-2</v>
      </c>
      <c r="N1009">
        <v>9.4242450000000005E-2</v>
      </c>
      <c r="O1009">
        <v>9.5193E-2</v>
      </c>
      <c r="P1009">
        <v>9.6124500000000002E-2</v>
      </c>
      <c r="Q1009">
        <v>9.5377500000000004E-2</v>
      </c>
      <c r="R1009">
        <v>9.6264450000000001E-2</v>
      </c>
      <c r="S1009">
        <v>0.10276875000000001</v>
      </c>
      <c r="T1009">
        <v>0.1033263</v>
      </c>
      <c r="U1009">
        <v>0.10438395</v>
      </c>
      <c r="V1009">
        <v>0.1039128</v>
      </c>
      <c r="W1009">
        <v>0.11940885</v>
      </c>
      <c r="X1009">
        <v>0.12805559999999999</v>
      </c>
      <c r="Y1009">
        <v>0.12779504999999999</v>
      </c>
      <c r="Z1009">
        <v>0.1089309</v>
      </c>
      <c r="AA1009">
        <v>0.10613160000000001</v>
      </c>
      <c r="AB1009">
        <v>9.8063999999999998E-2</v>
      </c>
    </row>
    <row r="1010" spans="1:28" hidden="1" x14ac:dyDescent="0.25">
      <c r="A1010" t="s">
        <v>7</v>
      </c>
      <c r="B1010" t="s">
        <v>26</v>
      </c>
      <c r="C1010">
        <v>110</v>
      </c>
      <c r="D1010" t="s">
        <v>2</v>
      </c>
      <c r="E1010">
        <v>40.963037399999997</v>
      </c>
      <c r="F1010">
        <v>41.071545</v>
      </c>
      <c r="G1010">
        <v>40.847634800000002</v>
      </c>
      <c r="H1010">
        <v>40.274464199999997</v>
      </c>
      <c r="I1010">
        <v>43.160051250000002</v>
      </c>
      <c r="J1010">
        <v>46.669261499999998</v>
      </c>
      <c r="K1010">
        <v>50.960354899999999</v>
      </c>
      <c r="L1010">
        <v>57.846961800000003</v>
      </c>
      <c r="M1010">
        <v>70.472140199999998</v>
      </c>
      <c r="N1010">
        <v>82.852752949999996</v>
      </c>
      <c r="O1010">
        <v>90.148450949999997</v>
      </c>
      <c r="P1010">
        <v>95.052125700000005</v>
      </c>
      <c r="Q1010">
        <v>95.539681000000002</v>
      </c>
      <c r="R1010">
        <v>94.289912999999999</v>
      </c>
      <c r="S1010">
        <v>97.240184999999997</v>
      </c>
      <c r="T1010">
        <v>97.299166799999995</v>
      </c>
      <c r="U1010">
        <v>96.419601200000002</v>
      </c>
      <c r="V1010">
        <v>90.603974050000005</v>
      </c>
      <c r="W1010">
        <v>94.094173799999993</v>
      </c>
      <c r="X1010">
        <v>83.955568799999995</v>
      </c>
      <c r="Y1010">
        <v>69.188842800000003</v>
      </c>
      <c r="Z1010">
        <v>54.863278600000001</v>
      </c>
      <c r="AA1010">
        <v>50.208995999999999</v>
      </c>
      <c r="AB1010">
        <v>45.501582499999998</v>
      </c>
    </row>
    <row r="1011" spans="1:28" hidden="1" x14ac:dyDescent="0.25">
      <c r="A1011" t="s">
        <v>7</v>
      </c>
      <c r="B1011" t="s">
        <v>26</v>
      </c>
      <c r="C1011">
        <v>110</v>
      </c>
      <c r="D1011" t="s">
        <v>3</v>
      </c>
      <c r="E1011">
        <v>12.2166970594</v>
      </c>
      <c r="F1011">
        <v>12.324000201800001</v>
      </c>
      <c r="G1011">
        <v>12.151121809599999</v>
      </c>
      <c r="H1011">
        <v>11.8865504134</v>
      </c>
      <c r="I1011">
        <v>12.8439486923</v>
      </c>
      <c r="J1011">
        <v>13.7056658415</v>
      </c>
      <c r="K1011">
        <v>14.251366793100001</v>
      </c>
      <c r="L1011">
        <v>16.174931575900001</v>
      </c>
      <c r="M1011">
        <v>20.628010016800001</v>
      </c>
      <c r="N1011">
        <v>25.126978495500001</v>
      </c>
      <c r="O1011">
        <v>27.714155941200001</v>
      </c>
      <c r="P1011">
        <v>30.951085326699999</v>
      </c>
      <c r="Q1011">
        <v>31.851023982200001</v>
      </c>
      <c r="R1011">
        <v>31.344845177</v>
      </c>
      <c r="S1011">
        <v>31.957852462799998</v>
      </c>
      <c r="T1011">
        <v>32.410246696800002</v>
      </c>
      <c r="U1011">
        <v>32.448246191999999</v>
      </c>
      <c r="V1011">
        <v>29.7833011476</v>
      </c>
      <c r="W1011">
        <v>29.831529824299999</v>
      </c>
      <c r="X1011">
        <v>24.855823017599999</v>
      </c>
      <c r="Y1011">
        <v>20.0645331136</v>
      </c>
      <c r="Z1011">
        <v>15.8845257489</v>
      </c>
      <c r="AA1011">
        <v>14.665681702900001</v>
      </c>
      <c r="AB1011">
        <v>13.278346791700001</v>
      </c>
    </row>
    <row r="1012" spans="1:28" hidden="1" x14ac:dyDescent="0.25">
      <c r="A1012" t="s">
        <v>7</v>
      </c>
      <c r="B1012" t="s">
        <v>26</v>
      </c>
      <c r="C1012">
        <v>110</v>
      </c>
      <c r="D1012" t="s">
        <v>4</v>
      </c>
      <c r="E1012">
        <v>0.62380259999999998</v>
      </c>
      <c r="F1012">
        <v>0.62545499999999998</v>
      </c>
      <c r="G1012">
        <v>0.62204519999999996</v>
      </c>
      <c r="H1012">
        <v>0.61331671369999996</v>
      </c>
      <c r="I1012">
        <v>0.6572596637</v>
      </c>
      <c r="J1012">
        <v>0.7106994137</v>
      </c>
      <c r="K1012">
        <v>0.77604601370000004</v>
      </c>
      <c r="L1012">
        <v>0.88091819999999998</v>
      </c>
      <c r="M1012">
        <v>1.0731797999999999</v>
      </c>
      <c r="N1012">
        <v>1.2617170499999999</v>
      </c>
      <c r="O1012">
        <v>1.3728190499999999</v>
      </c>
      <c r="P1012">
        <v>1.4474943</v>
      </c>
      <c r="Q1012">
        <v>1.4549190000000001</v>
      </c>
      <c r="R1012">
        <v>1.4358869999999999</v>
      </c>
      <c r="S1012">
        <v>1.480815</v>
      </c>
      <c r="T1012">
        <v>1.4817132</v>
      </c>
      <c r="U1012">
        <v>1.4683188</v>
      </c>
      <c r="V1012">
        <v>1.3797559500000001</v>
      </c>
      <c r="W1012">
        <v>1.4329061999999999</v>
      </c>
      <c r="X1012">
        <v>1.2785112000000001</v>
      </c>
      <c r="Y1012">
        <v>1.0536372000000001</v>
      </c>
      <c r="Z1012">
        <v>0.83548140000000004</v>
      </c>
      <c r="AA1012">
        <v>0.76460399999999995</v>
      </c>
      <c r="AB1012">
        <v>0.69291749999999996</v>
      </c>
    </row>
    <row r="1013" spans="1:28" hidden="1" x14ac:dyDescent="0.25">
      <c r="A1013" t="s">
        <v>7</v>
      </c>
      <c r="B1013" t="s">
        <v>27</v>
      </c>
      <c r="C1013">
        <v>44</v>
      </c>
      <c r="D1013" t="s">
        <v>2</v>
      </c>
      <c r="E1013">
        <v>5.2810680000000003</v>
      </c>
      <c r="F1013">
        <v>5.5081449999999998</v>
      </c>
      <c r="G1013">
        <v>5.592244</v>
      </c>
      <c r="H1013">
        <v>5.4682392000000002</v>
      </c>
      <c r="I1013">
        <v>5.8637955000000002</v>
      </c>
      <c r="J1013">
        <v>6.4920548</v>
      </c>
      <c r="K1013">
        <v>7.1006134000000003</v>
      </c>
      <c r="L1013">
        <v>7.0416179999999997</v>
      </c>
      <c r="M1013">
        <v>6.8968746000000003</v>
      </c>
      <c r="N1013">
        <v>6.9669765000000003</v>
      </c>
      <c r="O1013">
        <v>7.0938428</v>
      </c>
      <c r="P1013">
        <v>6.9741059999999999</v>
      </c>
      <c r="Q1013">
        <v>6.8225920000000002</v>
      </c>
      <c r="R1013">
        <v>6.7625199</v>
      </c>
      <c r="S1013">
        <v>6.8443199999999997</v>
      </c>
      <c r="T1013">
        <v>6.6363132</v>
      </c>
      <c r="U1013">
        <v>6.7052607999999996</v>
      </c>
      <c r="V1013">
        <v>6.7921049</v>
      </c>
      <c r="W1013">
        <v>7.7380974</v>
      </c>
      <c r="X1013">
        <v>8.181756</v>
      </c>
      <c r="Y1013">
        <v>7.8848487</v>
      </c>
      <c r="Z1013">
        <v>6.6565668000000002</v>
      </c>
      <c r="AA1013">
        <v>6.0391035999999998</v>
      </c>
      <c r="AB1013">
        <v>5.5267689999999998</v>
      </c>
    </row>
    <row r="1014" spans="1:28" hidden="1" x14ac:dyDescent="0.25">
      <c r="A1014" t="s">
        <v>7</v>
      </c>
      <c r="B1014" t="s">
        <v>27</v>
      </c>
      <c r="C1014">
        <v>44</v>
      </c>
      <c r="D1014" t="s">
        <v>3</v>
      </c>
      <c r="E1014">
        <v>1.6987912645000001</v>
      </c>
      <c r="F1014">
        <v>1.6952035237</v>
      </c>
      <c r="G1014">
        <v>1.7114925421</v>
      </c>
      <c r="H1014">
        <v>1.7001551661000001</v>
      </c>
      <c r="I1014">
        <v>1.8013839506</v>
      </c>
      <c r="J1014">
        <v>1.9289879236</v>
      </c>
      <c r="K1014">
        <v>1.8912802196</v>
      </c>
      <c r="L1014">
        <v>1.860280731</v>
      </c>
      <c r="M1014">
        <v>2.0942275904000001</v>
      </c>
      <c r="N1014">
        <v>2.3579559447</v>
      </c>
      <c r="O1014">
        <v>2.3778808695999998</v>
      </c>
      <c r="P1014">
        <v>2.3006811532999998</v>
      </c>
      <c r="Q1014">
        <v>2.2463487781000002</v>
      </c>
      <c r="R1014">
        <v>2.2561519426999999</v>
      </c>
      <c r="S1014">
        <v>2.3035690310999999</v>
      </c>
      <c r="T1014">
        <v>2.3036783015000002</v>
      </c>
      <c r="U1014">
        <v>2.2942286287</v>
      </c>
      <c r="V1014">
        <v>2.3067900815</v>
      </c>
      <c r="W1014">
        <v>2.5238404889999999</v>
      </c>
      <c r="X1014">
        <v>2.3442072984000002</v>
      </c>
      <c r="Y1014">
        <v>2.1402143542999998</v>
      </c>
      <c r="Z1014">
        <v>1.917654073</v>
      </c>
      <c r="AA1014">
        <v>1.7839957471000001</v>
      </c>
      <c r="AB1014">
        <v>1.7980589814000001</v>
      </c>
    </row>
    <row r="1015" spans="1:28" hidden="1" x14ac:dyDescent="0.25">
      <c r="A1015" t="s">
        <v>7</v>
      </c>
      <c r="B1015" t="s">
        <v>27</v>
      </c>
      <c r="C1015">
        <v>44</v>
      </c>
      <c r="D1015" t="s">
        <v>4</v>
      </c>
      <c r="E1015">
        <v>0.163332</v>
      </c>
      <c r="F1015">
        <v>0.17035500000000001</v>
      </c>
      <c r="G1015">
        <v>0.172956</v>
      </c>
      <c r="H1015">
        <v>0.16912079999999999</v>
      </c>
      <c r="I1015">
        <v>0.1813545</v>
      </c>
      <c r="J1015">
        <v>0.2007852</v>
      </c>
      <c r="K1015">
        <v>0.21960660000000001</v>
      </c>
      <c r="L1015">
        <v>0.217782</v>
      </c>
      <c r="M1015">
        <v>0.21330540000000001</v>
      </c>
      <c r="N1015">
        <v>0.21547350000000001</v>
      </c>
      <c r="O1015">
        <v>0.21939719999999999</v>
      </c>
      <c r="P1015">
        <v>0.215694</v>
      </c>
      <c r="Q1015">
        <v>0.211008</v>
      </c>
      <c r="R1015">
        <v>0.20915010000000001</v>
      </c>
      <c r="S1015">
        <v>0.21168000000000001</v>
      </c>
      <c r="T1015">
        <v>0.20524680000000001</v>
      </c>
      <c r="U1015">
        <v>0.20737920000000001</v>
      </c>
      <c r="V1015">
        <v>0.2100651</v>
      </c>
      <c r="W1015">
        <v>0.2393226</v>
      </c>
      <c r="X1015">
        <v>0.25304399999999999</v>
      </c>
      <c r="Y1015">
        <v>0.2438613</v>
      </c>
      <c r="Z1015">
        <v>0.20587320000000001</v>
      </c>
      <c r="AA1015">
        <v>0.18677640000000001</v>
      </c>
      <c r="AB1015">
        <v>0.170931</v>
      </c>
    </row>
    <row r="1016" spans="1:28" hidden="1" x14ac:dyDescent="0.25">
      <c r="A1016" t="s">
        <v>7</v>
      </c>
      <c r="B1016" t="s">
        <v>28</v>
      </c>
      <c r="C1016">
        <v>110</v>
      </c>
      <c r="D1016" t="s">
        <v>2</v>
      </c>
      <c r="E1016">
        <v>16.016011349999999</v>
      </c>
      <c r="F1016">
        <v>16.779967500000001</v>
      </c>
      <c r="G1016">
        <v>16.987211500000001</v>
      </c>
      <c r="H1016">
        <v>17.364761999999999</v>
      </c>
      <c r="I1016">
        <v>18.279088250000001</v>
      </c>
      <c r="J1016">
        <v>18.720713</v>
      </c>
      <c r="K1016">
        <v>17.287321299999999</v>
      </c>
      <c r="L1016">
        <v>16.452730800000001</v>
      </c>
      <c r="M1016">
        <v>16.873995600000001</v>
      </c>
      <c r="N1016">
        <v>16.59341835</v>
      </c>
      <c r="O1016">
        <v>17.458169550000001</v>
      </c>
      <c r="P1016">
        <v>17.089060499999999</v>
      </c>
      <c r="Q1016">
        <v>16.469692500000001</v>
      </c>
      <c r="R1016">
        <v>16.083858150000001</v>
      </c>
      <c r="S1016">
        <v>17.328858749999998</v>
      </c>
      <c r="T1016">
        <v>17.416612400000002</v>
      </c>
      <c r="U1016">
        <v>17.402339749999999</v>
      </c>
      <c r="V1016">
        <v>16.603130449999998</v>
      </c>
      <c r="W1016">
        <v>18.782364149999999</v>
      </c>
      <c r="X1016">
        <v>18.832096799999999</v>
      </c>
      <c r="Y1016">
        <v>17.586032400000001</v>
      </c>
      <c r="Z1016">
        <v>15.337828999999999</v>
      </c>
      <c r="AA1016">
        <v>15.5373112</v>
      </c>
      <c r="AB1016">
        <v>15.3609765</v>
      </c>
    </row>
    <row r="1017" spans="1:28" hidden="1" x14ac:dyDescent="0.25">
      <c r="A1017" t="s">
        <v>7</v>
      </c>
      <c r="B1017" t="s">
        <v>28</v>
      </c>
      <c r="C1017">
        <v>110</v>
      </c>
      <c r="D1017" t="s">
        <v>3</v>
      </c>
      <c r="E1017">
        <v>2.1694873501999998</v>
      </c>
      <c r="F1017">
        <v>2.2383496073</v>
      </c>
      <c r="G1017">
        <v>2.3241313792999998</v>
      </c>
      <c r="H1017">
        <v>1.9911448821</v>
      </c>
      <c r="I1017">
        <v>1.9565907253999999</v>
      </c>
      <c r="J1017">
        <v>1.6731264925</v>
      </c>
      <c r="K1017">
        <v>1.0181927521</v>
      </c>
      <c r="L1017">
        <v>0.83974692750000002</v>
      </c>
      <c r="M1017">
        <v>0.92526805369999998</v>
      </c>
      <c r="N1017">
        <v>1.0189269911000001</v>
      </c>
      <c r="O1017">
        <v>1.5935497085999999</v>
      </c>
      <c r="P1017">
        <v>1.7947925850999999</v>
      </c>
      <c r="Q1017">
        <v>1.7877860612000001</v>
      </c>
      <c r="R1017">
        <v>1.6985365041</v>
      </c>
      <c r="S1017">
        <v>2.1242718257000002</v>
      </c>
      <c r="T1017">
        <v>1.7126442317999999</v>
      </c>
      <c r="U1017">
        <v>1.9516564154</v>
      </c>
      <c r="V1017">
        <v>1.4801071779999999</v>
      </c>
      <c r="W1017">
        <v>1.0469757007</v>
      </c>
      <c r="X1017">
        <v>1.3606565298</v>
      </c>
      <c r="Y1017">
        <v>1.2051852824</v>
      </c>
      <c r="Z1017">
        <v>1.1967099935000001</v>
      </c>
      <c r="AA1017">
        <v>1.5036131703</v>
      </c>
      <c r="AB1017">
        <v>1.5665504217999999</v>
      </c>
    </row>
    <row r="1018" spans="1:28" hidden="1" x14ac:dyDescent="0.25">
      <c r="A1018" t="s">
        <v>7</v>
      </c>
      <c r="B1018" t="s">
        <v>28</v>
      </c>
      <c r="C1018">
        <v>110</v>
      </c>
      <c r="D1018" t="s">
        <v>4</v>
      </c>
      <c r="E1018">
        <v>0.24389864999999999</v>
      </c>
      <c r="F1018">
        <v>0.2555325</v>
      </c>
      <c r="G1018">
        <v>0.25868849999999999</v>
      </c>
      <c r="H1018">
        <v>0.26443800000000001</v>
      </c>
      <c r="I1018">
        <v>0.27836175000000002</v>
      </c>
      <c r="J1018">
        <v>0.28508699999999998</v>
      </c>
      <c r="K1018">
        <v>0.26325870000000001</v>
      </c>
      <c r="L1018">
        <v>0.25054920000000003</v>
      </c>
      <c r="M1018">
        <v>0.25696439999999998</v>
      </c>
      <c r="N1018">
        <v>0.25269164999999999</v>
      </c>
      <c r="O1018">
        <v>0.26586045000000003</v>
      </c>
      <c r="P1018">
        <v>0.26023950000000001</v>
      </c>
      <c r="Q1018">
        <v>0.25080750000000002</v>
      </c>
      <c r="R1018">
        <v>0.24493185000000001</v>
      </c>
      <c r="S1018">
        <v>0.26389125000000002</v>
      </c>
      <c r="T1018">
        <v>0.26522760000000001</v>
      </c>
      <c r="U1018">
        <v>0.26501025</v>
      </c>
      <c r="V1018">
        <v>0.25283955000000002</v>
      </c>
      <c r="W1018">
        <v>0.28602585000000003</v>
      </c>
      <c r="X1018">
        <v>0.28678320000000002</v>
      </c>
      <c r="Y1018">
        <v>0.26780759999999998</v>
      </c>
      <c r="Z1018">
        <v>0.233571</v>
      </c>
      <c r="AA1018">
        <v>0.23660880000000001</v>
      </c>
      <c r="AB1018">
        <v>0.23392350000000001</v>
      </c>
    </row>
    <row r="1019" spans="1:28" hidden="1" x14ac:dyDescent="0.25">
      <c r="A1019" t="s">
        <v>7</v>
      </c>
      <c r="B1019" t="s">
        <v>29</v>
      </c>
      <c r="C1019">
        <v>110</v>
      </c>
      <c r="D1019" t="s">
        <v>2</v>
      </c>
      <c r="E1019">
        <v>3.6610972500000001</v>
      </c>
      <c r="F1019">
        <v>3.68513125</v>
      </c>
      <c r="G1019">
        <v>3.6324239</v>
      </c>
      <c r="H1019">
        <v>3.5808689999999999</v>
      </c>
      <c r="I1019">
        <v>3.782597</v>
      </c>
      <c r="J1019">
        <v>3.9968148000000001</v>
      </c>
      <c r="K1019">
        <v>3.9777255</v>
      </c>
      <c r="L1019">
        <v>3.5293337999999999</v>
      </c>
      <c r="M1019">
        <v>3.3857208000000001</v>
      </c>
      <c r="N1019">
        <v>3.7874727500000001</v>
      </c>
      <c r="O1019">
        <v>4.0036211499999999</v>
      </c>
      <c r="P1019">
        <v>4.2029851499999999</v>
      </c>
      <c r="Q1019">
        <v>4.4383115000000002</v>
      </c>
      <c r="R1019">
        <v>4.4567901000000001</v>
      </c>
      <c r="S1019">
        <v>4.6230975000000001</v>
      </c>
      <c r="T1019">
        <v>4.5849386000000001</v>
      </c>
      <c r="U1019">
        <v>4.6507563000000003</v>
      </c>
      <c r="V1019">
        <v>4.3676968499999997</v>
      </c>
      <c r="W1019">
        <v>4.9732649999999996</v>
      </c>
      <c r="X1019">
        <v>5.3542236000000001</v>
      </c>
      <c r="Y1019">
        <v>5.1987905999999997</v>
      </c>
      <c r="Z1019">
        <v>4.4656156999999999</v>
      </c>
      <c r="AA1019">
        <v>4.3839198000000001</v>
      </c>
      <c r="AB1019">
        <v>4.1253277500000003</v>
      </c>
    </row>
    <row r="1020" spans="1:28" hidden="1" x14ac:dyDescent="0.25">
      <c r="A1020" t="s">
        <v>7</v>
      </c>
      <c r="B1020" t="s">
        <v>29</v>
      </c>
      <c r="C1020">
        <v>110</v>
      </c>
      <c r="D1020" t="s">
        <v>3</v>
      </c>
      <c r="E1020">
        <v>1.2171893624000001</v>
      </c>
      <c r="F1020">
        <v>1.2740583099</v>
      </c>
      <c r="G1020">
        <v>1.259317279</v>
      </c>
      <c r="H1020">
        <v>1.2431574214000001</v>
      </c>
      <c r="I1020">
        <v>1.3182243197000001</v>
      </c>
      <c r="J1020">
        <v>1.4171174444000001</v>
      </c>
      <c r="K1020">
        <v>1.3875811204999999</v>
      </c>
      <c r="L1020">
        <v>1.3192443605999999</v>
      </c>
      <c r="M1020">
        <v>1.3760419302</v>
      </c>
      <c r="N1020">
        <v>1.5265175272</v>
      </c>
      <c r="O1020">
        <v>1.6479115502999999</v>
      </c>
      <c r="P1020">
        <v>1.778532596</v>
      </c>
      <c r="Q1020">
        <v>1.8960605926</v>
      </c>
      <c r="R1020">
        <v>1.8867415025000001</v>
      </c>
      <c r="S1020">
        <v>1.9711033442999999</v>
      </c>
      <c r="T1020">
        <v>1.9276529989</v>
      </c>
      <c r="U1020">
        <v>1.9524995807000001</v>
      </c>
      <c r="V1020">
        <v>1.8163656085</v>
      </c>
      <c r="W1020">
        <v>1.9942217217</v>
      </c>
      <c r="X1020">
        <v>1.9147688749</v>
      </c>
      <c r="Y1020">
        <v>1.6989624135000001</v>
      </c>
      <c r="Z1020">
        <v>1.4657158147</v>
      </c>
      <c r="AA1020">
        <v>1.4157218550999999</v>
      </c>
      <c r="AB1020">
        <v>1.3335470611</v>
      </c>
    </row>
    <row r="1021" spans="1:28" hidden="1" x14ac:dyDescent="0.25">
      <c r="A1021" t="s">
        <v>7</v>
      </c>
      <c r="B1021" t="s">
        <v>29</v>
      </c>
      <c r="C1021">
        <v>110</v>
      </c>
      <c r="D1021" t="s">
        <v>4</v>
      </c>
      <c r="E1021">
        <v>5.5752749999999997E-2</v>
      </c>
      <c r="F1021">
        <v>5.6118750000000002E-2</v>
      </c>
      <c r="G1021">
        <v>5.53161E-2</v>
      </c>
      <c r="H1021">
        <v>5.4531000000000003E-2</v>
      </c>
      <c r="I1021">
        <v>5.7603000000000001E-2</v>
      </c>
      <c r="J1021">
        <v>6.0865200000000001E-2</v>
      </c>
      <c r="K1021">
        <v>6.0574500000000003E-2</v>
      </c>
      <c r="L1021">
        <v>5.3746200000000001E-2</v>
      </c>
      <c r="M1021">
        <v>5.1559199999999999E-2</v>
      </c>
      <c r="N1021">
        <v>5.7677249999999999E-2</v>
      </c>
      <c r="O1021">
        <v>6.0968849999999998E-2</v>
      </c>
      <c r="P1021">
        <v>6.4004850000000002E-2</v>
      </c>
      <c r="Q1021">
        <v>6.7588499999999996E-2</v>
      </c>
      <c r="R1021">
        <v>6.7869899999999997E-2</v>
      </c>
      <c r="S1021">
        <v>7.0402500000000007E-2</v>
      </c>
      <c r="T1021">
        <v>6.9821400000000006E-2</v>
      </c>
      <c r="U1021">
        <v>7.0823700000000003E-2</v>
      </c>
      <c r="V1021">
        <v>6.6513149999999993E-2</v>
      </c>
      <c r="W1021">
        <v>7.5734999999999997E-2</v>
      </c>
      <c r="X1021">
        <v>8.1536399999999995E-2</v>
      </c>
      <c r="Y1021">
        <v>7.9169400000000001E-2</v>
      </c>
      <c r="Z1021">
        <v>6.8004300000000004E-2</v>
      </c>
      <c r="AA1021">
        <v>6.6760200000000006E-2</v>
      </c>
      <c r="AB1021">
        <v>6.2822249999999996E-2</v>
      </c>
    </row>
    <row r="1022" spans="1:28" hidden="1" x14ac:dyDescent="0.25">
      <c r="A1022" t="s">
        <v>7</v>
      </c>
      <c r="B1022" t="s">
        <v>30</v>
      </c>
      <c r="C1022">
        <v>110</v>
      </c>
      <c r="D1022" t="s">
        <v>2</v>
      </c>
      <c r="E1022">
        <v>36.930673949999999</v>
      </c>
      <c r="F1022">
        <v>34.125324999999997</v>
      </c>
      <c r="G1022">
        <v>32.2022701</v>
      </c>
      <c r="H1022">
        <v>31.295814</v>
      </c>
      <c r="I1022">
        <v>32.401476500000001</v>
      </c>
      <c r="J1022">
        <v>37.177268699999999</v>
      </c>
      <c r="K1022">
        <v>41.077908100000002</v>
      </c>
      <c r="L1022">
        <v>42.365125800000001</v>
      </c>
      <c r="M1022">
        <v>42.881246099999998</v>
      </c>
      <c r="N1022">
        <v>44.978025449999997</v>
      </c>
      <c r="O1022">
        <v>47.090919399999997</v>
      </c>
      <c r="P1022">
        <v>49.327342199999997</v>
      </c>
      <c r="Q1022">
        <v>50.537985999999997</v>
      </c>
      <c r="R1022">
        <v>48.964054500000003</v>
      </c>
      <c r="S1022">
        <v>50.807531249999997</v>
      </c>
      <c r="T1022">
        <v>49.403482699999998</v>
      </c>
      <c r="U1022">
        <v>48.726551299999997</v>
      </c>
      <c r="V1022">
        <v>48.235844</v>
      </c>
      <c r="W1022">
        <v>56.032119000000002</v>
      </c>
      <c r="X1022">
        <v>57.738335999999997</v>
      </c>
      <c r="Y1022">
        <v>58.887535499999998</v>
      </c>
      <c r="Z1022">
        <v>51.877152600000002</v>
      </c>
      <c r="AA1022">
        <v>47.573648200000001</v>
      </c>
      <c r="AB1022">
        <v>41.510411750000003</v>
      </c>
    </row>
    <row r="1023" spans="1:28" hidden="1" x14ac:dyDescent="0.25">
      <c r="A1023" t="s">
        <v>7</v>
      </c>
      <c r="B1023" t="s">
        <v>30</v>
      </c>
      <c r="C1023">
        <v>110</v>
      </c>
      <c r="D1023" t="s">
        <v>3</v>
      </c>
      <c r="E1023">
        <v>16.075537430800001</v>
      </c>
      <c r="F1023">
        <v>16.075487453000001</v>
      </c>
      <c r="G1023">
        <v>15.656417490999999</v>
      </c>
      <c r="H1023">
        <v>15.514470684100001</v>
      </c>
      <c r="I1023">
        <v>16.1207071376</v>
      </c>
      <c r="J1023">
        <v>16.782186361600001</v>
      </c>
      <c r="K1023">
        <v>15.635210392199999</v>
      </c>
      <c r="L1023">
        <v>16.331590627699999</v>
      </c>
      <c r="M1023">
        <v>17.098431427800001</v>
      </c>
      <c r="N1023">
        <v>18.317758129000001</v>
      </c>
      <c r="O1023">
        <v>19.382870429299999</v>
      </c>
      <c r="P1023">
        <v>20.7432655028</v>
      </c>
      <c r="Q1023">
        <v>21.583900827400001</v>
      </c>
      <c r="R1023">
        <v>21.288727887299999</v>
      </c>
      <c r="S1023">
        <v>22.3063529454</v>
      </c>
      <c r="T1023">
        <v>22.0940438517</v>
      </c>
      <c r="U1023">
        <v>21.977109516199999</v>
      </c>
      <c r="V1023">
        <v>21.686549901300001</v>
      </c>
      <c r="W1023">
        <v>25.4031742373</v>
      </c>
      <c r="X1023">
        <v>23.6748341009</v>
      </c>
      <c r="Y1023">
        <v>22.134281057799999</v>
      </c>
      <c r="Z1023">
        <v>19.4301913412</v>
      </c>
      <c r="AA1023">
        <v>18.444095619700001</v>
      </c>
      <c r="AB1023">
        <v>16.7046875542</v>
      </c>
    </row>
    <row r="1024" spans="1:28" hidden="1" x14ac:dyDescent="0.25">
      <c r="A1024" t="s">
        <v>7</v>
      </c>
      <c r="B1024" t="s">
        <v>30</v>
      </c>
      <c r="C1024">
        <v>110</v>
      </c>
      <c r="D1024" t="s">
        <v>4</v>
      </c>
      <c r="E1024">
        <v>0.56239605000000004</v>
      </c>
      <c r="F1024">
        <v>0.519675</v>
      </c>
      <c r="G1024">
        <v>0.49038989999999999</v>
      </c>
      <c r="H1024">
        <v>0.47658600000000001</v>
      </c>
      <c r="I1024">
        <v>0.49342350000000001</v>
      </c>
      <c r="J1024">
        <v>0.56615130000000002</v>
      </c>
      <c r="K1024">
        <v>0.62555190000000005</v>
      </c>
      <c r="L1024">
        <v>0.64515420000000001</v>
      </c>
      <c r="M1024">
        <v>0.65301390000000004</v>
      </c>
      <c r="N1024">
        <v>0.68494454999999999</v>
      </c>
      <c r="O1024">
        <v>0.7171206</v>
      </c>
      <c r="P1024">
        <v>0.75117780000000001</v>
      </c>
      <c r="Q1024">
        <v>0.76961400000000002</v>
      </c>
      <c r="R1024">
        <v>0.74564549999999996</v>
      </c>
      <c r="S1024">
        <v>0.77371875000000001</v>
      </c>
      <c r="T1024">
        <v>0.75233729999999999</v>
      </c>
      <c r="U1024">
        <v>0.74202869999999999</v>
      </c>
      <c r="V1024">
        <v>0.73455599999999999</v>
      </c>
      <c r="W1024">
        <v>0.85328099999999996</v>
      </c>
      <c r="X1024">
        <v>0.87926400000000005</v>
      </c>
      <c r="Y1024">
        <v>0.89676449999999996</v>
      </c>
      <c r="Z1024">
        <v>0.79000740000000003</v>
      </c>
      <c r="AA1024">
        <v>0.7244718</v>
      </c>
      <c r="AB1024">
        <v>0.63213825000000001</v>
      </c>
    </row>
    <row r="1025" spans="1:28" hidden="1" x14ac:dyDescent="0.25">
      <c r="A1025" t="s">
        <v>7</v>
      </c>
      <c r="B1025" t="s">
        <v>31</v>
      </c>
      <c r="C1025">
        <v>115</v>
      </c>
      <c r="D1025" t="s">
        <v>2</v>
      </c>
      <c r="E1025">
        <v>15.985072499999999</v>
      </c>
      <c r="F1025">
        <v>16.44679125</v>
      </c>
      <c r="G1025">
        <v>16.8599298</v>
      </c>
      <c r="H1025">
        <v>16.805557799999999</v>
      </c>
      <c r="I1025">
        <v>17.9777275</v>
      </c>
      <c r="J1025">
        <v>19.513184899999999</v>
      </c>
      <c r="K1025">
        <v>20.482129400000002</v>
      </c>
      <c r="L1025">
        <v>21.1497624</v>
      </c>
      <c r="M1025">
        <v>21.338232300000001</v>
      </c>
      <c r="N1025">
        <v>21.038339199999999</v>
      </c>
      <c r="O1025">
        <v>20.8962234</v>
      </c>
      <c r="P1025">
        <v>20.7839925</v>
      </c>
      <c r="Q1025">
        <v>20.660571999999998</v>
      </c>
      <c r="R1025">
        <v>20.116192049999999</v>
      </c>
      <c r="S1025">
        <v>20.819452500000001</v>
      </c>
      <c r="T1025">
        <v>20.816852099999998</v>
      </c>
      <c r="U1025">
        <v>20.426851200000002</v>
      </c>
      <c r="V1025">
        <v>19.853167500000001</v>
      </c>
      <c r="W1025">
        <v>22.412847599999999</v>
      </c>
      <c r="X1025">
        <v>23.833848</v>
      </c>
      <c r="Y1025">
        <v>22.54413825</v>
      </c>
      <c r="Z1025">
        <v>18.636140900000001</v>
      </c>
      <c r="AA1025">
        <v>17.2234342</v>
      </c>
      <c r="AB1025">
        <v>16.255356500000001</v>
      </c>
    </row>
    <row r="1026" spans="1:28" hidden="1" x14ac:dyDescent="0.25">
      <c r="A1026" t="s">
        <v>7</v>
      </c>
      <c r="B1026" t="s">
        <v>31</v>
      </c>
      <c r="C1026">
        <v>115</v>
      </c>
      <c r="D1026" t="s">
        <v>3</v>
      </c>
      <c r="E1026">
        <v>6.7041165364999999</v>
      </c>
      <c r="F1026">
        <v>7.0483792563999996</v>
      </c>
      <c r="G1026">
        <v>7.1802668676000003</v>
      </c>
      <c r="H1026">
        <v>7.0819053630999997</v>
      </c>
      <c r="I1026">
        <v>7.3421564293000001</v>
      </c>
      <c r="J1026">
        <v>7.7016651239999998</v>
      </c>
      <c r="K1026">
        <v>7.6180376488999997</v>
      </c>
      <c r="L1026">
        <v>8.3994455320999997</v>
      </c>
      <c r="M1026">
        <v>8.9758015790000005</v>
      </c>
      <c r="N1026">
        <v>9.1997287882999998</v>
      </c>
      <c r="O1026">
        <v>9.2262061335999999</v>
      </c>
      <c r="P1026">
        <v>9.4252258687000001</v>
      </c>
      <c r="Q1026">
        <v>9.5236471713000004</v>
      </c>
      <c r="R1026">
        <v>9.2785368190999993</v>
      </c>
      <c r="S1026">
        <v>9.6787287943999996</v>
      </c>
      <c r="T1026">
        <v>9.7099229559999998</v>
      </c>
      <c r="U1026">
        <v>9.5967325522000007</v>
      </c>
      <c r="V1026">
        <v>9.1974150395999992</v>
      </c>
      <c r="W1026">
        <v>9.9435166071999994</v>
      </c>
      <c r="X1026">
        <v>9.7947529853000006</v>
      </c>
      <c r="Y1026">
        <v>8.9440144237000005</v>
      </c>
      <c r="Z1026">
        <v>7.4618287183999996</v>
      </c>
      <c r="AA1026">
        <v>6.9567857673000004</v>
      </c>
      <c r="AB1026">
        <v>6.6732973518999996</v>
      </c>
    </row>
    <row r="1027" spans="1:28" hidden="1" x14ac:dyDescent="0.25">
      <c r="A1027" t="s">
        <v>7</v>
      </c>
      <c r="B1027" t="s">
        <v>31</v>
      </c>
      <c r="C1027">
        <v>115</v>
      </c>
      <c r="D1027" t="s">
        <v>4</v>
      </c>
      <c r="E1027">
        <v>0.24342749999999999</v>
      </c>
      <c r="F1027">
        <v>0.25045875000000001</v>
      </c>
      <c r="G1027">
        <v>0.25675019999999998</v>
      </c>
      <c r="H1027">
        <v>0.25592219999999999</v>
      </c>
      <c r="I1027">
        <v>0.27377249999999997</v>
      </c>
      <c r="J1027">
        <v>0.29715510000000001</v>
      </c>
      <c r="K1027">
        <v>0.31191059999999998</v>
      </c>
      <c r="L1027">
        <v>0.32207760000000002</v>
      </c>
      <c r="M1027">
        <v>0.32494770000000001</v>
      </c>
      <c r="N1027">
        <v>0.32038080000000002</v>
      </c>
      <c r="O1027">
        <v>0.31821660000000002</v>
      </c>
      <c r="P1027">
        <v>0.3165075</v>
      </c>
      <c r="Q1027">
        <v>0.31462800000000002</v>
      </c>
      <c r="R1027">
        <v>0.30633795000000003</v>
      </c>
      <c r="S1027">
        <v>0.31704749999999998</v>
      </c>
      <c r="T1027">
        <v>0.31700790000000001</v>
      </c>
      <c r="U1027">
        <v>0.31106879999999998</v>
      </c>
      <c r="V1027">
        <v>0.3023325</v>
      </c>
      <c r="W1027">
        <v>0.34131240000000002</v>
      </c>
      <c r="X1027">
        <v>0.362952</v>
      </c>
      <c r="Y1027">
        <v>0.34331175000000003</v>
      </c>
      <c r="Z1027">
        <v>0.28379910000000003</v>
      </c>
      <c r="AA1027">
        <v>0.26228580000000001</v>
      </c>
      <c r="AB1027">
        <v>0.2475435</v>
      </c>
    </row>
    <row r="1028" spans="1:28" hidden="1" x14ac:dyDescent="0.25">
      <c r="A1028" t="s">
        <v>7</v>
      </c>
      <c r="B1028" t="s">
        <v>32</v>
      </c>
      <c r="C1028">
        <v>110</v>
      </c>
      <c r="D1028" t="s">
        <v>2</v>
      </c>
      <c r="E1028">
        <v>23.059756199999999</v>
      </c>
      <c r="F1028">
        <v>24.069459999999999</v>
      </c>
      <c r="G1028">
        <v>23.654814399999999</v>
      </c>
      <c r="H1028">
        <v>24.173318399999999</v>
      </c>
      <c r="I1028">
        <v>25.064900999999999</v>
      </c>
      <c r="J1028">
        <v>25.829989900000001</v>
      </c>
      <c r="K1028">
        <v>25.394304699999999</v>
      </c>
      <c r="L1028">
        <v>24.705336599999999</v>
      </c>
      <c r="M1028">
        <v>26.5669866</v>
      </c>
      <c r="N1028">
        <v>28.527530599999999</v>
      </c>
      <c r="O1028">
        <v>29.57321645</v>
      </c>
      <c r="P1028">
        <v>30.344629050000002</v>
      </c>
      <c r="Q1028">
        <v>30.434135999999999</v>
      </c>
      <c r="R1028">
        <v>29.469387600000001</v>
      </c>
      <c r="S1028">
        <v>28.653896249999999</v>
      </c>
      <c r="T1028">
        <v>29.032815899999999</v>
      </c>
      <c r="U1028">
        <v>28.512479800000001</v>
      </c>
      <c r="V1028">
        <v>27.470901399999999</v>
      </c>
      <c r="W1028">
        <v>32.989324500000002</v>
      </c>
      <c r="X1028">
        <v>35.532574799999999</v>
      </c>
      <c r="Y1028">
        <v>33.695864999999998</v>
      </c>
      <c r="Z1028">
        <v>28.232464</v>
      </c>
      <c r="AA1028">
        <v>26.828090400000001</v>
      </c>
      <c r="AB1028">
        <v>25.288594499999999</v>
      </c>
    </row>
    <row r="1029" spans="1:28" hidden="1" x14ac:dyDescent="0.25">
      <c r="A1029" t="s">
        <v>7</v>
      </c>
      <c r="B1029" t="s">
        <v>32</v>
      </c>
      <c r="C1029">
        <v>110</v>
      </c>
      <c r="D1029" t="s">
        <v>3</v>
      </c>
      <c r="E1029">
        <v>12.065714767599999</v>
      </c>
      <c r="F1029">
        <v>12.570213645700001</v>
      </c>
      <c r="G1029">
        <v>12.5346511721</v>
      </c>
      <c r="H1029">
        <v>12.7352724287</v>
      </c>
      <c r="I1029">
        <v>12.935384363900001</v>
      </c>
      <c r="J1029">
        <v>13.091200580200001</v>
      </c>
      <c r="K1029">
        <v>12.6642855247</v>
      </c>
      <c r="L1029">
        <v>13.1453469403</v>
      </c>
      <c r="M1029">
        <v>14.322002060999999</v>
      </c>
      <c r="N1029">
        <v>12.6630457649</v>
      </c>
      <c r="O1029">
        <v>13.214322316500001</v>
      </c>
      <c r="P1029">
        <v>13.199655591999999</v>
      </c>
      <c r="Q1029">
        <v>12.872964596199999</v>
      </c>
      <c r="R1029">
        <v>12.553906547</v>
      </c>
      <c r="S1029">
        <v>12.3786199793</v>
      </c>
      <c r="T1029">
        <v>12.5423150772</v>
      </c>
      <c r="U1029">
        <v>12.317527397799999</v>
      </c>
      <c r="V1029">
        <v>11.452655936999999</v>
      </c>
      <c r="W1029">
        <v>13.347378494999999</v>
      </c>
      <c r="X1029">
        <v>18.343382045599999</v>
      </c>
      <c r="Y1029">
        <v>17.744663215300001</v>
      </c>
      <c r="Z1029">
        <v>14.731134153999999</v>
      </c>
      <c r="AA1029">
        <v>13.3920811335</v>
      </c>
      <c r="AB1029">
        <v>12.5662496323</v>
      </c>
    </row>
    <row r="1030" spans="1:28" hidden="1" x14ac:dyDescent="0.25">
      <c r="A1030" t="s">
        <v>7</v>
      </c>
      <c r="B1030" t="s">
        <v>32</v>
      </c>
      <c r="C1030">
        <v>110</v>
      </c>
      <c r="D1030" t="s">
        <v>4</v>
      </c>
      <c r="E1030">
        <v>0.35116380000000003</v>
      </c>
      <c r="F1030">
        <v>0.36653999999999998</v>
      </c>
      <c r="G1030">
        <v>0.36022559999999998</v>
      </c>
      <c r="H1030">
        <v>0.36812159999999999</v>
      </c>
      <c r="I1030">
        <v>0.38169900000000001</v>
      </c>
      <c r="J1030">
        <v>0.39335009999999998</v>
      </c>
      <c r="K1030">
        <v>0.38671529999999998</v>
      </c>
      <c r="L1030">
        <v>0.37622339999999999</v>
      </c>
      <c r="M1030">
        <v>0.40457340000000003</v>
      </c>
      <c r="N1030">
        <v>0.43442940000000002</v>
      </c>
      <c r="O1030">
        <v>0.45035354999999999</v>
      </c>
      <c r="P1030">
        <v>0.46210095000000001</v>
      </c>
      <c r="Q1030">
        <v>0.46346399999999999</v>
      </c>
      <c r="R1030">
        <v>0.44877240000000002</v>
      </c>
      <c r="S1030">
        <v>0.43635374999999998</v>
      </c>
      <c r="T1030">
        <v>0.44212410000000002</v>
      </c>
      <c r="U1030">
        <v>0.43420019999999998</v>
      </c>
      <c r="V1030">
        <v>0.4183386</v>
      </c>
      <c r="W1030">
        <v>0.50237549999999997</v>
      </c>
      <c r="X1030">
        <v>0.54110519999999995</v>
      </c>
      <c r="Y1030">
        <v>0.51313500000000001</v>
      </c>
      <c r="Z1030">
        <v>0.42993599999999998</v>
      </c>
      <c r="AA1030">
        <v>0.40854960000000001</v>
      </c>
      <c r="AB1030">
        <v>0.38510549999999999</v>
      </c>
    </row>
    <row r="1031" spans="1:28" hidden="1" x14ac:dyDescent="0.25">
      <c r="A1031" t="s">
        <v>7</v>
      </c>
      <c r="B1031" t="s">
        <v>33</v>
      </c>
      <c r="C1031">
        <v>110</v>
      </c>
      <c r="D1031" t="s">
        <v>2</v>
      </c>
      <c r="E1031">
        <v>21.523126649999998</v>
      </c>
      <c r="F1031">
        <v>20.7780825</v>
      </c>
      <c r="G1031">
        <v>20.0223905</v>
      </c>
      <c r="H1031">
        <v>19.9449498</v>
      </c>
      <c r="I1031">
        <v>20.928984499999999</v>
      </c>
      <c r="J1031">
        <v>23.797127199999998</v>
      </c>
      <c r="K1031">
        <v>28.096632499999998</v>
      </c>
      <c r="L1031">
        <v>30.5963064</v>
      </c>
      <c r="M1031">
        <v>32.546606400000002</v>
      </c>
      <c r="N1031">
        <v>34.787579899999997</v>
      </c>
      <c r="O1031">
        <v>36.002823650000003</v>
      </c>
      <c r="P1031">
        <v>37.195648800000001</v>
      </c>
      <c r="Q1031">
        <v>37.640593000000003</v>
      </c>
      <c r="R1031">
        <v>37.3521456</v>
      </c>
      <c r="S1031">
        <v>37.853549999999998</v>
      </c>
      <c r="T1031">
        <v>37.310322499999998</v>
      </c>
      <c r="U1031">
        <v>36.750093900000003</v>
      </c>
      <c r="V1031">
        <v>35.750407549999998</v>
      </c>
      <c r="W1031">
        <v>40.266868950000003</v>
      </c>
      <c r="X1031">
        <v>40.114716000000001</v>
      </c>
      <c r="Y1031">
        <v>38.252829599999998</v>
      </c>
      <c r="Z1031">
        <v>31.259309900000002</v>
      </c>
      <c r="AA1031">
        <v>28.152009199999998</v>
      </c>
      <c r="AB1031">
        <v>24.528371499999999</v>
      </c>
    </row>
    <row r="1032" spans="1:28" hidden="1" x14ac:dyDescent="0.25">
      <c r="A1032" t="s">
        <v>7</v>
      </c>
      <c r="B1032" t="s">
        <v>33</v>
      </c>
      <c r="C1032">
        <v>110</v>
      </c>
      <c r="D1032" t="s">
        <v>3</v>
      </c>
      <c r="E1032">
        <v>8.9579129940000009</v>
      </c>
      <c r="F1032">
        <v>9.1001256305999991</v>
      </c>
      <c r="G1032">
        <v>8.7209074098000006</v>
      </c>
      <c r="H1032">
        <v>8.8232983963000002</v>
      </c>
      <c r="I1032">
        <v>9.3142044668999997</v>
      </c>
      <c r="J1032">
        <v>9.700446522</v>
      </c>
      <c r="K1032">
        <v>10.358138674699999</v>
      </c>
      <c r="L1032">
        <v>11.4108075763</v>
      </c>
      <c r="M1032">
        <v>12.587082585099999</v>
      </c>
      <c r="N1032">
        <v>14.0079351072</v>
      </c>
      <c r="O1032">
        <v>14.770236020800001</v>
      </c>
      <c r="P1032">
        <v>15.4717203554</v>
      </c>
      <c r="Q1032">
        <v>15.876677623499999</v>
      </c>
      <c r="R1032">
        <v>15.731227582700001</v>
      </c>
      <c r="S1032">
        <v>16.092433844999999</v>
      </c>
      <c r="T1032">
        <v>15.9121211855</v>
      </c>
      <c r="U1032">
        <v>15.5711536529</v>
      </c>
      <c r="V1032">
        <v>14.957776812400001</v>
      </c>
      <c r="W1032">
        <v>16.754129544400001</v>
      </c>
      <c r="X1032">
        <v>14.801909183899999</v>
      </c>
      <c r="Y1032">
        <v>13.702965735899999</v>
      </c>
      <c r="Z1032">
        <v>11.268711832299999</v>
      </c>
      <c r="AA1032">
        <v>10.255124675099999</v>
      </c>
      <c r="AB1032">
        <v>9.2362707801999999</v>
      </c>
    </row>
    <row r="1033" spans="1:28" hidden="1" x14ac:dyDescent="0.25">
      <c r="A1033" t="s">
        <v>7</v>
      </c>
      <c r="B1033" t="s">
        <v>33</v>
      </c>
      <c r="C1033">
        <v>110</v>
      </c>
      <c r="D1033" t="s">
        <v>4</v>
      </c>
      <c r="E1033">
        <v>0.32776335000000001</v>
      </c>
      <c r="F1033">
        <v>0.31641750000000002</v>
      </c>
      <c r="G1033">
        <v>0.3049095</v>
      </c>
      <c r="H1033">
        <v>0.30373020000000001</v>
      </c>
      <c r="I1033">
        <v>0.31871549999999998</v>
      </c>
      <c r="J1033">
        <v>0.36239280000000001</v>
      </c>
      <c r="K1033">
        <v>0.42786750000000001</v>
      </c>
      <c r="L1033">
        <v>0.4659336</v>
      </c>
      <c r="M1033">
        <v>0.49563360000000001</v>
      </c>
      <c r="N1033">
        <v>0.52976009999999996</v>
      </c>
      <c r="O1033">
        <v>0.54826635000000001</v>
      </c>
      <c r="P1033">
        <v>0.56643120000000002</v>
      </c>
      <c r="Q1033">
        <v>0.57320700000000002</v>
      </c>
      <c r="R1033">
        <v>0.56881440000000005</v>
      </c>
      <c r="S1033">
        <v>0.57645000000000002</v>
      </c>
      <c r="T1033">
        <v>0.5681775</v>
      </c>
      <c r="U1033">
        <v>0.55964610000000004</v>
      </c>
      <c r="V1033">
        <v>0.54442245</v>
      </c>
      <c r="W1033">
        <v>0.61320105000000003</v>
      </c>
      <c r="X1033">
        <v>0.61088399999999998</v>
      </c>
      <c r="Y1033">
        <v>0.5825304</v>
      </c>
      <c r="Z1033">
        <v>0.47603010000000001</v>
      </c>
      <c r="AA1033">
        <v>0.4287108</v>
      </c>
      <c r="AB1033">
        <v>0.37352849999999999</v>
      </c>
    </row>
    <row r="1034" spans="1:28" hidden="1" x14ac:dyDescent="0.25">
      <c r="A1034" t="s">
        <v>7</v>
      </c>
      <c r="B1034" t="s">
        <v>34</v>
      </c>
      <c r="C1034">
        <v>110</v>
      </c>
      <c r="D1034" t="s">
        <v>2</v>
      </c>
      <c r="E1034">
        <v>22.410040349999999</v>
      </c>
      <c r="F1034">
        <v>21.330836250000001</v>
      </c>
      <c r="G1034">
        <v>20.6660696</v>
      </c>
      <c r="H1034">
        <v>20.521905</v>
      </c>
      <c r="I1034">
        <v>21.684106499999999</v>
      </c>
      <c r="J1034">
        <v>25.026032900000001</v>
      </c>
      <c r="K1034">
        <v>28.7280175</v>
      </c>
      <c r="L1034">
        <v>30.989912400000001</v>
      </c>
      <c r="M1034">
        <v>32.724083700000001</v>
      </c>
      <c r="N1034">
        <v>34.230178250000002</v>
      </c>
      <c r="O1034">
        <v>35.124706000000003</v>
      </c>
      <c r="P1034">
        <v>36.318102449999998</v>
      </c>
      <c r="Q1034">
        <v>36.712722999999997</v>
      </c>
      <c r="R1034">
        <v>36.457755749999997</v>
      </c>
      <c r="S1034">
        <v>37.124403749999999</v>
      </c>
      <c r="T1034">
        <v>36.387180499999999</v>
      </c>
      <c r="U1034">
        <v>35.944570749999997</v>
      </c>
      <c r="V1034">
        <v>34.882750600000001</v>
      </c>
      <c r="W1034">
        <v>39.056707799999998</v>
      </c>
      <c r="X1034">
        <v>38.285216400000003</v>
      </c>
      <c r="Y1034">
        <v>37.113588450000002</v>
      </c>
      <c r="Z1034">
        <v>31.150723500000002</v>
      </c>
      <c r="AA1034">
        <v>28.751519600000002</v>
      </c>
      <c r="AB1034">
        <v>25.433931250000001</v>
      </c>
    </row>
    <row r="1035" spans="1:28" hidden="1" x14ac:dyDescent="0.25">
      <c r="A1035" t="s">
        <v>7</v>
      </c>
      <c r="B1035" t="s">
        <v>34</v>
      </c>
      <c r="C1035">
        <v>110</v>
      </c>
      <c r="D1035" t="s">
        <v>3</v>
      </c>
      <c r="E1035">
        <v>9.3270459683000002</v>
      </c>
      <c r="F1035">
        <v>9.3422138294000003</v>
      </c>
      <c r="G1035">
        <v>9.0012668320000007</v>
      </c>
      <c r="H1035">
        <v>9.0785333275000006</v>
      </c>
      <c r="I1035">
        <v>9.6502628507000008</v>
      </c>
      <c r="J1035">
        <v>10.2013865692</v>
      </c>
      <c r="K1035">
        <v>10.590905835999999</v>
      </c>
      <c r="L1035">
        <v>11.5576018418</v>
      </c>
      <c r="M1035">
        <v>12.655720199799999</v>
      </c>
      <c r="N1035">
        <v>13.783485859400001</v>
      </c>
      <c r="O1035">
        <v>14.4099863618</v>
      </c>
      <c r="P1035">
        <v>15.106700462899999</v>
      </c>
      <c r="Q1035">
        <v>15.4853051266</v>
      </c>
      <c r="R1035">
        <v>15.3545464027</v>
      </c>
      <c r="S1035">
        <v>15.782456635699999</v>
      </c>
      <c r="T1035">
        <v>15.518419218</v>
      </c>
      <c r="U1035">
        <v>15.229850450400001</v>
      </c>
      <c r="V1035">
        <v>14.5947538457</v>
      </c>
      <c r="W1035">
        <v>16.250608977500001</v>
      </c>
      <c r="X1035">
        <v>14.1268430328</v>
      </c>
      <c r="Y1035">
        <v>13.2948656658</v>
      </c>
      <c r="Z1035">
        <v>11.229567371</v>
      </c>
      <c r="AA1035">
        <v>10.473512423200001</v>
      </c>
      <c r="AB1035">
        <v>9.5772634572000008</v>
      </c>
    </row>
    <row r="1036" spans="1:28" hidden="1" x14ac:dyDescent="0.25">
      <c r="A1036" t="s">
        <v>7</v>
      </c>
      <c r="B1036" t="s">
        <v>34</v>
      </c>
      <c r="C1036">
        <v>110</v>
      </c>
      <c r="D1036" t="s">
        <v>4</v>
      </c>
      <c r="E1036">
        <v>0.34126964999999998</v>
      </c>
      <c r="F1036">
        <v>0.32483506969999998</v>
      </c>
      <c r="G1036">
        <v>0.3147117197</v>
      </c>
      <c r="H1036">
        <v>0.31251631969999999</v>
      </c>
      <c r="I1036">
        <v>0.3302148197</v>
      </c>
      <c r="J1036">
        <v>0.38110709999999998</v>
      </c>
      <c r="K1036">
        <v>0.4374825</v>
      </c>
      <c r="L1036">
        <v>0.4719276</v>
      </c>
      <c r="M1036">
        <v>0.49833630000000001</v>
      </c>
      <c r="N1036">
        <v>0.52127175000000003</v>
      </c>
      <c r="O1036">
        <v>0.53489399999999998</v>
      </c>
      <c r="P1036">
        <v>0.55306754999999996</v>
      </c>
      <c r="Q1036">
        <v>0.55907700000000005</v>
      </c>
      <c r="R1036">
        <v>0.55519425</v>
      </c>
      <c r="S1036">
        <v>0.56534625000000005</v>
      </c>
      <c r="T1036">
        <v>0.55411949999999999</v>
      </c>
      <c r="U1036">
        <v>0.54737924999999998</v>
      </c>
      <c r="V1036">
        <v>0.53120940000000005</v>
      </c>
      <c r="W1036">
        <v>0.59477219999999997</v>
      </c>
      <c r="X1036">
        <v>0.58302359999999998</v>
      </c>
      <c r="Y1036">
        <v>0.56518155000000003</v>
      </c>
      <c r="Z1036">
        <v>0.47437649999999998</v>
      </c>
      <c r="AA1036">
        <v>0.43784040000000002</v>
      </c>
      <c r="AB1036">
        <v>0.38731874999999999</v>
      </c>
    </row>
    <row r="1037" spans="1:28" hidden="1" x14ac:dyDescent="0.25">
      <c r="A1037" t="s">
        <v>7</v>
      </c>
      <c r="B1037" t="s">
        <v>35</v>
      </c>
      <c r="C1037">
        <v>46</v>
      </c>
      <c r="D1037" t="s">
        <v>2</v>
      </c>
      <c r="E1037">
        <v>9.4348311000000002</v>
      </c>
      <c r="F1037">
        <v>9.3757774999999999</v>
      </c>
      <c r="G1037">
        <v>9.593591</v>
      </c>
      <c r="H1037">
        <v>9.8834076</v>
      </c>
      <c r="I1037">
        <v>10.601906</v>
      </c>
      <c r="J1037">
        <v>11.7965386</v>
      </c>
      <c r="K1037">
        <v>13.8903418</v>
      </c>
      <c r="L1037">
        <v>15.1556292</v>
      </c>
      <c r="M1037">
        <v>15.447385799999999</v>
      </c>
      <c r="N1037">
        <v>15.2991989</v>
      </c>
      <c r="O1037">
        <v>16.869861700000001</v>
      </c>
      <c r="P1037">
        <v>17.890097999999998</v>
      </c>
      <c r="Q1037">
        <v>17.300144</v>
      </c>
      <c r="R1037">
        <v>17.8691751</v>
      </c>
      <c r="S1037">
        <v>17.339962499999999</v>
      </c>
      <c r="T1037">
        <v>18.3634968</v>
      </c>
      <c r="U1037">
        <v>16.8828888</v>
      </c>
      <c r="V1037">
        <v>15.944792100000001</v>
      </c>
      <c r="W1037">
        <v>17.337256199999999</v>
      </c>
      <c r="X1037">
        <v>15.884176800000001</v>
      </c>
      <c r="Y1037">
        <v>15.532677899999999</v>
      </c>
      <c r="Z1037">
        <v>13.3666</v>
      </c>
      <c r="AA1037">
        <v>9.7904815999999997</v>
      </c>
      <c r="AB1037">
        <v>7.9708779999999999</v>
      </c>
    </row>
    <row r="1038" spans="1:28" hidden="1" x14ac:dyDescent="0.25">
      <c r="A1038" t="s">
        <v>7</v>
      </c>
      <c r="B1038" t="s">
        <v>35</v>
      </c>
      <c r="C1038">
        <v>46</v>
      </c>
      <c r="D1038" t="s">
        <v>3</v>
      </c>
      <c r="E1038">
        <v>2.8410382861999999</v>
      </c>
      <c r="F1038">
        <v>2.9378575854000002</v>
      </c>
      <c r="G1038">
        <v>3.0004669529000001</v>
      </c>
      <c r="H1038">
        <v>3.1614085647999999</v>
      </c>
      <c r="I1038">
        <v>3.2335794003</v>
      </c>
      <c r="J1038">
        <v>3.5868800682000002</v>
      </c>
      <c r="K1038">
        <v>4.2713142416999998</v>
      </c>
      <c r="L1038">
        <v>4.8670007263999997</v>
      </c>
      <c r="M1038">
        <v>4.9946073009000003</v>
      </c>
      <c r="N1038">
        <v>4.8799065887999999</v>
      </c>
      <c r="O1038">
        <v>5.4466588815000003</v>
      </c>
      <c r="P1038">
        <v>5.8330788398999998</v>
      </c>
      <c r="Q1038">
        <v>5.7389063211</v>
      </c>
      <c r="R1038">
        <v>5.9062217297000004</v>
      </c>
      <c r="S1038">
        <v>5.7061357614999997</v>
      </c>
      <c r="T1038">
        <v>6.1039403492000002</v>
      </c>
      <c r="U1038">
        <v>5.7039877836999997</v>
      </c>
      <c r="V1038">
        <v>5.2124549730999998</v>
      </c>
      <c r="W1038">
        <v>5.7291831586999997</v>
      </c>
      <c r="X1038">
        <v>5.0532359306999997</v>
      </c>
      <c r="Y1038">
        <v>5.0555654747999998</v>
      </c>
      <c r="Z1038">
        <v>4.3739112029999996</v>
      </c>
      <c r="AA1038">
        <v>3.0968289628000001</v>
      </c>
      <c r="AB1038">
        <v>2.4032230918000002</v>
      </c>
    </row>
    <row r="1039" spans="1:28" hidden="1" x14ac:dyDescent="0.25">
      <c r="A1039" t="s">
        <v>7</v>
      </c>
      <c r="B1039" t="s">
        <v>35</v>
      </c>
      <c r="C1039">
        <v>46</v>
      </c>
      <c r="D1039" t="s">
        <v>4</v>
      </c>
      <c r="E1039">
        <v>0.29179890000000003</v>
      </c>
      <c r="F1039">
        <v>0.28997250000000002</v>
      </c>
      <c r="G1039">
        <v>0.296709</v>
      </c>
      <c r="H1039">
        <v>0.30567240000000001</v>
      </c>
      <c r="I1039">
        <v>0.32789400000000002</v>
      </c>
      <c r="J1039">
        <v>0.36484139999999998</v>
      </c>
      <c r="K1039">
        <v>0.42959819999999999</v>
      </c>
      <c r="L1039">
        <v>0.4687308</v>
      </c>
      <c r="M1039">
        <v>0.47775420000000002</v>
      </c>
      <c r="N1039">
        <v>0.47317110000000001</v>
      </c>
      <c r="O1039">
        <v>0.52174830000000005</v>
      </c>
      <c r="P1039">
        <v>0.55330199999999996</v>
      </c>
      <c r="Q1039">
        <v>0.53505599999999998</v>
      </c>
      <c r="R1039">
        <v>0.55265489999999995</v>
      </c>
      <c r="S1039">
        <v>0.53628750000000003</v>
      </c>
      <c r="T1039">
        <v>0.56794319999999998</v>
      </c>
      <c r="U1039">
        <v>0.52215120000000004</v>
      </c>
      <c r="V1039">
        <v>0.49313790000000002</v>
      </c>
      <c r="W1039">
        <v>0.53620380000000001</v>
      </c>
      <c r="X1039">
        <v>0.49126320000000001</v>
      </c>
      <c r="Y1039">
        <v>0.48039209999999999</v>
      </c>
      <c r="Z1039">
        <v>0.41339999999999999</v>
      </c>
      <c r="AA1039">
        <v>0.30279840000000002</v>
      </c>
      <c r="AB1039">
        <v>0.24652199999999999</v>
      </c>
    </row>
    <row r="1040" spans="1:28" hidden="1" x14ac:dyDescent="0.25">
      <c r="A1040" t="s">
        <v>7</v>
      </c>
      <c r="B1040" t="s">
        <v>36</v>
      </c>
      <c r="C1040">
        <v>110</v>
      </c>
      <c r="D1040" t="s">
        <v>2</v>
      </c>
      <c r="E1040">
        <v>22.358475599999998</v>
      </c>
      <c r="F1040">
        <v>22.686273750000002</v>
      </c>
      <c r="G1040">
        <v>22.4603246</v>
      </c>
      <c r="H1040">
        <v>22.996046400000001</v>
      </c>
      <c r="I1040">
        <v>24.555705249999999</v>
      </c>
      <c r="J1040">
        <v>26.220483300000001</v>
      </c>
      <c r="K1040">
        <v>26.8086071</v>
      </c>
      <c r="L1040">
        <v>28.064107799999999</v>
      </c>
      <c r="M1040">
        <v>30.689920799999999</v>
      </c>
      <c r="N1040">
        <v>31.943402249999998</v>
      </c>
      <c r="O1040">
        <v>32.743369999999999</v>
      </c>
      <c r="P1040">
        <v>33.177410250000001</v>
      </c>
      <c r="Q1040">
        <v>32.583701499999997</v>
      </c>
      <c r="R1040">
        <v>31.379440500000001</v>
      </c>
      <c r="S1040">
        <v>34.254359999999998</v>
      </c>
      <c r="T1040">
        <v>33.140797800000001</v>
      </c>
      <c r="U1040">
        <v>32.844066550000001</v>
      </c>
      <c r="V1040">
        <v>29.117978999999998</v>
      </c>
      <c r="W1040">
        <v>33.83477955</v>
      </c>
      <c r="X1040">
        <v>34.575864000000003</v>
      </c>
      <c r="Y1040">
        <v>33.80818455</v>
      </c>
      <c r="Z1040">
        <v>28.965422199999999</v>
      </c>
      <c r="AA1040">
        <v>25.953804399999999</v>
      </c>
      <c r="AB1040">
        <v>24.930842500000001</v>
      </c>
    </row>
    <row r="1041" spans="1:28" hidden="1" x14ac:dyDescent="0.25">
      <c r="A1041" t="s">
        <v>7</v>
      </c>
      <c r="B1041" t="s">
        <v>36</v>
      </c>
      <c r="C1041">
        <v>110</v>
      </c>
      <c r="D1041" t="s">
        <v>3</v>
      </c>
      <c r="E1041">
        <v>9.8896785247000008</v>
      </c>
      <c r="F1041">
        <v>10.4495235083</v>
      </c>
      <c r="G1041">
        <v>10.3682141336</v>
      </c>
      <c r="H1041">
        <v>10.5067587168</v>
      </c>
      <c r="I1041">
        <v>10.9788249064</v>
      </c>
      <c r="J1041">
        <v>11.302253519800001</v>
      </c>
      <c r="K1041">
        <v>10.767491893300001</v>
      </c>
      <c r="L1041">
        <v>11.7247762793</v>
      </c>
      <c r="M1041">
        <v>13.738561644200001</v>
      </c>
      <c r="N1041">
        <v>14.581742502699999</v>
      </c>
      <c r="O1041">
        <v>14.742335583899999</v>
      </c>
      <c r="P1041">
        <v>15.190393437000001</v>
      </c>
      <c r="Q1041">
        <v>15.2369714293</v>
      </c>
      <c r="R1041">
        <v>14.175086567999999</v>
      </c>
      <c r="S1041">
        <v>15.317095351800001</v>
      </c>
      <c r="T1041">
        <v>15.3273352441</v>
      </c>
      <c r="U1041">
        <v>15.367227661999999</v>
      </c>
      <c r="V1041">
        <v>13.378264402299999</v>
      </c>
      <c r="W1041">
        <v>15.128482077799999</v>
      </c>
      <c r="X1041">
        <v>14.3397312074</v>
      </c>
      <c r="Y1041">
        <v>13.821963325500001</v>
      </c>
      <c r="Z1041">
        <v>11.9098574208</v>
      </c>
      <c r="AA1041">
        <v>10.7511750687</v>
      </c>
      <c r="AB1041">
        <v>10.9255643698</v>
      </c>
    </row>
    <row r="1042" spans="1:28" hidden="1" x14ac:dyDescent="0.25">
      <c r="A1042" t="s">
        <v>7</v>
      </c>
      <c r="B1042" t="s">
        <v>36</v>
      </c>
      <c r="C1042">
        <v>110</v>
      </c>
      <c r="D1042" t="s">
        <v>4</v>
      </c>
      <c r="E1042">
        <v>0.34048440000000002</v>
      </c>
      <c r="F1042">
        <v>0.34547624999999998</v>
      </c>
      <c r="G1042">
        <v>0.34203539999999999</v>
      </c>
      <c r="H1042">
        <v>0.35019359999999999</v>
      </c>
      <c r="I1042">
        <v>0.37394474999999999</v>
      </c>
      <c r="J1042">
        <v>0.3992967</v>
      </c>
      <c r="K1042">
        <v>0.40825289999999997</v>
      </c>
      <c r="L1042">
        <v>0.42737219999999998</v>
      </c>
      <c r="M1042">
        <v>0.46735919999999997</v>
      </c>
      <c r="N1042">
        <v>0.48644775000000001</v>
      </c>
      <c r="O1042">
        <v>0.49863000000000002</v>
      </c>
      <c r="P1042">
        <v>0.50523974999999999</v>
      </c>
      <c r="Q1042">
        <v>0.49619849999999999</v>
      </c>
      <c r="R1042">
        <v>0.47785949999999999</v>
      </c>
      <c r="S1042">
        <v>0.52163999999999999</v>
      </c>
      <c r="T1042">
        <v>0.50468219999999997</v>
      </c>
      <c r="U1042">
        <v>0.50016344999999995</v>
      </c>
      <c r="V1042">
        <v>0.44342100000000001</v>
      </c>
      <c r="W1042">
        <v>0.51525045000000003</v>
      </c>
      <c r="X1042">
        <v>0.526536</v>
      </c>
      <c r="Y1042">
        <v>0.51484545000000004</v>
      </c>
      <c r="Z1042">
        <v>0.44109779999999998</v>
      </c>
      <c r="AA1042">
        <v>0.39523560000000002</v>
      </c>
      <c r="AB1042">
        <v>0.37965749999999998</v>
      </c>
    </row>
    <row r="1043" spans="1:28" hidden="1" x14ac:dyDescent="0.25">
      <c r="A1043" t="s">
        <v>7</v>
      </c>
      <c r="B1043" t="s">
        <v>37</v>
      </c>
      <c r="C1043">
        <v>220</v>
      </c>
      <c r="D1043" t="s">
        <v>2</v>
      </c>
      <c r="E1043">
        <v>1.02606</v>
      </c>
      <c r="F1043">
        <v>0.85075000000000001</v>
      </c>
      <c r="G1043">
        <v>0.80513999999999997</v>
      </c>
      <c r="H1043">
        <v>0.80676000000000003</v>
      </c>
      <c r="I1043">
        <v>0.97060000000000002</v>
      </c>
      <c r="J1043">
        <v>1.43418</v>
      </c>
      <c r="K1043">
        <v>2.8845000000000001</v>
      </c>
      <c r="L1043">
        <v>2.7039599999999999</v>
      </c>
      <c r="M1043">
        <v>2.7027000000000001</v>
      </c>
      <c r="N1043">
        <v>2.4376799999999998</v>
      </c>
      <c r="O1043">
        <v>2.7046899999999998</v>
      </c>
      <c r="P1043">
        <v>3.0165899999999999</v>
      </c>
      <c r="Q1043">
        <v>3.1086</v>
      </c>
      <c r="R1043">
        <v>2.6778599999999999</v>
      </c>
      <c r="S1043">
        <v>2.6302500000000002</v>
      </c>
      <c r="T1043">
        <v>2.5148199999999998</v>
      </c>
      <c r="U1043">
        <v>2.4379400000000002</v>
      </c>
      <c r="V1043">
        <v>2.47838</v>
      </c>
      <c r="W1043">
        <v>3.0798899999999998</v>
      </c>
      <c r="X1043">
        <v>3.9192</v>
      </c>
      <c r="Y1043">
        <v>3.68154</v>
      </c>
      <c r="Z1043">
        <v>2.4666199999999998</v>
      </c>
      <c r="AA1043">
        <v>1.7751999999999999</v>
      </c>
      <c r="AB1043">
        <v>1.30525</v>
      </c>
    </row>
    <row r="1044" spans="1:28" hidden="1" x14ac:dyDescent="0.25">
      <c r="A1044" t="s">
        <v>7</v>
      </c>
      <c r="B1044" t="s">
        <v>37</v>
      </c>
      <c r="C1044">
        <v>220</v>
      </c>
      <c r="D1044" t="s">
        <v>3</v>
      </c>
      <c r="E1044">
        <v>0.2661765177</v>
      </c>
      <c r="F1044">
        <v>0.2126968169</v>
      </c>
      <c r="G1044">
        <v>0.19252941530000001</v>
      </c>
      <c r="H1044">
        <v>0.16716658130000001</v>
      </c>
      <c r="I1044">
        <v>0.2018625825</v>
      </c>
      <c r="J1044">
        <v>0.64041875670000004</v>
      </c>
      <c r="K1044">
        <v>0.77392407409999997</v>
      </c>
      <c r="L1044">
        <v>0.88211043200000006</v>
      </c>
      <c r="M1044">
        <v>0.97933449900000002</v>
      </c>
      <c r="N1044">
        <v>1.0027626437999999</v>
      </c>
      <c r="O1044">
        <v>1.1468867149999999</v>
      </c>
      <c r="P1044">
        <v>1.2541210327000001</v>
      </c>
      <c r="Q1044">
        <v>1.2776051755</v>
      </c>
      <c r="R1044">
        <v>1.1994710564</v>
      </c>
      <c r="S1044">
        <v>1.2231529463999999</v>
      </c>
      <c r="T1044">
        <v>1.3163992787000001</v>
      </c>
      <c r="U1044">
        <v>1.2576901548999999</v>
      </c>
      <c r="V1044">
        <v>1.2108438385</v>
      </c>
      <c r="W1044">
        <v>1.3909234538999999</v>
      </c>
      <c r="X1044">
        <v>1.3525642543</v>
      </c>
      <c r="Y1044">
        <v>1.1646428576000001</v>
      </c>
      <c r="Z1044">
        <v>0.86907347359999998</v>
      </c>
      <c r="AA1044">
        <v>0.74219351690000002</v>
      </c>
      <c r="AB1044">
        <v>0.33002615689999998</v>
      </c>
    </row>
    <row r="1045" spans="1:28" hidden="1" x14ac:dyDescent="0.25">
      <c r="A1045" t="s">
        <v>7</v>
      </c>
      <c r="B1045" t="s">
        <v>37</v>
      </c>
      <c r="C1045">
        <v>220</v>
      </c>
      <c r="D1045" t="s">
        <v>4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</row>
    <row r="1046" spans="1:28" hidden="1" x14ac:dyDescent="0.25">
      <c r="A1046" t="s">
        <v>7</v>
      </c>
      <c r="B1046" t="s">
        <v>38</v>
      </c>
      <c r="C1046">
        <v>110</v>
      </c>
      <c r="D1046" t="s">
        <v>2</v>
      </c>
      <c r="E1046">
        <v>1.3819353000000001</v>
      </c>
      <c r="F1046">
        <v>1.3528975000000001</v>
      </c>
      <c r="G1046">
        <v>1.3511442</v>
      </c>
      <c r="H1046">
        <v>1.3636733999999999</v>
      </c>
      <c r="I1046">
        <v>1.4756285</v>
      </c>
      <c r="J1046">
        <v>1.5275183000000001</v>
      </c>
      <c r="K1046">
        <v>1.6163456</v>
      </c>
      <c r="L1046">
        <v>1.9286694</v>
      </c>
      <c r="M1046">
        <v>1.8839897999999999</v>
      </c>
      <c r="N1046">
        <v>1.9151749</v>
      </c>
      <c r="O1046">
        <v>1.9199521500000001</v>
      </c>
      <c r="P1046">
        <v>1.9706303999999999</v>
      </c>
      <c r="Q1046">
        <v>1.9639914999999999</v>
      </c>
      <c r="R1046">
        <v>2.0010078</v>
      </c>
      <c r="S1046">
        <v>1.98576</v>
      </c>
      <c r="T1046">
        <v>1.8770553999999999</v>
      </c>
      <c r="U1046">
        <v>1.83902455</v>
      </c>
      <c r="V1046">
        <v>1.8235501999999999</v>
      </c>
      <c r="W1046">
        <v>2.1219264</v>
      </c>
      <c r="X1046">
        <v>2.4840911999999999</v>
      </c>
      <c r="Y1046">
        <v>2.4228931500000002</v>
      </c>
      <c r="Z1046">
        <v>2.1581546999999999</v>
      </c>
      <c r="AA1046">
        <v>1.9733883999999999</v>
      </c>
      <c r="AB1046">
        <v>1.7105017499999999</v>
      </c>
    </row>
    <row r="1047" spans="1:28" hidden="1" x14ac:dyDescent="0.25">
      <c r="A1047" t="s">
        <v>7</v>
      </c>
      <c r="B1047" t="s">
        <v>38</v>
      </c>
      <c r="C1047">
        <v>110</v>
      </c>
      <c r="D1047" t="s">
        <v>3</v>
      </c>
      <c r="E1047">
        <v>0.65565918050000005</v>
      </c>
      <c r="F1047">
        <v>0.60256978559999996</v>
      </c>
      <c r="G1047">
        <v>0.60178887969999995</v>
      </c>
      <c r="H1047">
        <v>0.60736928580000005</v>
      </c>
      <c r="I1047">
        <v>0.65723319680000003</v>
      </c>
      <c r="J1047">
        <v>0.68034450099999999</v>
      </c>
      <c r="K1047">
        <v>0.61188392400000002</v>
      </c>
      <c r="L1047">
        <v>0.5379726588</v>
      </c>
      <c r="M1047">
        <v>0.56745390520000005</v>
      </c>
      <c r="N1047">
        <v>0.62355510010000004</v>
      </c>
      <c r="O1047">
        <v>0.73669580700000004</v>
      </c>
      <c r="P1047">
        <v>0.71557013199999997</v>
      </c>
      <c r="Q1047">
        <v>0.72977312559999996</v>
      </c>
      <c r="R1047">
        <v>0.70867153429999996</v>
      </c>
      <c r="S1047">
        <v>0.72704037960000001</v>
      </c>
      <c r="T1047">
        <v>0.72939749929999997</v>
      </c>
      <c r="U1047">
        <v>0.72283087690000003</v>
      </c>
      <c r="V1047">
        <v>0.71674866449999997</v>
      </c>
      <c r="W1047">
        <v>0.8340257995</v>
      </c>
      <c r="X1047">
        <v>0.81604047359999998</v>
      </c>
      <c r="Y1047">
        <v>0.7557263192</v>
      </c>
      <c r="Z1047">
        <v>0.6731515616</v>
      </c>
      <c r="AA1047">
        <v>0.67431616090000002</v>
      </c>
      <c r="AB1047">
        <v>0.67231483120000002</v>
      </c>
    </row>
    <row r="1048" spans="1:28" hidden="1" x14ac:dyDescent="0.25">
      <c r="A1048" t="s">
        <v>7</v>
      </c>
      <c r="B1048" t="s">
        <v>38</v>
      </c>
      <c r="C1048">
        <v>110</v>
      </c>
      <c r="D1048" t="s">
        <v>4</v>
      </c>
      <c r="E1048">
        <v>2.10447E-2</v>
      </c>
      <c r="F1048">
        <v>2.0602499999999999E-2</v>
      </c>
      <c r="G1048">
        <v>2.0575800000000002E-2</v>
      </c>
      <c r="H1048">
        <v>2.07666E-2</v>
      </c>
      <c r="I1048">
        <v>2.2471499999999998E-2</v>
      </c>
      <c r="J1048">
        <v>2.32617E-2</v>
      </c>
      <c r="K1048">
        <v>2.4614400000000002E-2</v>
      </c>
      <c r="L1048">
        <v>2.93706E-2</v>
      </c>
      <c r="M1048">
        <v>2.8690199999999999E-2</v>
      </c>
      <c r="N1048">
        <v>2.9165099999999999E-2</v>
      </c>
      <c r="O1048">
        <v>2.9237849999999999E-2</v>
      </c>
      <c r="P1048">
        <v>3.0009600000000001E-2</v>
      </c>
      <c r="Q1048">
        <v>2.9908500000000001E-2</v>
      </c>
      <c r="R1048">
        <v>3.0472200000000001E-2</v>
      </c>
      <c r="S1048">
        <v>3.024E-2</v>
      </c>
      <c r="T1048">
        <v>2.8584600000000002E-2</v>
      </c>
      <c r="U1048">
        <v>2.8005450000000001E-2</v>
      </c>
      <c r="V1048">
        <v>2.7769800000000001E-2</v>
      </c>
      <c r="W1048">
        <v>3.2313599999999998E-2</v>
      </c>
      <c r="X1048">
        <v>3.7828800000000003E-2</v>
      </c>
      <c r="Y1048">
        <v>3.6896850000000002E-2</v>
      </c>
      <c r="Z1048">
        <v>3.28653E-2</v>
      </c>
      <c r="AA1048">
        <v>3.0051600000000001E-2</v>
      </c>
      <c r="AB1048">
        <v>2.6048249999999998E-2</v>
      </c>
    </row>
    <row r="1049" spans="1:28" hidden="1" x14ac:dyDescent="0.25">
      <c r="A1049" t="s">
        <v>7</v>
      </c>
      <c r="B1049" t="s">
        <v>39</v>
      </c>
      <c r="C1049">
        <v>110</v>
      </c>
      <c r="D1049" t="s">
        <v>2</v>
      </c>
      <c r="E1049">
        <v>64.208426700000004</v>
      </c>
      <c r="F1049">
        <v>64.020321249999995</v>
      </c>
      <c r="G1049">
        <v>62.162424100000003</v>
      </c>
      <c r="H1049">
        <v>62.797650600099999</v>
      </c>
      <c r="I1049">
        <v>67.743818250000004</v>
      </c>
      <c r="J1049">
        <v>70.748215999999999</v>
      </c>
      <c r="K1049">
        <v>73.594235600000005</v>
      </c>
      <c r="L1049">
        <v>85.464982800000001</v>
      </c>
      <c r="M1049">
        <v>97.559823399999999</v>
      </c>
      <c r="N1049">
        <v>107.4569261</v>
      </c>
      <c r="O1049">
        <v>113.69079410000001</v>
      </c>
      <c r="P1049">
        <v>117.2375821</v>
      </c>
      <c r="Q1049">
        <v>117.251839</v>
      </c>
      <c r="R1049">
        <v>117.01347885</v>
      </c>
      <c r="S1049">
        <v>121.48817625</v>
      </c>
      <c r="T1049">
        <v>121.085459</v>
      </c>
      <c r="U1049">
        <v>108.8520151</v>
      </c>
      <c r="V1049">
        <v>103.8541251</v>
      </c>
      <c r="W1049">
        <v>119.4909804</v>
      </c>
      <c r="X1049">
        <v>108.57828360000001</v>
      </c>
      <c r="Y1049">
        <v>98.600519250000005</v>
      </c>
      <c r="Z1049">
        <v>81.453373299999996</v>
      </c>
      <c r="AA1049">
        <v>73.927126200000004</v>
      </c>
      <c r="AB1049">
        <v>67.682206500000007</v>
      </c>
    </row>
    <row r="1050" spans="1:28" hidden="1" x14ac:dyDescent="0.25">
      <c r="A1050" t="s">
        <v>7</v>
      </c>
      <c r="B1050" t="s">
        <v>39</v>
      </c>
      <c r="C1050">
        <v>110</v>
      </c>
      <c r="D1050" t="s">
        <v>3</v>
      </c>
      <c r="E1050">
        <v>23.1679720407</v>
      </c>
      <c r="F1050">
        <v>24.181747752700002</v>
      </c>
      <c r="G1050">
        <v>24.016930399700001</v>
      </c>
      <c r="H1050">
        <v>24.190196433600001</v>
      </c>
      <c r="I1050">
        <v>26.164702408299998</v>
      </c>
      <c r="J1050">
        <v>26.807574797200001</v>
      </c>
      <c r="K1050">
        <v>24.1866438594</v>
      </c>
      <c r="L1050">
        <v>28.018127798399998</v>
      </c>
      <c r="M1050">
        <v>33.588711805099997</v>
      </c>
      <c r="N1050">
        <v>39.040853552100003</v>
      </c>
      <c r="O1050">
        <v>40.9125374061</v>
      </c>
      <c r="P1050">
        <v>44.555410940000002</v>
      </c>
      <c r="Q1050">
        <v>45.106461814600003</v>
      </c>
      <c r="R1050">
        <v>44.315523284199998</v>
      </c>
      <c r="S1050">
        <v>46.268600164699997</v>
      </c>
      <c r="T1050">
        <v>45.697217033299999</v>
      </c>
      <c r="U1050">
        <v>40.805068478099997</v>
      </c>
      <c r="V1050">
        <v>40.081772364499997</v>
      </c>
      <c r="W1050">
        <v>45.056794120900001</v>
      </c>
      <c r="X1050">
        <v>39.663841712500002</v>
      </c>
      <c r="Y1050">
        <v>34.173486580599999</v>
      </c>
      <c r="Z1050">
        <v>28.297351987500001</v>
      </c>
      <c r="AA1050">
        <v>26.283880379700001</v>
      </c>
      <c r="AB1050">
        <v>23.999797969799999</v>
      </c>
    </row>
    <row r="1051" spans="1:28" hidden="1" x14ac:dyDescent="0.25">
      <c r="A1051" t="s">
        <v>7</v>
      </c>
      <c r="B1051" t="s">
        <v>39</v>
      </c>
      <c r="C1051">
        <v>110</v>
      </c>
      <c r="D1051" t="s">
        <v>4</v>
      </c>
      <c r="E1051">
        <v>0.97779329999999998</v>
      </c>
      <c r="F1051">
        <v>0.97492875000000001</v>
      </c>
      <c r="G1051">
        <v>0.94663589999999997</v>
      </c>
      <c r="H1051">
        <v>0.95630939989999997</v>
      </c>
      <c r="I1051">
        <v>1.0316317500000001</v>
      </c>
      <c r="J1051">
        <v>1.0773839999999999</v>
      </c>
      <c r="K1051">
        <v>1.1207244000000001</v>
      </c>
      <c r="L1051">
        <v>1.3014972</v>
      </c>
      <c r="M1051">
        <v>1.4856825897999999</v>
      </c>
      <c r="N1051">
        <v>1.6363998898000001</v>
      </c>
      <c r="O1051">
        <v>1.7313318898000001</v>
      </c>
      <c r="P1051">
        <v>1.7853438898</v>
      </c>
      <c r="Q1051">
        <v>1.785561</v>
      </c>
      <c r="R1051">
        <v>1.7819311499999999</v>
      </c>
      <c r="S1051">
        <v>1.85007375</v>
      </c>
      <c r="T1051">
        <v>1.8439410000000001</v>
      </c>
      <c r="U1051">
        <v>1.6576449</v>
      </c>
      <c r="V1051">
        <v>1.5815349000000001</v>
      </c>
      <c r="W1051">
        <v>1.8196596</v>
      </c>
      <c r="X1051">
        <v>1.6534764</v>
      </c>
      <c r="Y1051">
        <v>1.5015307499999999</v>
      </c>
      <c r="Z1051">
        <v>1.2404067000000001</v>
      </c>
      <c r="AA1051">
        <v>1.1257938000000001</v>
      </c>
      <c r="AB1051">
        <v>1.0306934999999999</v>
      </c>
    </row>
    <row r="1052" spans="1:28" hidden="1" x14ac:dyDescent="0.25">
      <c r="A1052" t="s">
        <v>7</v>
      </c>
      <c r="B1052" t="s">
        <v>40</v>
      </c>
      <c r="C1052">
        <v>115</v>
      </c>
      <c r="D1052" t="s">
        <v>2</v>
      </c>
      <c r="E1052">
        <v>4.9708418999999999</v>
      </c>
      <c r="F1052">
        <v>4.4322537500000001</v>
      </c>
      <c r="G1052">
        <v>4.3471596000000003</v>
      </c>
      <c r="H1052">
        <v>4.3853381999999996</v>
      </c>
      <c r="I1052">
        <v>4.74902975</v>
      </c>
      <c r="J1052">
        <v>6.1560135999999996</v>
      </c>
      <c r="K1052">
        <v>8.3595374000000007</v>
      </c>
      <c r="L1052">
        <v>9.2103804</v>
      </c>
      <c r="M1052">
        <v>9.2834280000000007</v>
      </c>
      <c r="N1052">
        <v>9.4472433500000008</v>
      </c>
      <c r="O1052">
        <v>10.1504447</v>
      </c>
      <c r="P1052">
        <v>10.699907250000001</v>
      </c>
      <c r="Q1052">
        <v>10.7478275</v>
      </c>
      <c r="R1052">
        <v>9.9140841000000002</v>
      </c>
      <c r="S1052">
        <v>9.8357174999999994</v>
      </c>
      <c r="T1052">
        <v>9.7391480999999995</v>
      </c>
      <c r="U1052">
        <v>9.9094546000000001</v>
      </c>
      <c r="V1052">
        <v>10.014820050000001</v>
      </c>
      <c r="W1052">
        <v>11.7700605</v>
      </c>
      <c r="X1052">
        <v>13.343598</v>
      </c>
      <c r="Y1052">
        <v>13.301843849999999</v>
      </c>
      <c r="Z1052">
        <v>10.071388600000001</v>
      </c>
      <c r="AA1052">
        <v>8.4431048000000004</v>
      </c>
      <c r="AB1052">
        <v>6.4618954999999998</v>
      </c>
    </row>
    <row r="1053" spans="1:28" hidden="1" x14ac:dyDescent="0.25">
      <c r="A1053" t="s">
        <v>7</v>
      </c>
      <c r="B1053" t="s">
        <v>40</v>
      </c>
      <c r="C1053">
        <v>115</v>
      </c>
      <c r="D1053" t="s">
        <v>3</v>
      </c>
      <c r="E1053">
        <v>0.74172281449999999</v>
      </c>
      <c r="F1053">
        <v>0.82184459970000001</v>
      </c>
      <c r="G1053">
        <v>1.0718988954999999</v>
      </c>
      <c r="H1053">
        <v>0.62898743670000001</v>
      </c>
      <c r="I1053">
        <v>0.56894633890000001</v>
      </c>
      <c r="J1053">
        <v>0.60788035100000004</v>
      </c>
      <c r="K1053">
        <v>0.4583865661</v>
      </c>
      <c r="L1053">
        <v>0.61056045189999997</v>
      </c>
      <c r="M1053">
        <v>2.2779281906</v>
      </c>
      <c r="N1053">
        <v>3.0900469145999998</v>
      </c>
      <c r="O1053">
        <v>3.6425511278</v>
      </c>
      <c r="P1053">
        <v>4.2012205779</v>
      </c>
      <c r="Q1053">
        <v>4.2741355675000001</v>
      </c>
      <c r="R1053">
        <v>4.0363856983000002</v>
      </c>
      <c r="S1053">
        <v>4.1388291243999999</v>
      </c>
      <c r="T1053">
        <v>4.1147264492</v>
      </c>
      <c r="U1053">
        <v>4.0903437618999998</v>
      </c>
      <c r="V1053">
        <v>4.0553823811000003</v>
      </c>
      <c r="W1053">
        <v>4.2111611358000003</v>
      </c>
      <c r="X1053">
        <v>2.9965413927000002</v>
      </c>
      <c r="Y1053">
        <v>2.5933605945</v>
      </c>
      <c r="Z1053">
        <v>1.956429521</v>
      </c>
      <c r="AA1053">
        <v>1.8793906434000001</v>
      </c>
      <c r="AB1053">
        <v>1.468700133</v>
      </c>
    </row>
    <row r="1054" spans="1:28" hidden="1" x14ac:dyDescent="0.25">
      <c r="A1054" t="s">
        <v>7</v>
      </c>
      <c r="B1054" t="s">
        <v>40</v>
      </c>
      <c r="C1054">
        <v>115</v>
      </c>
      <c r="D1054" t="s">
        <v>4</v>
      </c>
      <c r="E1054">
        <v>7.5698100000000004E-2</v>
      </c>
      <c r="F1054">
        <v>6.7496249999999994E-2</v>
      </c>
      <c r="G1054">
        <v>6.6200400000000006E-2</v>
      </c>
      <c r="H1054">
        <v>6.6781800000000002E-2</v>
      </c>
      <c r="I1054">
        <v>7.2320250000000003E-2</v>
      </c>
      <c r="J1054">
        <v>9.3746399999999994E-2</v>
      </c>
      <c r="K1054">
        <v>0.12730259999999999</v>
      </c>
      <c r="L1054">
        <v>0.14025960000000001</v>
      </c>
      <c r="M1054">
        <v>0.141372</v>
      </c>
      <c r="N1054">
        <v>0.14386665000000001</v>
      </c>
      <c r="O1054">
        <v>0.1545753</v>
      </c>
      <c r="P1054">
        <v>0.16294275</v>
      </c>
      <c r="Q1054">
        <v>0.1636725</v>
      </c>
      <c r="R1054">
        <v>0.1509759</v>
      </c>
      <c r="S1054">
        <v>0.14978250000000001</v>
      </c>
      <c r="T1054">
        <v>0.1483119</v>
      </c>
      <c r="U1054">
        <v>0.1509054</v>
      </c>
      <c r="V1054">
        <v>0.15250995000000001</v>
      </c>
      <c r="W1054">
        <v>0.1792395</v>
      </c>
      <c r="X1054">
        <v>0.20320199999999999</v>
      </c>
      <c r="Y1054">
        <v>0.20256615</v>
      </c>
      <c r="Z1054">
        <v>0.15337139999999999</v>
      </c>
      <c r="AA1054">
        <v>0.1285752</v>
      </c>
      <c r="AB1054">
        <v>9.8404500000000006E-2</v>
      </c>
    </row>
    <row r="1055" spans="1:28" hidden="1" x14ac:dyDescent="0.25">
      <c r="A1055" t="s">
        <v>7</v>
      </c>
      <c r="B1055" t="s">
        <v>41</v>
      </c>
      <c r="C1055">
        <v>110</v>
      </c>
      <c r="D1055" t="s">
        <v>2</v>
      </c>
      <c r="E1055">
        <v>15.7788135</v>
      </c>
      <c r="F1055">
        <v>14.91216125</v>
      </c>
      <c r="G1055">
        <v>14.2849231</v>
      </c>
      <c r="H1055">
        <v>13.774082399999999</v>
      </c>
      <c r="I1055">
        <v>14.091213</v>
      </c>
      <c r="J1055">
        <v>16.125080400000002</v>
      </c>
      <c r="K1055">
        <v>18.6006021</v>
      </c>
      <c r="L1055">
        <v>18.132116400000001</v>
      </c>
      <c r="M1055">
        <v>18.2801619</v>
      </c>
      <c r="N1055">
        <v>18.923071400000001</v>
      </c>
      <c r="O1055">
        <v>20.062755800000001</v>
      </c>
      <c r="P1055">
        <v>21.13809015</v>
      </c>
      <c r="Q1055">
        <v>21.2636875</v>
      </c>
      <c r="R1055">
        <v>21.025741050000001</v>
      </c>
      <c r="S1055">
        <v>21.843360000000001</v>
      </c>
      <c r="T1055">
        <v>21.339965899999999</v>
      </c>
      <c r="U1055">
        <v>20.943601900000001</v>
      </c>
      <c r="V1055">
        <v>20.720824449999999</v>
      </c>
      <c r="W1055">
        <v>24.004292400000001</v>
      </c>
      <c r="X1055">
        <v>25.193384399999999</v>
      </c>
      <c r="Y1055">
        <v>24.710301000000001</v>
      </c>
      <c r="Z1055">
        <v>21.4186674</v>
      </c>
      <c r="AA1055">
        <v>20.220986199999999</v>
      </c>
      <c r="AB1055">
        <v>17.854060749999999</v>
      </c>
    </row>
    <row r="1056" spans="1:28" hidden="1" x14ac:dyDescent="0.25">
      <c r="A1056" t="s">
        <v>7</v>
      </c>
      <c r="B1056" t="s">
        <v>41</v>
      </c>
      <c r="C1056">
        <v>110</v>
      </c>
      <c r="D1056" t="s">
        <v>3</v>
      </c>
      <c r="E1056">
        <v>7.7214011500000002</v>
      </c>
      <c r="F1056">
        <v>7.6966264880999997</v>
      </c>
      <c r="G1056">
        <v>7.5722947274000001</v>
      </c>
      <c r="H1056">
        <v>7.3199552034000002</v>
      </c>
      <c r="I1056">
        <v>7.4703817235000001</v>
      </c>
      <c r="J1056">
        <v>8.1402380596999997</v>
      </c>
      <c r="K1056">
        <v>7.8788957869000003</v>
      </c>
      <c r="L1056">
        <v>7.9961249007999999</v>
      </c>
      <c r="M1056">
        <v>8.1988121630999995</v>
      </c>
      <c r="N1056">
        <v>8.6914661063</v>
      </c>
      <c r="O1056">
        <v>9.3858971402000009</v>
      </c>
      <c r="P1056">
        <v>9.8268598462999996</v>
      </c>
      <c r="Q1056">
        <v>9.9788958384999997</v>
      </c>
      <c r="R1056">
        <v>9.8986098224999992</v>
      </c>
      <c r="S1056">
        <v>10.3110811927</v>
      </c>
      <c r="T1056">
        <v>10.256714111300001</v>
      </c>
      <c r="U1056">
        <v>10.203285473999999</v>
      </c>
      <c r="V1056">
        <v>10.0572575124</v>
      </c>
      <c r="W1056">
        <v>11.6414420467</v>
      </c>
      <c r="X1056">
        <v>11.026398798900001</v>
      </c>
      <c r="Y1056">
        <v>10.2881851223</v>
      </c>
      <c r="Z1056">
        <v>8.9914219494999994</v>
      </c>
      <c r="AA1056">
        <v>8.8200540614000005</v>
      </c>
      <c r="AB1056">
        <v>8.1989096991999997</v>
      </c>
    </row>
    <row r="1057" spans="1:28" hidden="1" x14ac:dyDescent="0.25">
      <c r="A1057" t="s">
        <v>7</v>
      </c>
      <c r="B1057" t="s">
        <v>41</v>
      </c>
      <c r="C1057">
        <v>110</v>
      </c>
      <c r="D1057" t="s">
        <v>4</v>
      </c>
      <c r="E1057">
        <v>0.24028649999999999</v>
      </c>
      <c r="F1057">
        <v>0.22708875000000001</v>
      </c>
      <c r="G1057">
        <v>0.21753690000000001</v>
      </c>
      <c r="H1057">
        <v>0.20975759999999999</v>
      </c>
      <c r="I1057">
        <v>0.214587</v>
      </c>
      <c r="J1057">
        <v>0.24555959999999999</v>
      </c>
      <c r="K1057">
        <v>0.28325790000000001</v>
      </c>
      <c r="L1057">
        <v>0.27612360000000002</v>
      </c>
      <c r="M1057">
        <v>0.27837810000000002</v>
      </c>
      <c r="N1057">
        <v>0.2881686</v>
      </c>
      <c r="O1057">
        <v>0.30552420000000002</v>
      </c>
      <c r="P1057">
        <v>0.32189984999999999</v>
      </c>
      <c r="Q1057">
        <v>0.3238125</v>
      </c>
      <c r="R1057">
        <v>0.32018895000000003</v>
      </c>
      <c r="S1057">
        <v>0.33263999999999999</v>
      </c>
      <c r="T1057">
        <v>0.32497409999999999</v>
      </c>
      <c r="U1057">
        <v>0.3189381</v>
      </c>
      <c r="V1057">
        <v>0.31554555000000001</v>
      </c>
      <c r="W1057">
        <v>0.36554759999999997</v>
      </c>
      <c r="X1057">
        <v>0.38365559999999999</v>
      </c>
      <c r="Y1057">
        <v>0.37629899999999999</v>
      </c>
      <c r="Z1057">
        <v>0.32617259999999998</v>
      </c>
      <c r="AA1057">
        <v>0.30793379999999998</v>
      </c>
      <c r="AB1057">
        <v>0.27188925000000003</v>
      </c>
    </row>
    <row r="1058" spans="1:28" hidden="1" x14ac:dyDescent="0.25">
      <c r="A1058" t="s">
        <v>7</v>
      </c>
      <c r="B1058" t="s">
        <v>42</v>
      </c>
      <c r="C1058">
        <v>110</v>
      </c>
      <c r="D1058" t="s">
        <v>2</v>
      </c>
      <c r="E1058">
        <v>22.234720200000002</v>
      </c>
      <c r="F1058">
        <v>21.414146250000002</v>
      </c>
      <c r="G1058">
        <v>20.658798999999998</v>
      </c>
      <c r="H1058">
        <v>20.896578000000002</v>
      </c>
      <c r="I1058">
        <v>22.020118249999999</v>
      </c>
      <c r="J1058">
        <v>24.6355395</v>
      </c>
      <c r="K1058">
        <v>27.503130599999999</v>
      </c>
      <c r="L1058">
        <v>29.572930800000002</v>
      </c>
      <c r="M1058">
        <v>31.181396400000001</v>
      </c>
      <c r="N1058">
        <v>33.029620850000001</v>
      </c>
      <c r="O1058">
        <v>34.886572399999999</v>
      </c>
      <c r="P1058">
        <v>37.719097499999997</v>
      </c>
      <c r="Q1058">
        <v>37.673599000000003</v>
      </c>
      <c r="R1058">
        <v>37.291508999999998</v>
      </c>
      <c r="S1058">
        <v>37.838036250000002</v>
      </c>
      <c r="T1058">
        <v>36.848751499999999</v>
      </c>
      <c r="U1058">
        <v>36.537314199999997</v>
      </c>
      <c r="V1058">
        <v>35.397462349999998</v>
      </c>
      <c r="W1058">
        <v>39.404836349999997</v>
      </c>
      <c r="X1058">
        <v>40.215422400000001</v>
      </c>
      <c r="Y1058">
        <v>38.541651299999998</v>
      </c>
      <c r="Z1058">
        <v>31.6665089</v>
      </c>
      <c r="AA1058">
        <v>29.138703400000001</v>
      </c>
      <c r="AB1058">
        <v>25.277414749999998</v>
      </c>
    </row>
    <row r="1059" spans="1:28" hidden="1" x14ac:dyDescent="0.25">
      <c r="A1059" t="s">
        <v>7</v>
      </c>
      <c r="B1059" t="s">
        <v>42</v>
      </c>
      <c r="C1059">
        <v>110</v>
      </c>
      <c r="D1059" t="s">
        <v>3</v>
      </c>
      <c r="E1059">
        <v>9.4175733506999997</v>
      </c>
      <c r="F1059">
        <v>9.6947309844999996</v>
      </c>
      <c r="G1059">
        <v>9.5048714433000008</v>
      </c>
      <c r="H1059">
        <v>9.3808824882999993</v>
      </c>
      <c r="I1059">
        <v>9.7575801242000004</v>
      </c>
      <c r="J1059">
        <v>10.4232688158</v>
      </c>
      <c r="K1059">
        <v>10.640073147500001</v>
      </c>
      <c r="L1059">
        <v>11.5488671613</v>
      </c>
      <c r="M1059">
        <v>13.060362253299999</v>
      </c>
      <c r="N1059">
        <v>14.1491029551</v>
      </c>
      <c r="O1059">
        <v>15.1587159567</v>
      </c>
      <c r="P1059">
        <v>16.933946750699999</v>
      </c>
      <c r="Q1059">
        <v>16.9819762421</v>
      </c>
      <c r="R1059">
        <v>16.770414233099999</v>
      </c>
      <c r="S1059">
        <v>16.9462473478</v>
      </c>
      <c r="T1059">
        <v>16.7844939748</v>
      </c>
      <c r="U1059">
        <v>16.710684045200001</v>
      </c>
      <c r="V1059">
        <v>16.009818945700001</v>
      </c>
      <c r="W1059">
        <v>17.391227031500001</v>
      </c>
      <c r="X1059">
        <v>16.148487051899998</v>
      </c>
      <c r="Y1059">
        <v>14.9510132582</v>
      </c>
      <c r="Z1059">
        <v>12.414555521300001</v>
      </c>
      <c r="AA1059">
        <v>11.704266944800001</v>
      </c>
      <c r="AB1059">
        <v>10.645834603300001</v>
      </c>
    </row>
    <row r="1060" spans="1:28" hidden="1" x14ac:dyDescent="0.25">
      <c r="A1060" t="s">
        <v>7</v>
      </c>
      <c r="B1060" t="s">
        <v>42</v>
      </c>
      <c r="C1060">
        <v>110</v>
      </c>
      <c r="D1060" t="s">
        <v>4</v>
      </c>
      <c r="E1060">
        <v>0.33859980000000001</v>
      </c>
      <c r="F1060">
        <v>0.32610375000000003</v>
      </c>
      <c r="G1060">
        <v>0.31460100000000002</v>
      </c>
      <c r="H1060">
        <v>0.318222</v>
      </c>
      <c r="I1060">
        <v>0.33533174999999998</v>
      </c>
      <c r="J1060">
        <v>0.37516050000000001</v>
      </c>
      <c r="K1060">
        <v>0.41882940000000002</v>
      </c>
      <c r="L1060">
        <v>0.45034920000000001</v>
      </c>
      <c r="M1060">
        <v>0.47484359999999998</v>
      </c>
      <c r="N1060">
        <v>0.50298915</v>
      </c>
      <c r="O1060">
        <v>0.53126759999999995</v>
      </c>
      <c r="P1060">
        <v>0.57440250000000004</v>
      </c>
      <c r="Q1060">
        <v>0.57370962940000003</v>
      </c>
      <c r="R1060">
        <v>0.56789100000000003</v>
      </c>
      <c r="S1060">
        <v>0.57621374999999997</v>
      </c>
      <c r="T1060">
        <v>0.56114850000000005</v>
      </c>
      <c r="U1060">
        <v>0.55640579999999995</v>
      </c>
      <c r="V1060">
        <v>0.53904764999999999</v>
      </c>
      <c r="W1060">
        <v>0.60007365000000001</v>
      </c>
      <c r="X1060">
        <v>0.61241760000000001</v>
      </c>
      <c r="Y1060">
        <v>0.58692869999999997</v>
      </c>
      <c r="Z1060">
        <v>0.48223110000000002</v>
      </c>
      <c r="AA1060">
        <v>0.44373659999999998</v>
      </c>
      <c r="AB1060">
        <v>0.38493525000000001</v>
      </c>
    </row>
    <row r="1061" spans="1:28" hidden="1" x14ac:dyDescent="0.25">
      <c r="A1061" t="s">
        <v>7</v>
      </c>
      <c r="B1061" t="s">
        <v>43</v>
      </c>
      <c r="C1061">
        <v>110</v>
      </c>
      <c r="D1061" t="s">
        <v>2</v>
      </c>
      <c r="E1061">
        <v>9.5497917000000001</v>
      </c>
      <c r="F1061">
        <v>8.7534487500000004</v>
      </c>
      <c r="G1061">
        <v>8.4005922000000002</v>
      </c>
      <c r="H1061">
        <v>7.9858283999999999</v>
      </c>
      <c r="I1061">
        <v>8.4277092499999995</v>
      </c>
      <c r="J1061">
        <v>10.0035221</v>
      </c>
      <c r="K1061">
        <v>13.0317864</v>
      </c>
      <c r="L1061">
        <v>14.5503018</v>
      </c>
      <c r="M1061">
        <v>14.525834400000001</v>
      </c>
      <c r="N1061">
        <v>13.73494835</v>
      </c>
      <c r="O1061">
        <v>13.767098750000001</v>
      </c>
      <c r="P1061">
        <v>14.4410259</v>
      </c>
      <c r="Q1061">
        <v>14.2118755</v>
      </c>
      <c r="R1061">
        <v>13.991895449999999</v>
      </c>
      <c r="S1061">
        <v>14.443301249999999</v>
      </c>
      <c r="T1061">
        <v>13.6317302</v>
      </c>
      <c r="U1061">
        <v>13.2835327</v>
      </c>
      <c r="V1061">
        <v>13.1472087</v>
      </c>
      <c r="W1061">
        <v>15.43369905</v>
      </c>
      <c r="X1061">
        <v>17.371853999999999</v>
      </c>
      <c r="Y1061">
        <v>17.602078049999999</v>
      </c>
      <c r="Z1061">
        <v>14.4962844</v>
      </c>
      <c r="AA1061">
        <v>12.7770654</v>
      </c>
      <c r="AB1061">
        <v>10.173572500000001</v>
      </c>
    </row>
    <row r="1062" spans="1:28" hidden="1" x14ac:dyDescent="0.25">
      <c r="A1062" t="s">
        <v>7</v>
      </c>
      <c r="B1062" t="s">
        <v>43</v>
      </c>
      <c r="C1062">
        <v>110</v>
      </c>
      <c r="D1062" t="s">
        <v>3</v>
      </c>
      <c r="E1062">
        <v>3.8039897474000002</v>
      </c>
      <c r="F1062">
        <v>3.909795066</v>
      </c>
      <c r="G1062">
        <v>3.5735704817</v>
      </c>
      <c r="H1062">
        <v>3.1145884463</v>
      </c>
      <c r="I1062">
        <v>3.2869283615999998</v>
      </c>
      <c r="J1062">
        <v>3.4403138821999999</v>
      </c>
      <c r="K1062">
        <v>4.4462684775000003</v>
      </c>
      <c r="L1062">
        <v>5.3392484388000003</v>
      </c>
      <c r="M1062">
        <v>5.513430584</v>
      </c>
      <c r="N1062">
        <v>6.1775671136000003</v>
      </c>
      <c r="O1062">
        <v>6.2170209499000002</v>
      </c>
      <c r="P1062">
        <v>7.1779670506000004</v>
      </c>
      <c r="Q1062">
        <v>7.2683637359000004</v>
      </c>
      <c r="R1062">
        <v>7.2077356922</v>
      </c>
      <c r="S1062">
        <v>7.4402712844999996</v>
      </c>
      <c r="T1062">
        <v>6.5126975059000003</v>
      </c>
      <c r="U1062">
        <v>6.2719669597000003</v>
      </c>
      <c r="V1062">
        <v>6.2076000746000002</v>
      </c>
      <c r="W1062">
        <v>7.2871917957000001</v>
      </c>
      <c r="X1062">
        <v>6.0232050986000001</v>
      </c>
      <c r="Y1062">
        <v>5.5555074672</v>
      </c>
      <c r="Z1062">
        <v>4.7862687973</v>
      </c>
      <c r="AA1062">
        <v>4.7951000095999996</v>
      </c>
      <c r="AB1062">
        <v>4.5733813472999998</v>
      </c>
    </row>
    <row r="1063" spans="1:28" hidden="1" x14ac:dyDescent="0.25">
      <c r="A1063" t="s">
        <v>7</v>
      </c>
      <c r="B1063" t="s">
        <v>43</v>
      </c>
      <c r="C1063">
        <v>110</v>
      </c>
      <c r="D1063" t="s">
        <v>4</v>
      </c>
      <c r="E1063">
        <v>0.14542830000000001</v>
      </c>
      <c r="F1063">
        <v>0.13330125000000001</v>
      </c>
      <c r="G1063">
        <v>0.12792780000000001</v>
      </c>
      <c r="H1063">
        <v>0.1216116</v>
      </c>
      <c r="I1063">
        <v>0.12834075</v>
      </c>
      <c r="J1063">
        <v>0.1523379</v>
      </c>
      <c r="K1063">
        <v>0.19845360000000001</v>
      </c>
      <c r="L1063">
        <v>0.2215782</v>
      </c>
      <c r="M1063">
        <v>0.2212056</v>
      </c>
      <c r="N1063">
        <v>0.20916165</v>
      </c>
      <c r="O1063">
        <v>0.20965125000000001</v>
      </c>
      <c r="P1063">
        <v>0.2199141</v>
      </c>
      <c r="Q1063">
        <v>0.21642449999999999</v>
      </c>
      <c r="R1063">
        <v>0.21307455</v>
      </c>
      <c r="S1063">
        <v>0.21994875</v>
      </c>
      <c r="T1063">
        <v>0.20758979999999999</v>
      </c>
      <c r="U1063">
        <v>0.2022873</v>
      </c>
      <c r="V1063">
        <v>0.20021130000000001</v>
      </c>
      <c r="W1063">
        <v>0.23503094999999999</v>
      </c>
      <c r="X1063">
        <v>0.264546</v>
      </c>
      <c r="Y1063">
        <v>0.26805194999999998</v>
      </c>
      <c r="Z1063">
        <v>0.2207556</v>
      </c>
      <c r="AA1063">
        <v>0.19457459999999999</v>
      </c>
      <c r="AB1063">
        <v>0.1549275</v>
      </c>
    </row>
    <row r="1064" spans="1:28" hidden="1" x14ac:dyDescent="0.25">
      <c r="A1064" t="s">
        <v>7</v>
      </c>
      <c r="B1064" t="s">
        <v>44</v>
      </c>
      <c r="C1064">
        <v>110</v>
      </c>
      <c r="D1064" t="s">
        <v>2</v>
      </c>
      <c r="E1064">
        <v>1.4541259499999999</v>
      </c>
      <c r="F1064">
        <v>1.5144375000000001</v>
      </c>
      <c r="G1064">
        <v>1.5371713</v>
      </c>
      <c r="H1064">
        <v>1.5108324</v>
      </c>
      <c r="I1064">
        <v>1.621113</v>
      </c>
      <c r="J1064">
        <v>1.7916756</v>
      </c>
      <c r="K1064">
        <v>1.9572935</v>
      </c>
      <c r="L1064">
        <v>1.9417895999999999</v>
      </c>
      <c r="M1064">
        <v>1.8976419</v>
      </c>
      <c r="N1064">
        <v>1.9294672500000001</v>
      </c>
      <c r="O1064">
        <v>1.94971885</v>
      </c>
      <c r="P1064">
        <v>1.92444375</v>
      </c>
      <c r="Q1064">
        <v>1.8866689999999999</v>
      </c>
      <c r="R1064">
        <v>1.86457545</v>
      </c>
      <c r="S1064">
        <v>1.8926775</v>
      </c>
      <c r="T1064">
        <v>1.8308983000000001</v>
      </c>
      <c r="U1064">
        <v>1.83902455</v>
      </c>
      <c r="V1064">
        <v>1.86766835</v>
      </c>
      <c r="W1064">
        <v>2.13850395</v>
      </c>
      <c r="X1064">
        <v>2.2491096000000002</v>
      </c>
      <c r="Y1064">
        <v>2.1822083999999999</v>
      </c>
      <c r="Z1064">
        <v>1.8323955000000001</v>
      </c>
      <c r="AA1064">
        <v>1.6611434</v>
      </c>
      <c r="AB1064">
        <v>1.520446</v>
      </c>
    </row>
    <row r="1065" spans="1:28" hidden="1" x14ac:dyDescent="0.25">
      <c r="A1065" t="s">
        <v>7</v>
      </c>
      <c r="B1065" t="s">
        <v>44</v>
      </c>
      <c r="C1065">
        <v>110</v>
      </c>
      <c r="D1065" t="s">
        <v>3</v>
      </c>
      <c r="E1065">
        <v>0.46775698799999998</v>
      </c>
      <c r="F1065">
        <v>0.46608790909999998</v>
      </c>
      <c r="G1065">
        <v>0.4704475011</v>
      </c>
      <c r="H1065">
        <v>0.46973978560000001</v>
      </c>
      <c r="I1065">
        <v>0.4980130941</v>
      </c>
      <c r="J1065">
        <v>0.53236158680000001</v>
      </c>
      <c r="K1065">
        <v>0.52133390049999995</v>
      </c>
      <c r="L1065">
        <v>0.51298917030000002</v>
      </c>
      <c r="M1065">
        <v>0.57621665659999999</v>
      </c>
      <c r="N1065">
        <v>0.65302341289999999</v>
      </c>
      <c r="O1065">
        <v>0.65355256449999999</v>
      </c>
      <c r="P1065">
        <v>0.63485290670000005</v>
      </c>
      <c r="Q1065">
        <v>0.62118863369999999</v>
      </c>
      <c r="R1065">
        <v>0.62207070519999996</v>
      </c>
      <c r="S1065">
        <v>0.63701189810000003</v>
      </c>
      <c r="T1065">
        <v>0.63556383770000002</v>
      </c>
      <c r="U1065">
        <v>0.62922873499999998</v>
      </c>
      <c r="V1065">
        <v>0.63431276280000004</v>
      </c>
      <c r="W1065">
        <v>0.69748965090000004</v>
      </c>
      <c r="X1065">
        <v>0.64440679219999997</v>
      </c>
      <c r="Y1065">
        <v>0.59232509320000004</v>
      </c>
      <c r="Z1065">
        <v>0.52788483900000005</v>
      </c>
      <c r="AA1065">
        <v>0.49071401269999998</v>
      </c>
      <c r="AB1065">
        <v>0.49465638709999998</v>
      </c>
    </row>
    <row r="1066" spans="1:28" hidden="1" x14ac:dyDescent="0.25">
      <c r="A1066" t="s">
        <v>7</v>
      </c>
      <c r="B1066" t="s">
        <v>44</v>
      </c>
      <c r="C1066">
        <v>110</v>
      </c>
      <c r="D1066" t="s">
        <v>4</v>
      </c>
      <c r="E1066">
        <v>2.2144049999999998E-2</v>
      </c>
      <c r="F1066">
        <v>2.30625E-2</v>
      </c>
      <c r="G1066">
        <v>2.3408700000000001E-2</v>
      </c>
      <c r="H1066">
        <v>2.30076E-2</v>
      </c>
      <c r="I1066">
        <v>2.4687000000000001E-2</v>
      </c>
      <c r="J1066">
        <v>2.72844E-2</v>
      </c>
      <c r="K1066">
        <v>2.98065E-2</v>
      </c>
      <c r="L1066">
        <v>2.95704E-2</v>
      </c>
      <c r="M1066">
        <v>2.8898099999999999E-2</v>
      </c>
      <c r="N1066">
        <v>2.9382749999999999E-2</v>
      </c>
      <c r="O1066">
        <v>2.9691149999999999E-2</v>
      </c>
      <c r="P1066">
        <v>2.9306249999999999E-2</v>
      </c>
      <c r="Q1066">
        <v>2.8731E-2</v>
      </c>
      <c r="R1066">
        <v>2.8394550000000001E-2</v>
      </c>
      <c r="S1066">
        <v>2.8822500000000001E-2</v>
      </c>
      <c r="T1066">
        <v>2.7881699999999999E-2</v>
      </c>
      <c r="U1066">
        <v>2.8005450000000001E-2</v>
      </c>
      <c r="V1066">
        <v>2.8441649999999999E-2</v>
      </c>
      <c r="W1066">
        <v>3.2566049999999999E-2</v>
      </c>
      <c r="X1066">
        <v>3.42504E-2</v>
      </c>
      <c r="Y1066">
        <v>3.32316E-2</v>
      </c>
      <c r="Z1066">
        <v>2.7904499999999999E-2</v>
      </c>
      <c r="AA1066">
        <v>2.5296599999999999E-2</v>
      </c>
      <c r="AB1066">
        <v>2.3154000000000001E-2</v>
      </c>
    </row>
    <row r="1067" spans="1:28" hidden="1" x14ac:dyDescent="0.25">
      <c r="A1067" t="s">
        <v>7</v>
      </c>
      <c r="B1067" t="s">
        <v>45</v>
      </c>
      <c r="C1067">
        <v>220</v>
      </c>
      <c r="D1067" t="s">
        <v>2</v>
      </c>
      <c r="E1067">
        <v>16.95093</v>
      </c>
      <c r="F1067">
        <v>18.122</v>
      </c>
      <c r="G1067">
        <v>17.583860000000001</v>
      </c>
      <c r="H1067">
        <v>17.738759999999999</v>
      </c>
      <c r="I1067">
        <v>18.146000000000001</v>
      </c>
      <c r="J1067">
        <v>18.55106</v>
      </c>
      <c r="K1067">
        <v>18.17876</v>
      </c>
      <c r="L1067">
        <v>16.836480000000002</v>
      </c>
      <c r="M1067">
        <v>16.133040000000001</v>
      </c>
      <c r="N1067">
        <v>16.65748</v>
      </c>
      <c r="O1067">
        <v>17.180070000000001</v>
      </c>
      <c r="P1067">
        <v>17.927610000000001</v>
      </c>
      <c r="Q1067">
        <v>18.3062</v>
      </c>
      <c r="R1067">
        <v>18.468</v>
      </c>
      <c r="S1067">
        <v>20.14425</v>
      </c>
      <c r="T1067">
        <v>19.993600000000001</v>
      </c>
      <c r="U1067">
        <v>19.950990000000001</v>
      </c>
      <c r="V1067">
        <v>19.737459999999999</v>
      </c>
      <c r="W1067">
        <v>22.871970000000001</v>
      </c>
      <c r="X1067">
        <v>22.560960000000001</v>
      </c>
      <c r="Y1067">
        <v>21.763439999999999</v>
      </c>
      <c r="Z1067">
        <v>18.837260000000001</v>
      </c>
      <c r="AA1067">
        <v>18.855160000000001</v>
      </c>
      <c r="AB1067">
        <v>18.023800000000001</v>
      </c>
    </row>
    <row r="1068" spans="1:28" hidden="1" x14ac:dyDescent="0.25">
      <c r="A1068" t="s">
        <v>7</v>
      </c>
      <c r="B1068" t="s">
        <v>45</v>
      </c>
      <c r="C1068">
        <v>220</v>
      </c>
      <c r="D1068" t="s">
        <v>3</v>
      </c>
      <c r="E1068">
        <v>6.9112953063999996</v>
      </c>
      <c r="F1068">
        <v>7.6893138672000001</v>
      </c>
      <c r="G1068">
        <v>7.3425301480999998</v>
      </c>
      <c r="H1068">
        <v>7.0686964727000001</v>
      </c>
      <c r="I1068">
        <v>7.5118483556999998</v>
      </c>
      <c r="J1068">
        <v>7.9323283181999997</v>
      </c>
      <c r="K1068">
        <v>7.1807023008000002</v>
      </c>
      <c r="L1068">
        <v>6.8926827455000002</v>
      </c>
      <c r="M1068">
        <v>6.8453817566000001</v>
      </c>
      <c r="N1068">
        <v>7.0754521948000004</v>
      </c>
      <c r="O1068">
        <v>7.1890942166</v>
      </c>
      <c r="P1068">
        <v>7.6873028483999999</v>
      </c>
      <c r="Q1068">
        <v>7.8633826128999997</v>
      </c>
      <c r="R1068">
        <v>8.1595474244999995</v>
      </c>
      <c r="S1068">
        <v>8.7751847563999998</v>
      </c>
      <c r="T1068">
        <v>9.0370041248999993</v>
      </c>
      <c r="U1068">
        <v>8.9012843495999991</v>
      </c>
      <c r="V1068">
        <v>8.7810218301000003</v>
      </c>
      <c r="W1068">
        <v>10.2831023076</v>
      </c>
      <c r="X1068">
        <v>9.8185336385999999</v>
      </c>
      <c r="Y1068">
        <v>9.2298035894999995</v>
      </c>
      <c r="Z1068">
        <v>7.9529140584000002</v>
      </c>
      <c r="AA1068">
        <v>7.9267324690000001</v>
      </c>
      <c r="AB1068">
        <v>7.5805109712999998</v>
      </c>
    </row>
    <row r="1069" spans="1:28" hidden="1" x14ac:dyDescent="0.25">
      <c r="A1069" t="s">
        <v>7</v>
      </c>
      <c r="B1069" t="s">
        <v>45</v>
      </c>
      <c r="C1069">
        <v>220</v>
      </c>
      <c r="D1069" t="s">
        <v>4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</row>
    <row r="1070" spans="1:28" hidden="1" x14ac:dyDescent="0.25">
      <c r="A1070" t="s">
        <v>7</v>
      </c>
      <c r="B1070" t="s">
        <v>46</v>
      </c>
      <c r="C1070">
        <v>110</v>
      </c>
      <c r="D1070" t="s">
        <v>2</v>
      </c>
      <c r="E1070">
        <v>21.028105050000001</v>
      </c>
      <c r="F1070">
        <v>19.354511250000002</v>
      </c>
      <c r="G1070">
        <v>18.015256000000001</v>
      </c>
      <c r="H1070">
        <v>17.7277542</v>
      </c>
      <c r="I1070">
        <v>18.247913</v>
      </c>
      <c r="J1070">
        <v>21.281890300000001</v>
      </c>
      <c r="K1070">
        <v>25.507954000000002</v>
      </c>
      <c r="L1070">
        <v>25.151423399999999</v>
      </c>
      <c r="M1070">
        <v>23.850218699999999</v>
      </c>
      <c r="N1070">
        <v>24.425626149999999</v>
      </c>
      <c r="O1070">
        <v>25.763078849999999</v>
      </c>
      <c r="P1070">
        <v>26.865234749999999</v>
      </c>
      <c r="Q1070">
        <v>27.4185585</v>
      </c>
      <c r="R1070">
        <v>26.846854650000001</v>
      </c>
      <c r="S1070">
        <v>27.273172500000001</v>
      </c>
      <c r="T1070">
        <v>26.724960899999999</v>
      </c>
      <c r="U1070">
        <v>25.85273355</v>
      </c>
      <c r="V1070">
        <v>25.882648</v>
      </c>
      <c r="W1070">
        <v>31.38130215</v>
      </c>
      <c r="X1070">
        <v>36.908895600000001</v>
      </c>
      <c r="Y1070">
        <v>37.915870949999999</v>
      </c>
      <c r="Z1070">
        <v>31.9922681</v>
      </c>
      <c r="AA1070">
        <v>29.0762544</v>
      </c>
      <c r="AB1070">
        <v>24.729607000000001</v>
      </c>
    </row>
    <row r="1071" spans="1:28" hidden="1" x14ac:dyDescent="0.25">
      <c r="A1071" t="s">
        <v>7</v>
      </c>
      <c r="B1071" t="s">
        <v>46</v>
      </c>
      <c r="C1071">
        <v>110</v>
      </c>
      <c r="D1071" t="s">
        <v>3</v>
      </c>
      <c r="E1071">
        <v>8.7512430658000007</v>
      </c>
      <c r="F1071">
        <v>8.8209942739000002</v>
      </c>
      <c r="G1071">
        <v>8.3480444070999997</v>
      </c>
      <c r="H1071">
        <v>8.2398987773000005</v>
      </c>
      <c r="I1071">
        <v>8.4521638655999993</v>
      </c>
      <c r="J1071">
        <v>8.9734055360999996</v>
      </c>
      <c r="K1071">
        <v>8.8816240610000001</v>
      </c>
      <c r="L1071">
        <v>9.2135923499000008</v>
      </c>
      <c r="M1071">
        <v>9.1583278452000005</v>
      </c>
      <c r="N1071">
        <v>9.2536642507</v>
      </c>
      <c r="O1071">
        <v>10.2097519208</v>
      </c>
      <c r="P1071">
        <v>10.7935839193</v>
      </c>
      <c r="Q1071">
        <v>11.2383926564</v>
      </c>
      <c r="R1071">
        <v>11.2203147893</v>
      </c>
      <c r="S1071">
        <v>11.6396887174</v>
      </c>
      <c r="T1071">
        <v>11.4764317491</v>
      </c>
      <c r="U1071">
        <v>11.282683936</v>
      </c>
      <c r="V1071">
        <v>11.172906939700001</v>
      </c>
      <c r="W1071">
        <v>13.347557504299999</v>
      </c>
      <c r="X1071">
        <v>13.912559740400001</v>
      </c>
      <c r="Y1071">
        <v>13.4000429081</v>
      </c>
      <c r="Z1071">
        <v>11.5967792423</v>
      </c>
      <c r="AA1071">
        <v>10.7793340781</v>
      </c>
      <c r="AB1071">
        <v>9.6150797858000008</v>
      </c>
    </row>
    <row r="1072" spans="1:28" hidden="1" x14ac:dyDescent="0.25">
      <c r="A1072" t="s">
        <v>7</v>
      </c>
      <c r="B1072" t="s">
        <v>46</v>
      </c>
      <c r="C1072">
        <v>110</v>
      </c>
      <c r="D1072" t="s">
        <v>4</v>
      </c>
      <c r="E1072">
        <v>0.32022495000000001</v>
      </c>
      <c r="F1072">
        <v>0.29473874999999999</v>
      </c>
      <c r="G1072">
        <v>0.27434399999999998</v>
      </c>
      <c r="H1072">
        <v>0.26996579999999998</v>
      </c>
      <c r="I1072">
        <v>0.277887</v>
      </c>
      <c r="J1072">
        <v>0.32408969999999998</v>
      </c>
      <c r="K1072">
        <v>0.38844600000000001</v>
      </c>
      <c r="L1072">
        <v>0.38301659999999998</v>
      </c>
      <c r="M1072">
        <v>0.3632013</v>
      </c>
      <c r="N1072">
        <v>0.37196384999999998</v>
      </c>
      <c r="O1072">
        <v>0.39233115000000002</v>
      </c>
      <c r="P1072">
        <v>0.40911524999999999</v>
      </c>
      <c r="Q1072">
        <v>0.41754150000000001</v>
      </c>
      <c r="R1072">
        <v>0.40883534999999999</v>
      </c>
      <c r="S1072">
        <v>0.41532750000000002</v>
      </c>
      <c r="T1072">
        <v>0.40697909999999998</v>
      </c>
      <c r="U1072">
        <v>0.39369644999999998</v>
      </c>
      <c r="V1072">
        <v>0.394152</v>
      </c>
      <c r="W1072">
        <v>0.47788785</v>
      </c>
      <c r="X1072">
        <v>0.56206440000000002</v>
      </c>
      <c r="Y1072">
        <v>0.57739905000000002</v>
      </c>
      <c r="Z1072">
        <v>0.48719190000000001</v>
      </c>
      <c r="AA1072">
        <v>0.4427856</v>
      </c>
      <c r="AB1072">
        <v>0.37659300000000001</v>
      </c>
    </row>
    <row r="1073" spans="1:28" hidden="1" x14ac:dyDescent="0.25">
      <c r="A1073" t="s">
        <v>7</v>
      </c>
      <c r="B1073" t="s">
        <v>47</v>
      </c>
      <c r="C1073">
        <v>110</v>
      </c>
      <c r="D1073" t="s">
        <v>2</v>
      </c>
      <c r="E1073">
        <v>6.5590362000000004</v>
      </c>
      <c r="F1073">
        <v>6.8452574999999998</v>
      </c>
      <c r="G1073">
        <v>6.8536299999999999</v>
      </c>
      <c r="H1073">
        <v>6.9459048000000001</v>
      </c>
      <c r="I1073">
        <v>7.3573589999999998</v>
      </c>
      <c r="J1073">
        <v>7.5686809000000004</v>
      </c>
      <c r="K1073">
        <v>7.2735551999999997</v>
      </c>
      <c r="L1073">
        <v>6.8356241999999998</v>
      </c>
      <c r="M1073">
        <v>6.7168331999999999</v>
      </c>
      <c r="N1073">
        <v>6.7174044999999998</v>
      </c>
      <c r="O1073">
        <v>6.7719242499999996</v>
      </c>
      <c r="P1073">
        <v>6.8202286499999998</v>
      </c>
      <c r="Q1073">
        <v>6.6806640000000002</v>
      </c>
      <c r="R1073">
        <v>6.3820021499999999</v>
      </c>
      <c r="S1073">
        <v>6.5623162500000003</v>
      </c>
      <c r="T1073">
        <v>6.5389225</v>
      </c>
      <c r="U1073">
        <v>6.5961707000000001</v>
      </c>
      <c r="V1073">
        <v>6.6324285500000002</v>
      </c>
      <c r="W1073">
        <v>7.7748709500000004</v>
      </c>
      <c r="X1073">
        <v>7.9054523999999997</v>
      </c>
      <c r="Y1073">
        <v>7.4130903000000004</v>
      </c>
      <c r="Z1073">
        <v>6.5423305999999997</v>
      </c>
      <c r="AA1073">
        <v>6.5446552000000002</v>
      </c>
      <c r="AB1073">
        <v>6.3948169999999998</v>
      </c>
    </row>
    <row r="1074" spans="1:28" hidden="1" x14ac:dyDescent="0.25">
      <c r="A1074" t="s">
        <v>7</v>
      </c>
      <c r="B1074" t="s">
        <v>47</v>
      </c>
      <c r="C1074">
        <v>110</v>
      </c>
      <c r="D1074" t="s">
        <v>3</v>
      </c>
      <c r="E1074">
        <v>1.6869724118</v>
      </c>
      <c r="F1074">
        <v>1.7346490801000001</v>
      </c>
      <c r="G1074">
        <v>1.7239644067</v>
      </c>
      <c r="H1074">
        <v>1.7417186403</v>
      </c>
      <c r="I1074">
        <v>1.8452142369</v>
      </c>
      <c r="J1074">
        <v>1.8982134420000001</v>
      </c>
      <c r="K1074">
        <v>1.7950844191999999</v>
      </c>
      <c r="L1074">
        <v>1.7560613799</v>
      </c>
      <c r="M1074">
        <v>1.745022734</v>
      </c>
      <c r="N1074">
        <v>1.7451711566999999</v>
      </c>
      <c r="O1074">
        <v>1.7590478971000001</v>
      </c>
      <c r="P1074">
        <v>1.8006503307999999</v>
      </c>
      <c r="Q1074">
        <v>1.7595997362</v>
      </c>
      <c r="R1074">
        <v>1.6626349629999999</v>
      </c>
      <c r="S1074">
        <v>1.6270935988999999</v>
      </c>
      <c r="T1074">
        <v>1.6322225846</v>
      </c>
      <c r="U1074">
        <v>1.678090375</v>
      </c>
      <c r="V1074">
        <v>1.7438298094</v>
      </c>
      <c r="W1074">
        <v>2.0595240443999998</v>
      </c>
      <c r="X1074">
        <v>2.0608622314999998</v>
      </c>
      <c r="Y1074">
        <v>1.9094875204999999</v>
      </c>
      <c r="Z1074">
        <v>1.7308418503</v>
      </c>
      <c r="AA1074">
        <v>1.7262484519000001</v>
      </c>
      <c r="AB1074">
        <v>1.6542927039999999</v>
      </c>
    </row>
    <row r="1075" spans="1:28" hidden="1" x14ac:dyDescent="0.25">
      <c r="A1075" t="s">
        <v>7</v>
      </c>
      <c r="B1075" t="s">
        <v>47</v>
      </c>
      <c r="C1075">
        <v>110</v>
      </c>
      <c r="D1075" t="s">
        <v>4</v>
      </c>
      <c r="E1075">
        <v>9.9883799999999995E-2</v>
      </c>
      <c r="F1075">
        <v>0.1042425</v>
      </c>
      <c r="G1075">
        <v>0.10437</v>
      </c>
      <c r="H1075">
        <v>0.1057752</v>
      </c>
      <c r="I1075">
        <v>0.112041</v>
      </c>
      <c r="J1075">
        <v>0.1152591</v>
      </c>
      <c r="K1075">
        <v>0.1107648</v>
      </c>
      <c r="L1075">
        <v>0.1040958</v>
      </c>
      <c r="M1075">
        <v>0.1022868</v>
      </c>
      <c r="N1075">
        <v>0.1022955</v>
      </c>
      <c r="O1075">
        <v>0.10312575</v>
      </c>
      <c r="P1075">
        <v>0.10386135000000001</v>
      </c>
      <c r="Q1075">
        <v>0.10173599999999999</v>
      </c>
      <c r="R1075">
        <v>9.7187850000000006E-2</v>
      </c>
      <c r="S1075">
        <v>9.9933750000000002E-2</v>
      </c>
      <c r="T1075">
        <v>9.9577499999999999E-2</v>
      </c>
      <c r="U1075">
        <v>0.10044930000000001</v>
      </c>
      <c r="V1075">
        <v>0.10100145000000001</v>
      </c>
      <c r="W1075">
        <v>0.11839905000000001</v>
      </c>
      <c r="X1075">
        <v>0.1203876</v>
      </c>
      <c r="Y1075">
        <v>0.1128897</v>
      </c>
      <c r="Z1075">
        <v>9.9629400000000007E-2</v>
      </c>
      <c r="AA1075">
        <v>9.9664799999999998E-2</v>
      </c>
      <c r="AB1075">
        <v>9.7382999999999997E-2</v>
      </c>
    </row>
    <row r="1076" spans="1:28" hidden="1" x14ac:dyDescent="0.25">
      <c r="A1076" t="s">
        <v>7</v>
      </c>
      <c r="B1076" t="s">
        <v>48</v>
      </c>
      <c r="C1076">
        <v>110</v>
      </c>
      <c r="D1076" t="s">
        <v>2</v>
      </c>
      <c r="E1076">
        <v>4.0529893499999998</v>
      </c>
      <c r="F1076">
        <v>4.16975125</v>
      </c>
      <c r="G1076">
        <v>4.1709234000000004</v>
      </c>
      <c r="H1076">
        <v>4.1989368000000002</v>
      </c>
      <c r="I1076">
        <v>4.2917927499999999</v>
      </c>
      <c r="J1076">
        <v>4.4677039000000001</v>
      </c>
      <c r="K1076">
        <v>4.4575781000000001</v>
      </c>
      <c r="L1076">
        <v>4.3427861999999999</v>
      </c>
      <c r="M1076">
        <v>4.5734535000000003</v>
      </c>
      <c r="N1076">
        <v>4.5449672999999997</v>
      </c>
      <c r="O1076">
        <v>4.5691884500000004</v>
      </c>
      <c r="P1076">
        <v>4.60326945</v>
      </c>
      <c r="Q1076">
        <v>4.5156340000000004</v>
      </c>
      <c r="R1076">
        <v>4.2294028499999996</v>
      </c>
      <c r="S1076">
        <v>4.5610425000000001</v>
      </c>
      <c r="T1076">
        <v>4.5849386000000001</v>
      </c>
      <c r="U1076">
        <v>4.5899621000000002</v>
      </c>
      <c r="V1076">
        <v>4.4559331499999999</v>
      </c>
      <c r="W1076">
        <v>4.8737997000000002</v>
      </c>
      <c r="X1076">
        <v>4.9178291999999999</v>
      </c>
      <c r="Y1076">
        <v>4.7334667499999998</v>
      </c>
      <c r="Z1076">
        <v>4.2212962999999997</v>
      </c>
      <c r="AA1076">
        <v>4.2840014000000002</v>
      </c>
      <c r="AB1076">
        <v>4.1253277500000003</v>
      </c>
    </row>
    <row r="1077" spans="1:28" hidden="1" x14ac:dyDescent="0.25">
      <c r="A1077" t="s">
        <v>7</v>
      </c>
      <c r="B1077" t="s">
        <v>48</v>
      </c>
      <c r="C1077">
        <v>110</v>
      </c>
      <c r="D1077" t="s">
        <v>3</v>
      </c>
      <c r="E1077">
        <v>1.2605824988000001</v>
      </c>
      <c r="F1077">
        <v>1.313908619</v>
      </c>
      <c r="G1077">
        <v>1.4435823149</v>
      </c>
      <c r="H1077">
        <v>1.3154094491999999</v>
      </c>
      <c r="I1077">
        <v>1.6400405332000001</v>
      </c>
      <c r="J1077">
        <v>1.6912943582</v>
      </c>
      <c r="K1077">
        <v>1.6608425352</v>
      </c>
      <c r="L1077">
        <v>1.6135354644</v>
      </c>
      <c r="M1077">
        <v>1.7761625953</v>
      </c>
      <c r="N1077">
        <v>1.5188709695</v>
      </c>
      <c r="O1077">
        <v>1.5760993821</v>
      </c>
      <c r="P1077">
        <v>1.7954875226</v>
      </c>
      <c r="Q1077">
        <v>1.6346086125999999</v>
      </c>
      <c r="R1077">
        <v>1.6137539017</v>
      </c>
      <c r="S1077">
        <v>1.9199597937999999</v>
      </c>
      <c r="T1077">
        <v>1.6683654778999999</v>
      </c>
      <c r="U1077">
        <v>1.6891246764000001</v>
      </c>
      <c r="V1077">
        <v>1.5912838838000001</v>
      </c>
      <c r="W1077">
        <v>2.0054826079999999</v>
      </c>
      <c r="X1077">
        <v>1.5190095686</v>
      </c>
      <c r="Y1077">
        <v>1.4374893778</v>
      </c>
      <c r="Z1077">
        <v>1.4182410168999999</v>
      </c>
      <c r="AA1077">
        <v>1.2789534377</v>
      </c>
      <c r="AB1077">
        <v>1.4153353228000001</v>
      </c>
    </row>
    <row r="1078" spans="1:28" hidden="1" x14ac:dyDescent="0.25">
      <c r="A1078" t="s">
        <v>7</v>
      </c>
      <c r="B1078" t="s">
        <v>48</v>
      </c>
      <c r="C1078">
        <v>110</v>
      </c>
      <c r="D1078" t="s">
        <v>4</v>
      </c>
      <c r="E1078">
        <v>6.1720650000000002E-2</v>
      </c>
      <c r="F1078">
        <v>6.3498750000000007E-2</v>
      </c>
      <c r="G1078">
        <v>6.3516600000000006E-2</v>
      </c>
      <c r="H1078">
        <v>6.3943200000000006E-2</v>
      </c>
      <c r="I1078">
        <v>6.5357250000000006E-2</v>
      </c>
      <c r="J1078">
        <v>6.8036100000000002E-2</v>
      </c>
      <c r="K1078">
        <v>6.7881899999999995E-2</v>
      </c>
      <c r="L1078">
        <v>6.6133800000000006E-2</v>
      </c>
      <c r="M1078">
        <v>6.96465E-2</v>
      </c>
      <c r="N1078">
        <v>6.9212700000000002E-2</v>
      </c>
      <c r="O1078">
        <v>6.9581550000000006E-2</v>
      </c>
      <c r="P1078">
        <v>7.0100549999999998E-2</v>
      </c>
      <c r="Q1078">
        <v>6.8765999999999994E-2</v>
      </c>
      <c r="R1078">
        <v>6.4407149999999996E-2</v>
      </c>
      <c r="S1078">
        <v>6.9457500000000005E-2</v>
      </c>
      <c r="T1078">
        <v>6.9821400000000006E-2</v>
      </c>
      <c r="U1078">
        <v>6.9897899999999999E-2</v>
      </c>
      <c r="V1078">
        <v>6.7856849999999996E-2</v>
      </c>
      <c r="W1078">
        <v>7.4220300000000003E-2</v>
      </c>
      <c r="X1078">
        <v>7.4890799999999993E-2</v>
      </c>
      <c r="Y1078">
        <v>7.2083250000000001E-2</v>
      </c>
      <c r="Z1078">
        <v>6.4283699999999999E-2</v>
      </c>
      <c r="AA1078">
        <v>6.5238599999999994E-2</v>
      </c>
      <c r="AB1078">
        <v>6.2822249999999996E-2</v>
      </c>
    </row>
    <row r="1079" spans="1:28" hidden="1" x14ac:dyDescent="0.25">
      <c r="A1079" t="s">
        <v>7</v>
      </c>
      <c r="B1079" t="s">
        <v>49</v>
      </c>
      <c r="C1079">
        <v>110</v>
      </c>
      <c r="D1079" t="s">
        <v>2</v>
      </c>
      <c r="E1079">
        <v>7.3943851499999997</v>
      </c>
      <c r="F1079">
        <v>7.1582412499999997</v>
      </c>
      <c r="G1079">
        <v>7.0984024999999997</v>
      </c>
      <c r="H1079">
        <v>7.4462453999999996</v>
      </c>
      <c r="I1079">
        <v>9.0096472500000004</v>
      </c>
      <c r="J1079">
        <v>13.988851800000001</v>
      </c>
      <c r="K1079">
        <v>20.8483327</v>
      </c>
      <c r="L1079">
        <v>22.343700599999998</v>
      </c>
      <c r="M1079">
        <v>18.730681199999999</v>
      </c>
      <c r="N1079">
        <v>16.250401950000001</v>
      </c>
      <c r="O1079">
        <v>14.74939985</v>
      </c>
      <c r="P1079">
        <v>14.4410259</v>
      </c>
      <c r="Q1079">
        <v>14.026301500000001</v>
      </c>
      <c r="R1079">
        <v>13.44616605</v>
      </c>
      <c r="S1079">
        <v>12.8143575</v>
      </c>
      <c r="T1079">
        <v>14.970286099999999</v>
      </c>
      <c r="U1079">
        <v>18.7550107</v>
      </c>
      <c r="V1079">
        <v>19.735519100000001</v>
      </c>
      <c r="W1079">
        <v>19.3625784</v>
      </c>
      <c r="X1079">
        <v>17.136872400000001</v>
      </c>
      <c r="Y1079">
        <v>14.4089937</v>
      </c>
      <c r="Z1079">
        <v>10.912933199999999</v>
      </c>
      <c r="AA1079">
        <v>9.2424520000000001</v>
      </c>
      <c r="AB1079">
        <v>8.0270604999999993</v>
      </c>
    </row>
    <row r="1080" spans="1:28" hidden="1" x14ac:dyDescent="0.25">
      <c r="A1080" t="s">
        <v>7</v>
      </c>
      <c r="B1080" t="s">
        <v>49</v>
      </c>
      <c r="C1080">
        <v>110</v>
      </c>
      <c r="D1080" t="s">
        <v>3</v>
      </c>
      <c r="E1080">
        <v>3.5426384520999998</v>
      </c>
      <c r="F1080">
        <v>3.7176878089000001</v>
      </c>
      <c r="G1080">
        <v>3.4563883396000001</v>
      </c>
      <c r="H1080">
        <v>3.5916052164000001</v>
      </c>
      <c r="I1080">
        <v>4.2545207538999996</v>
      </c>
      <c r="J1080">
        <v>7.3532779884000004</v>
      </c>
      <c r="K1080">
        <v>10.6127197007</v>
      </c>
      <c r="L1080">
        <v>11.535974658100001</v>
      </c>
      <c r="M1080">
        <v>9.4858249967999999</v>
      </c>
      <c r="N1080">
        <v>8.0595597984000005</v>
      </c>
      <c r="O1080">
        <v>7.2699811800000003</v>
      </c>
      <c r="P1080">
        <v>7.1767532001000003</v>
      </c>
      <c r="Q1080">
        <v>7.0185285292000001</v>
      </c>
      <c r="R1080">
        <v>6.8106966709999996</v>
      </c>
      <c r="S1080">
        <v>6.4017045627</v>
      </c>
      <c r="T1080">
        <v>7.9503343728999996</v>
      </c>
      <c r="U1080">
        <v>8.2697060793000006</v>
      </c>
      <c r="V1080">
        <v>8.1068627388000003</v>
      </c>
      <c r="W1080">
        <v>10.4023458979</v>
      </c>
      <c r="X1080">
        <v>7.3235045634000002</v>
      </c>
      <c r="Y1080">
        <v>5.5679443839999996</v>
      </c>
      <c r="Z1080">
        <v>4.3182145867999999</v>
      </c>
      <c r="AA1080">
        <v>3.7575084857999999</v>
      </c>
      <c r="AB1080">
        <v>3.7485764733</v>
      </c>
    </row>
    <row r="1081" spans="1:28" hidden="1" x14ac:dyDescent="0.25">
      <c r="A1081" t="s">
        <v>7</v>
      </c>
      <c r="B1081" t="s">
        <v>49</v>
      </c>
      <c r="C1081">
        <v>110</v>
      </c>
      <c r="D1081" t="s">
        <v>4</v>
      </c>
      <c r="E1081">
        <v>0.11260485000000001</v>
      </c>
      <c r="F1081">
        <v>0.10900875</v>
      </c>
      <c r="G1081">
        <v>0.1080975</v>
      </c>
      <c r="H1081">
        <v>0.1133946</v>
      </c>
      <c r="I1081">
        <v>0.13720275000000001</v>
      </c>
      <c r="J1081">
        <v>0.2130282</v>
      </c>
      <c r="K1081">
        <v>0.31748729999999997</v>
      </c>
      <c r="L1081">
        <v>0.34025939999999999</v>
      </c>
      <c r="M1081">
        <v>0.28523880000000001</v>
      </c>
      <c r="N1081">
        <v>0.24746804999999999</v>
      </c>
      <c r="O1081">
        <v>0.22461015000000001</v>
      </c>
      <c r="P1081">
        <v>0.2199141</v>
      </c>
      <c r="Q1081">
        <v>0.2135985</v>
      </c>
      <c r="R1081">
        <v>0.20476395</v>
      </c>
      <c r="S1081">
        <v>0.1951425</v>
      </c>
      <c r="T1081">
        <v>0.22797390000000001</v>
      </c>
      <c r="U1081">
        <v>0.28560930000000001</v>
      </c>
      <c r="V1081">
        <v>0.3005409</v>
      </c>
      <c r="W1081">
        <v>0.2948616</v>
      </c>
      <c r="X1081">
        <v>0.26096760000000002</v>
      </c>
      <c r="Y1081">
        <v>0.21942629999999999</v>
      </c>
      <c r="Z1081">
        <v>0.1661868</v>
      </c>
      <c r="AA1081">
        <v>0.14074800000000001</v>
      </c>
      <c r="AB1081">
        <v>0.1222395</v>
      </c>
    </row>
    <row r="1082" spans="1:28" hidden="1" x14ac:dyDescent="0.25">
      <c r="A1082" t="s">
        <v>7</v>
      </c>
      <c r="B1082" t="s">
        <v>50</v>
      </c>
      <c r="C1082">
        <v>110</v>
      </c>
      <c r="D1082" t="s">
        <v>2</v>
      </c>
      <c r="E1082">
        <v>19.450223699999999</v>
      </c>
      <c r="F1082">
        <v>18.637677499999999</v>
      </c>
      <c r="G1082">
        <v>17.907556100000001</v>
      </c>
      <c r="H1082">
        <v>17.806239000000001</v>
      </c>
      <c r="I1082">
        <v>19.193562249999999</v>
      </c>
      <c r="J1082">
        <v>21.523077399999998</v>
      </c>
      <c r="K1082">
        <v>26.0383174</v>
      </c>
      <c r="L1082">
        <v>28.221550199999999</v>
      </c>
      <c r="M1082">
        <v>28.177934400000002</v>
      </c>
      <c r="N1082">
        <v>30.214027900000001</v>
      </c>
      <c r="O1082">
        <v>31.1657349</v>
      </c>
      <c r="P1082">
        <v>31.6840419</v>
      </c>
      <c r="Q1082">
        <v>32.243482499999999</v>
      </c>
      <c r="R1082">
        <v>31.637146049999998</v>
      </c>
      <c r="S1082">
        <v>31.399830000000001</v>
      </c>
      <c r="T1082">
        <v>30.909871299999999</v>
      </c>
      <c r="U1082">
        <v>30.59468115</v>
      </c>
      <c r="V1082">
        <v>29.48563025</v>
      </c>
      <c r="W1082">
        <v>34.497881550000002</v>
      </c>
      <c r="X1082">
        <v>37.211014800000001</v>
      </c>
      <c r="Y1082">
        <v>35.749708200000001</v>
      </c>
      <c r="Z1082">
        <v>29.1961683</v>
      </c>
      <c r="AA1082">
        <v>25.753967599999999</v>
      </c>
      <c r="AB1082">
        <v>21.766973249999999</v>
      </c>
    </row>
    <row r="1083" spans="1:28" hidden="1" x14ac:dyDescent="0.25">
      <c r="A1083" t="s">
        <v>7</v>
      </c>
      <c r="B1083" t="s">
        <v>50</v>
      </c>
      <c r="C1083">
        <v>110</v>
      </c>
      <c r="D1083" t="s">
        <v>3</v>
      </c>
      <c r="E1083">
        <v>6.1074884407000001</v>
      </c>
      <c r="F1083">
        <v>6.1192921554000002</v>
      </c>
      <c r="G1083">
        <v>6.0339562818000001</v>
      </c>
      <c r="H1083">
        <v>5.9105568482999997</v>
      </c>
      <c r="I1083">
        <v>6.5193396312000003</v>
      </c>
      <c r="J1083">
        <v>6.7449494797999998</v>
      </c>
      <c r="K1083">
        <v>6.9549025920999998</v>
      </c>
      <c r="L1083">
        <v>8.2607739534999993</v>
      </c>
      <c r="M1083">
        <v>9.1431112573999993</v>
      </c>
      <c r="N1083">
        <v>10.413753343</v>
      </c>
      <c r="O1083">
        <v>10.748193711300001</v>
      </c>
      <c r="P1083">
        <v>11.4344880905</v>
      </c>
      <c r="Q1083">
        <v>12.199847008100001</v>
      </c>
      <c r="R1083">
        <v>12.0224803701</v>
      </c>
      <c r="S1083">
        <v>11.8948324848</v>
      </c>
      <c r="T1083">
        <v>11.936351307100001</v>
      </c>
      <c r="U1083">
        <v>11.701091954900001</v>
      </c>
      <c r="V1083">
        <v>10.899231674599999</v>
      </c>
      <c r="W1083">
        <v>12.0916407761</v>
      </c>
      <c r="X1083">
        <v>11.421678529499999</v>
      </c>
      <c r="Y1083">
        <v>10.3338581207</v>
      </c>
      <c r="Z1083">
        <v>8.4520078731999995</v>
      </c>
      <c r="AA1083">
        <v>7.4324097622999998</v>
      </c>
      <c r="AB1083">
        <v>6.3790121153000001</v>
      </c>
    </row>
    <row r="1084" spans="1:28" hidden="1" x14ac:dyDescent="0.25">
      <c r="A1084" t="s">
        <v>7</v>
      </c>
      <c r="B1084" t="s">
        <v>50</v>
      </c>
      <c r="C1084">
        <v>110</v>
      </c>
      <c r="D1084" t="s">
        <v>4</v>
      </c>
      <c r="E1084">
        <v>0.29619630000000002</v>
      </c>
      <c r="F1084">
        <v>0.28382249999999998</v>
      </c>
      <c r="G1084">
        <v>0.2727039</v>
      </c>
      <c r="H1084">
        <v>0.27116099999999999</v>
      </c>
      <c r="I1084">
        <v>0.29228775000000001</v>
      </c>
      <c r="J1084">
        <v>0.32776260000000002</v>
      </c>
      <c r="K1084">
        <v>0.3965226</v>
      </c>
      <c r="L1084">
        <v>0.42976979999999998</v>
      </c>
      <c r="M1084">
        <v>0.42910559999999998</v>
      </c>
      <c r="N1084">
        <v>0.46011210000000002</v>
      </c>
      <c r="O1084">
        <v>0.4746051</v>
      </c>
      <c r="P1084">
        <v>0.48249809999999999</v>
      </c>
      <c r="Q1084">
        <v>0.4910175</v>
      </c>
      <c r="R1084">
        <v>0.48178395000000002</v>
      </c>
      <c r="S1084">
        <v>0.47816999999999998</v>
      </c>
      <c r="T1084">
        <v>0.47070869999999998</v>
      </c>
      <c r="U1084">
        <v>0.46590884999999999</v>
      </c>
      <c r="V1084">
        <v>0.44901975</v>
      </c>
      <c r="W1084">
        <v>0.52534844999999997</v>
      </c>
      <c r="X1084">
        <v>0.56666519999999998</v>
      </c>
      <c r="Y1084">
        <v>0.5444118</v>
      </c>
      <c r="Z1084">
        <v>0.4446117</v>
      </c>
      <c r="AA1084">
        <v>0.3921924</v>
      </c>
      <c r="AB1084">
        <v>0.33147674999999999</v>
      </c>
    </row>
    <row r="1085" spans="1:28" hidden="1" x14ac:dyDescent="0.25">
      <c r="A1085" t="s">
        <v>7</v>
      </c>
      <c r="B1085" t="s">
        <v>51</v>
      </c>
      <c r="C1085">
        <v>44</v>
      </c>
      <c r="D1085" t="s">
        <v>2</v>
      </c>
      <c r="E1085">
        <v>23.267166899999999</v>
      </c>
      <c r="F1085">
        <v>22.479992500000002</v>
      </c>
      <c r="G1085">
        <v>21.6361992</v>
      </c>
      <c r="H1085">
        <v>21.6217656</v>
      </c>
      <c r="I1085">
        <v>22.769537499999998</v>
      </c>
      <c r="J1085">
        <v>26.7938638</v>
      </c>
      <c r="K1085">
        <v>33.053293199999999</v>
      </c>
      <c r="L1085">
        <v>35.608622400000002</v>
      </c>
      <c r="M1085">
        <v>34.403707799999999</v>
      </c>
      <c r="N1085">
        <v>34.905256000000001</v>
      </c>
      <c r="O1085">
        <v>35.073483099999997</v>
      </c>
      <c r="P1085">
        <v>36.189545699999996</v>
      </c>
      <c r="Q1085">
        <v>37.052157000000001</v>
      </c>
      <c r="R1085">
        <v>35.768206800000002</v>
      </c>
      <c r="S1085">
        <v>34.878532499999999</v>
      </c>
      <c r="T1085">
        <v>34.545192</v>
      </c>
      <c r="U1085">
        <v>33.930415699999998</v>
      </c>
      <c r="V1085">
        <v>33.482615199999998</v>
      </c>
      <c r="W1085">
        <v>37.596705300000004</v>
      </c>
      <c r="X1085">
        <v>42.594717600000003</v>
      </c>
      <c r="Y1085">
        <v>42.631907400000003</v>
      </c>
      <c r="Z1085">
        <v>34.713060200000001</v>
      </c>
      <c r="AA1085">
        <v>30.847396799999999</v>
      </c>
      <c r="AB1085">
        <v>26.103524499999999</v>
      </c>
    </row>
    <row r="1086" spans="1:28" hidden="1" x14ac:dyDescent="0.25">
      <c r="A1086" t="s">
        <v>7</v>
      </c>
      <c r="B1086" t="s">
        <v>51</v>
      </c>
      <c r="C1086">
        <v>44</v>
      </c>
      <c r="D1086" t="s">
        <v>3</v>
      </c>
      <c r="E1086">
        <v>9.2789861674999994</v>
      </c>
      <c r="F1086">
        <v>9.6427262240000005</v>
      </c>
      <c r="G1086">
        <v>9.4122077019999999</v>
      </c>
      <c r="H1086">
        <v>9.5311927952000008</v>
      </c>
      <c r="I1086">
        <v>10.0607296392</v>
      </c>
      <c r="J1086">
        <v>10.520365207899999</v>
      </c>
      <c r="K1086">
        <v>10.7226887293</v>
      </c>
      <c r="L1086">
        <v>10.885949741699999</v>
      </c>
      <c r="M1086">
        <v>12.2075064013</v>
      </c>
      <c r="N1086">
        <v>13.008713655099999</v>
      </c>
      <c r="O1086">
        <v>13.1866156255</v>
      </c>
      <c r="P1086">
        <v>13.712769142100001</v>
      </c>
      <c r="Q1086">
        <v>14.093373705799999</v>
      </c>
      <c r="R1086">
        <v>13.8831067543</v>
      </c>
      <c r="S1086">
        <v>13.592069758299999</v>
      </c>
      <c r="T1086">
        <v>13.709570666199999</v>
      </c>
      <c r="U1086">
        <v>13.7670610371</v>
      </c>
      <c r="V1086">
        <v>13.1783402932</v>
      </c>
      <c r="W1086">
        <v>14.2580939143</v>
      </c>
      <c r="X1086">
        <v>13.3578100751</v>
      </c>
      <c r="Y1086">
        <v>12.8148272211</v>
      </c>
      <c r="Z1086">
        <v>10.5340524563</v>
      </c>
      <c r="AA1086">
        <v>9.9117378083999998</v>
      </c>
      <c r="AB1086">
        <v>9.3333520508000003</v>
      </c>
    </row>
    <row r="1087" spans="1:28" hidden="1" x14ac:dyDescent="0.25">
      <c r="A1087" t="s">
        <v>7</v>
      </c>
      <c r="B1087" t="s">
        <v>51</v>
      </c>
      <c r="C1087">
        <v>44</v>
      </c>
      <c r="D1087" t="s">
        <v>4</v>
      </c>
      <c r="E1087">
        <v>0.71960310000000005</v>
      </c>
      <c r="F1087">
        <v>0.69525749999999997</v>
      </c>
      <c r="G1087">
        <v>0.6691608</v>
      </c>
      <c r="H1087">
        <v>0.66871440000000004</v>
      </c>
      <c r="I1087">
        <v>0.70421250000000002</v>
      </c>
      <c r="J1087">
        <v>0.82867619999999997</v>
      </c>
      <c r="K1087">
        <v>1.0222667999999999</v>
      </c>
      <c r="L1087">
        <v>1.1012976000000001</v>
      </c>
      <c r="M1087">
        <v>1.0640322</v>
      </c>
      <c r="N1087">
        <v>1.0795440000000001</v>
      </c>
      <c r="O1087">
        <v>1.0847469000000001</v>
      </c>
      <c r="P1087">
        <v>1.1192643</v>
      </c>
      <c r="Q1087">
        <v>1.1459429999999999</v>
      </c>
      <c r="R1087">
        <v>1.1062331999999999</v>
      </c>
      <c r="S1087">
        <v>1.0787175</v>
      </c>
      <c r="T1087">
        <v>1.068408</v>
      </c>
      <c r="U1087">
        <v>1.0493942999999999</v>
      </c>
      <c r="V1087">
        <v>1.0355448</v>
      </c>
      <c r="W1087">
        <v>1.1627847</v>
      </c>
      <c r="X1087">
        <v>1.3173623999999999</v>
      </c>
      <c r="Y1087">
        <v>1.3185126</v>
      </c>
      <c r="Z1087">
        <v>1.0735998</v>
      </c>
      <c r="AA1087">
        <v>0.95404319999999998</v>
      </c>
      <c r="AB1087">
        <v>0.80732550000000003</v>
      </c>
    </row>
    <row r="1088" spans="1:28" hidden="1" x14ac:dyDescent="0.25">
      <c r="A1088" t="s">
        <v>7</v>
      </c>
      <c r="B1088" t="s">
        <v>52</v>
      </c>
      <c r="C1088">
        <v>110</v>
      </c>
      <c r="D1088" t="s">
        <v>2</v>
      </c>
      <c r="E1088">
        <v>24.947026050000002</v>
      </c>
      <c r="F1088">
        <v>22.575215</v>
      </c>
      <c r="G1088">
        <v>21.304998399999999</v>
      </c>
      <c r="H1088">
        <v>20.3962374</v>
      </c>
      <c r="I1088">
        <v>21.573273</v>
      </c>
      <c r="J1088">
        <v>25.060488200000002</v>
      </c>
      <c r="K1088">
        <v>29.586701099999999</v>
      </c>
      <c r="L1088">
        <v>29.454848999999999</v>
      </c>
      <c r="M1088">
        <v>30.2120973</v>
      </c>
      <c r="N1088">
        <v>31.45746235</v>
      </c>
      <c r="O1088">
        <v>33.606604300000001</v>
      </c>
      <c r="P1088">
        <v>35.88702705</v>
      </c>
      <c r="Q1088">
        <v>36.681793999999996</v>
      </c>
      <c r="R1088">
        <v>35.851389750000003</v>
      </c>
      <c r="S1088">
        <v>37.031321249999998</v>
      </c>
      <c r="T1088">
        <v>35.4948099</v>
      </c>
      <c r="U1088">
        <v>34.926267899999999</v>
      </c>
      <c r="V1088">
        <v>33.779796849999997</v>
      </c>
      <c r="W1088">
        <v>39.653499600000004</v>
      </c>
      <c r="X1088">
        <v>43.63944</v>
      </c>
      <c r="Y1088">
        <v>44.911774350000002</v>
      </c>
      <c r="Z1088">
        <v>38.439585600000001</v>
      </c>
      <c r="AA1088">
        <v>35.683358599999998</v>
      </c>
      <c r="AB1088">
        <v>31.079705000000001</v>
      </c>
    </row>
    <row r="1089" spans="1:28" hidden="1" x14ac:dyDescent="0.25">
      <c r="A1089" t="s">
        <v>7</v>
      </c>
      <c r="B1089" t="s">
        <v>52</v>
      </c>
      <c r="C1089">
        <v>110</v>
      </c>
      <c r="D1089" t="s">
        <v>3</v>
      </c>
      <c r="E1089">
        <v>11.5320141527</v>
      </c>
      <c r="F1089">
        <v>11.496164630099999</v>
      </c>
      <c r="G1089">
        <v>11.3232712961</v>
      </c>
      <c r="H1089">
        <v>10.8491954972</v>
      </c>
      <c r="I1089">
        <v>10.767767710599999</v>
      </c>
      <c r="J1089">
        <v>11.992888107700001</v>
      </c>
      <c r="K1089">
        <v>12.5744299433</v>
      </c>
      <c r="L1089">
        <v>12.537943780699999</v>
      </c>
      <c r="M1089">
        <v>13.2740675124</v>
      </c>
      <c r="N1089">
        <v>13.810969371600001</v>
      </c>
      <c r="O1089">
        <v>14.4991010297</v>
      </c>
      <c r="P1089">
        <v>15.1598613325</v>
      </c>
      <c r="Q1089">
        <v>15.283736242</v>
      </c>
      <c r="R1089">
        <v>15.4954799081</v>
      </c>
      <c r="S1089">
        <v>16.09395396</v>
      </c>
      <c r="T1089">
        <v>15.8947181363</v>
      </c>
      <c r="U1089">
        <v>15.600085612999999</v>
      </c>
      <c r="V1089">
        <v>15.422981142099999</v>
      </c>
      <c r="W1089">
        <v>18.128983291400001</v>
      </c>
      <c r="X1089">
        <v>17.482573452600001</v>
      </c>
      <c r="Y1089">
        <v>16.224701776700002</v>
      </c>
      <c r="Z1089">
        <v>13.778866841599999</v>
      </c>
      <c r="AA1089">
        <v>13.597991416899999</v>
      </c>
      <c r="AB1089">
        <v>13.342746500800001</v>
      </c>
    </row>
    <row r="1090" spans="1:28" hidden="1" x14ac:dyDescent="0.25">
      <c r="A1090" t="s">
        <v>7</v>
      </c>
      <c r="B1090" t="s">
        <v>52</v>
      </c>
      <c r="C1090">
        <v>110</v>
      </c>
      <c r="D1090" t="s">
        <v>4</v>
      </c>
      <c r="E1090">
        <v>0.37990394999999999</v>
      </c>
      <c r="F1090">
        <v>0.34378500000000001</v>
      </c>
      <c r="G1090">
        <v>0.3244416</v>
      </c>
      <c r="H1090">
        <v>0.31060260000000001</v>
      </c>
      <c r="I1090">
        <v>0.32852700000000001</v>
      </c>
      <c r="J1090">
        <v>0.38163180000000002</v>
      </c>
      <c r="K1090">
        <v>0.45055889999999998</v>
      </c>
      <c r="L1090">
        <v>0.44855099999999998</v>
      </c>
      <c r="M1090">
        <v>0.46008270000000001</v>
      </c>
      <c r="N1090">
        <v>0.47904764999999999</v>
      </c>
      <c r="O1090">
        <v>0.51177569999999994</v>
      </c>
      <c r="P1090">
        <v>0.54650295000000004</v>
      </c>
      <c r="Q1090">
        <v>0.55860600000000005</v>
      </c>
      <c r="R1090">
        <v>0.54596025000000004</v>
      </c>
      <c r="S1090">
        <v>0.56392874999999998</v>
      </c>
      <c r="T1090">
        <v>0.54053010000000001</v>
      </c>
      <c r="U1090">
        <v>0.53187209999999996</v>
      </c>
      <c r="V1090">
        <v>0.51441314999999999</v>
      </c>
      <c r="W1090">
        <v>0.60386039999999996</v>
      </c>
      <c r="X1090">
        <v>0.66456000000000004</v>
      </c>
      <c r="Y1090">
        <v>0.68393565000000001</v>
      </c>
      <c r="Z1090">
        <v>0.58537439999999996</v>
      </c>
      <c r="AA1090">
        <v>0.54340140000000003</v>
      </c>
      <c r="AB1090">
        <v>0.47329500000000002</v>
      </c>
    </row>
    <row r="1091" spans="1:28" hidden="1" x14ac:dyDescent="0.25">
      <c r="A1091" t="s">
        <v>7</v>
      </c>
      <c r="B1091" t="s">
        <v>53</v>
      </c>
      <c r="C1091">
        <v>44</v>
      </c>
      <c r="D1091" t="s">
        <v>2</v>
      </c>
      <c r="E1091">
        <v>2.1835184999999999</v>
      </c>
      <c r="F1091">
        <v>2.0879249999999998</v>
      </c>
      <c r="G1091">
        <v>1.9958526000000001</v>
      </c>
      <c r="H1091">
        <v>1.9998684</v>
      </c>
      <c r="I1091">
        <v>2.128568</v>
      </c>
      <c r="J1091">
        <v>2.3299012000000001</v>
      </c>
      <c r="K1091">
        <v>2.6238693999999998</v>
      </c>
      <c r="L1091">
        <v>2.7132839999999998</v>
      </c>
      <c r="M1091">
        <v>2.8232819999999998</v>
      </c>
      <c r="N1091">
        <v>2.9275376</v>
      </c>
      <c r="O1091">
        <v>2.9753101000000002</v>
      </c>
      <c r="P1091">
        <v>3.1231865999999999</v>
      </c>
      <c r="Q1091">
        <v>3.1676319999999998</v>
      </c>
      <c r="R1091">
        <v>3.1647995999999998</v>
      </c>
      <c r="S1091">
        <v>3.1166100000000001</v>
      </c>
      <c r="T1091">
        <v>2.954523</v>
      </c>
      <c r="U1091">
        <v>2.9784529000000002</v>
      </c>
      <c r="V1091">
        <v>2.9977947</v>
      </c>
      <c r="W1091">
        <v>3.6241721999999998</v>
      </c>
      <c r="X1091">
        <v>4.1652576000000003</v>
      </c>
      <c r="Y1091">
        <v>3.9819276000000001</v>
      </c>
      <c r="Z1091">
        <v>3.2213506000000001</v>
      </c>
      <c r="AA1091">
        <v>2.8781064000000001</v>
      </c>
      <c r="AB1091">
        <v>2.4330995</v>
      </c>
    </row>
    <row r="1092" spans="1:28" hidden="1" x14ac:dyDescent="0.25">
      <c r="A1092" t="s">
        <v>7</v>
      </c>
      <c r="B1092" t="s">
        <v>53</v>
      </c>
      <c r="C1092">
        <v>44</v>
      </c>
      <c r="D1092" t="s">
        <v>3</v>
      </c>
      <c r="E1092">
        <v>0.99725569780000001</v>
      </c>
      <c r="F1092">
        <v>0.97113459810000002</v>
      </c>
      <c r="G1092">
        <v>0.93709782929999996</v>
      </c>
      <c r="H1092">
        <v>0.93662743230000001</v>
      </c>
      <c r="I1092">
        <v>0.99659719889999998</v>
      </c>
      <c r="J1092">
        <v>1.0113326685999999</v>
      </c>
      <c r="K1092">
        <v>0.99176627390000005</v>
      </c>
      <c r="L1092">
        <v>0.93731818450000004</v>
      </c>
      <c r="M1092">
        <v>1.034796907</v>
      </c>
      <c r="N1092">
        <v>1.1804721217</v>
      </c>
      <c r="O1092">
        <v>1.2570490803000001</v>
      </c>
      <c r="P1092">
        <v>1.3138448010999999</v>
      </c>
      <c r="Q1092">
        <v>1.3198169097000001</v>
      </c>
      <c r="R1092">
        <v>1.3562954324000001</v>
      </c>
      <c r="S1092">
        <v>1.3951726654000001</v>
      </c>
      <c r="T1092">
        <v>1.3541977721</v>
      </c>
      <c r="U1092">
        <v>1.3518133677999999</v>
      </c>
      <c r="V1092">
        <v>1.3298907449999999</v>
      </c>
      <c r="W1092">
        <v>1.4648665988</v>
      </c>
      <c r="X1092">
        <v>1.4730491578</v>
      </c>
      <c r="Y1092">
        <v>1.3155663727</v>
      </c>
      <c r="Z1092">
        <v>1.1015293953</v>
      </c>
      <c r="AA1092">
        <v>1.0614242149999999</v>
      </c>
      <c r="AB1092">
        <v>0.97526530609999995</v>
      </c>
    </row>
    <row r="1093" spans="1:28" hidden="1" x14ac:dyDescent="0.25">
      <c r="A1093" t="s">
        <v>7</v>
      </c>
      <c r="B1093" t="s">
        <v>53</v>
      </c>
      <c r="C1093">
        <v>44</v>
      </c>
      <c r="D1093" t="s">
        <v>4</v>
      </c>
      <c r="E1093">
        <v>6.7531499999999994E-2</v>
      </c>
      <c r="F1093">
        <v>6.4574999999999994E-2</v>
      </c>
      <c r="G1093">
        <v>6.1727400000000002E-2</v>
      </c>
      <c r="H1093">
        <v>6.18516E-2</v>
      </c>
      <c r="I1093">
        <v>6.5832000000000002E-2</v>
      </c>
      <c r="J1093">
        <v>7.2058800000000006E-2</v>
      </c>
      <c r="K1093">
        <v>8.1150600000000003E-2</v>
      </c>
      <c r="L1093">
        <v>8.3916000000000004E-2</v>
      </c>
      <c r="M1093">
        <v>8.7318000000000007E-2</v>
      </c>
      <c r="N1093">
        <v>9.0542399999999995E-2</v>
      </c>
      <c r="O1093">
        <v>9.2019900000000002E-2</v>
      </c>
      <c r="P1093">
        <v>9.6593399999999996E-2</v>
      </c>
      <c r="Q1093">
        <v>9.7968E-2</v>
      </c>
      <c r="R1093">
        <v>9.7880400000000006E-2</v>
      </c>
      <c r="S1093">
        <v>9.6390000000000003E-2</v>
      </c>
      <c r="T1093">
        <v>9.1377E-2</v>
      </c>
      <c r="U1093">
        <v>9.2117099999999993E-2</v>
      </c>
      <c r="V1093">
        <v>9.27153E-2</v>
      </c>
      <c r="W1093">
        <v>0.1120878</v>
      </c>
      <c r="X1093">
        <v>0.1288224</v>
      </c>
      <c r="Y1093">
        <v>0.1231524</v>
      </c>
      <c r="Z1093">
        <v>9.9629400000000007E-2</v>
      </c>
      <c r="AA1093">
        <v>8.9013599999999998E-2</v>
      </c>
      <c r="AB1093">
        <v>7.5250499999999998E-2</v>
      </c>
    </row>
    <row r="1094" spans="1:28" hidden="1" x14ac:dyDescent="0.25">
      <c r="A1094" t="s">
        <v>7</v>
      </c>
      <c r="B1094" t="s">
        <v>54</v>
      </c>
      <c r="C1094">
        <v>110</v>
      </c>
      <c r="D1094" t="s">
        <v>2</v>
      </c>
      <c r="E1094">
        <v>25.844252699999998</v>
      </c>
      <c r="F1094">
        <v>25.16995125</v>
      </c>
      <c r="G1094">
        <v>24.6241135</v>
      </c>
      <c r="H1094">
        <v>23.7294932</v>
      </c>
      <c r="I1094">
        <v>25.396832249999999</v>
      </c>
      <c r="J1094">
        <v>26.441375499999999</v>
      </c>
      <c r="K1094">
        <v>28.974046900000001</v>
      </c>
      <c r="L1094">
        <v>31.5672012</v>
      </c>
      <c r="M1094">
        <v>34.689986099999999</v>
      </c>
      <c r="N1094">
        <v>37.774681049999998</v>
      </c>
      <c r="O1094">
        <v>40.080861550000002</v>
      </c>
      <c r="P1094">
        <v>42.137620349999999</v>
      </c>
      <c r="Q1094">
        <v>42.635626500000001</v>
      </c>
      <c r="R1094">
        <v>42.112118700000003</v>
      </c>
      <c r="S1094">
        <v>42.290482500000003</v>
      </c>
      <c r="T1094">
        <v>42.418374900000003</v>
      </c>
      <c r="U1094">
        <v>41.826409599999998</v>
      </c>
      <c r="V1094">
        <v>40.618110100000003</v>
      </c>
      <c r="W1094">
        <v>43.648689150000003</v>
      </c>
      <c r="X1094">
        <v>43.001632800000003</v>
      </c>
      <c r="Y1094">
        <v>40.852224900000003</v>
      </c>
      <c r="Z1094">
        <v>37.190842000000004</v>
      </c>
      <c r="AA1094">
        <v>33.285316999999999</v>
      </c>
      <c r="AB1094">
        <v>29.279765250000001</v>
      </c>
    </row>
    <row r="1095" spans="1:28" hidden="1" x14ac:dyDescent="0.25">
      <c r="A1095" t="s">
        <v>7</v>
      </c>
      <c r="B1095" t="s">
        <v>54</v>
      </c>
      <c r="C1095">
        <v>110</v>
      </c>
      <c r="D1095" t="s">
        <v>3</v>
      </c>
      <c r="E1095">
        <v>6.7416809210000004</v>
      </c>
      <c r="F1095">
        <v>6.8926288388000003</v>
      </c>
      <c r="G1095">
        <v>6.5761428131999997</v>
      </c>
      <c r="H1095">
        <v>6.6104055130999999</v>
      </c>
      <c r="I1095">
        <v>7.1165983901000001</v>
      </c>
      <c r="J1095">
        <v>7.0658532318000002</v>
      </c>
      <c r="K1095">
        <v>7.0746541030000003</v>
      </c>
      <c r="L1095">
        <v>7.9596681819999997</v>
      </c>
      <c r="M1095">
        <v>9.6218460690000001</v>
      </c>
      <c r="N1095">
        <v>11.5382453476</v>
      </c>
      <c r="O1095">
        <v>12.988112875000001</v>
      </c>
      <c r="P1095">
        <v>14.276018090799999</v>
      </c>
      <c r="Q1095">
        <v>14.773963133200001</v>
      </c>
      <c r="R1095">
        <v>14.6457961263</v>
      </c>
      <c r="S1095">
        <v>14.723696732400001</v>
      </c>
      <c r="T1095">
        <v>14.6420142666</v>
      </c>
      <c r="U1095">
        <v>14.5421495988</v>
      </c>
      <c r="V1095">
        <v>14.0024777594</v>
      </c>
      <c r="W1095">
        <v>14.7013486238</v>
      </c>
      <c r="X1095">
        <v>12.426752650999999</v>
      </c>
      <c r="Y1095">
        <v>11.5109929947</v>
      </c>
      <c r="Z1095">
        <v>10.291501352099999</v>
      </c>
      <c r="AA1095">
        <v>8.9168202003000001</v>
      </c>
      <c r="AB1095">
        <v>7.6626078043000003</v>
      </c>
    </row>
    <row r="1096" spans="1:28" hidden="1" x14ac:dyDescent="0.25">
      <c r="A1096" t="s">
        <v>7</v>
      </c>
      <c r="B1096" t="s">
        <v>54</v>
      </c>
      <c r="C1096">
        <v>110</v>
      </c>
      <c r="D1096" t="s">
        <v>4</v>
      </c>
      <c r="E1096">
        <v>0.39356730000000001</v>
      </c>
      <c r="F1096">
        <v>0.38329875000000002</v>
      </c>
      <c r="G1096">
        <v>0.3749865</v>
      </c>
      <c r="H1096">
        <v>0.36136284060000001</v>
      </c>
      <c r="I1096">
        <v>0.38675379059999998</v>
      </c>
      <c r="J1096">
        <v>0.40266054060000001</v>
      </c>
      <c r="K1096">
        <v>0.44122914060000001</v>
      </c>
      <c r="L1096">
        <v>0.4807188</v>
      </c>
      <c r="M1096">
        <v>0.52827389999999996</v>
      </c>
      <c r="N1096">
        <v>0.57524894999999998</v>
      </c>
      <c r="O1096">
        <v>0.61036844999999995</v>
      </c>
      <c r="P1096">
        <v>0.64168965</v>
      </c>
      <c r="Q1096">
        <v>0.64927349999999995</v>
      </c>
      <c r="R1096">
        <v>0.64130129999999996</v>
      </c>
      <c r="S1096">
        <v>0.64401750000000002</v>
      </c>
      <c r="T1096">
        <v>0.64596509999999996</v>
      </c>
      <c r="U1096">
        <v>0.63695040000000003</v>
      </c>
      <c r="V1096">
        <v>0.61854989999999999</v>
      </c>
      <c r="W1096">
        <v>0.66470085000000001</v>
      </c>
      <c r="X1096">
        <v>0.65484719999999996</v>
      </c>
      <c r="Y1096">
        <v>0.62211510000000003</v>
      </c>
      <c r="Z1096">
        <v>0.56635800000000003</v>
      </c>
      <c r="AA1096">
        <v>0.50688299999999997</v>
      </c>
      <c r="AB1096">
        <v>0.44588475</v>
      </c>
    </row>
    <row r="1097" spans="1:28" hidden="1" x14ac:dyDescent="0.25">
      <c r="A1097" t="s">
        <v>7</v>
      </c>
      <c r="B1097" t="s">
        <v>55</v>
      </c>
      <c r="C1097">
        <v>110</v>
      </c>
      <c r="D1097" t="s">
        <v>2</v>
      </c>
      <c r="E1097">
        <v>6.1568311500000004</v>
      </c>
      <c r="F1097">
        <v>6.1082312500000002</v>
      </c>
      <c r="G1097">
        <v>5.6591402000000004</v>
      </c>
      <c r="H1097">
        <v>5.1701861999999998</v>
      </c>
      <c r="I1097">
        <v>5.9336892499999996</v>
      </c>
      <c r="J1097">
        <v>6.2478943999999998</v>
      </c>
      <c r="K1097">
        <v>6.4653824000000002</v>
      </c>
      <c r="L1097">
        <v>6.7306625999999996</v>
      </c>
      <c r="M1097">
        <v>6.7714416000000002</v>
      </c>
      <c r="N1097">
        <v>6.9746667999999996</v>
      </c>
      <c r="O1097">
        <v>7.2928414999999998</v>
      </c>
      <c r="P1097">
        <v>7.5900061499999998</v>
      </c>
      <c r="Q1097">
        <v>7.6703919999999997</v>
      </c>
      <c r="R1097">
        <v>7.2005962500000003</v>
      </c>
      <c r="S1097">
        <v>7.4931412499999999</v>
      </c>
      <c r="T1097">
        <v>7.5082215999999997</v>
      </c>
      <c r="U1097">
        <v>7.1585170500000004</v>
      </c>
      <c r="V1097">
        <v>6.6324285500000002</v>
      </c>
      <c r="W1097">
        <v>7.9240689</v>
      </c>
      <c r="X1097">
        <v>8.1068651999999997</v>
      </c>
      <c r="Y1097">
        <v>7.7340033000000004</v>
      </c>
      <c r="Z1097">
        <v>6.1079850000000002</v>
      </c>
      <c r="AA1097">
        <v>5.8826957999999996</v>
      </c>
      <c r="AB1097">
        <v>5.2880217500000004</v>
      </c>
    </row>
    <row r="1098" spans="1:28" hidden="1" x14ac:dyDescent="0.25">
      <c r="A1098" t="s">
        <v>7</v>
      </c>
      <c r="B1098" t="s">
        <v>55</v>
      </c>
      <c r="C1098">
        <v>110</v>
      </c>
      <c r="D1098" t="s">
        <v>3</v>
      </c>
      <c r="E1098">
        <v>2.7236748627999998</v>
      </c>
      <c r="F1098">
        <v>3.1923588872000002</v>
      </c>
      <c r="G1098">
        <v>2.6127197606000001</v>
      </c>
      <c r="H1098">
        <v>2.2489870306999999</v>
      </c>
      <c r="I1098">
        <v>3.0947745349</v>
      </c>
      <c r="J1098">
        <v>3.1535304400999999</v>
      </c>
      <c r="K1098">
        <v>2.6667441059999999</v>
      </c>
      <c r="L1098">
        <v>3.1165709741000001</v>
      </c>
      <c r="M1098">
        <v>3.0011688965999999</v>
      </c>
      <c r="N1098">
        <v>3.0763942092000001</v>
      </c>
      <c r="O1098">
        <v>3.1492329609</v>
      </c>
      <c r="P1098">
        <v>3.0642950161</v>
      </c>
      <c r="Q1098">
        <v>3.2511335716</v>
      </c>
      <c r="R1098">
        <v>2.9256117222000002</v>
      </c>
      <c r="S1098">
        <v>2.8433744827999998</v>
      </c>
      <c r="T1098">
        <v>2.9650766918000002</v>
      </c>
      <c r="U1098">
        <v>2.884528295</v>
      </c>
      <c r="V1098">
        <v>2.5949366712000002</v>
      </c>
      <c r="W1098">
        <v>2.7752642682999999</v>
      </c>
      <c r="X1098">
        <v>2.5633966949999998</v>
      </c>
      <c r="Y1098">
        <v>2.4043284933</v>
      </c>
      <c r="Z1098">
        <v>2.3802652305000001</v>
      </c>
      <c r="AA1098">
        <v>2.4779126832</v>
      </c>
      <c r="AB1098">
        <v>2.2940917013000002</v>
      </c>
    </row>
    <row r="1099" spans="1:28" hidden="1" x14ac:dyDescent="0.25">
      <c r="A1099" t="s">
        <v>7</v>
      </c>
      <c r="B1099" t="s">
        <v>55</v>
      </c>
      <c r="C1099">
        <v>110</v>
      </c>
      <c r="D1099" t="s">
        <v>4</v>
      </c>
      <c r="E1099">
        <v>9.3758850000000005E-2</v>
      </c>
      <c r="F1099">
        <v>9.3018749999999997E-2</v>
      </c>
      <c r="G1099">
        <v>8.6179800000000001E-2</v>
      </c>
      <c r="H1099">
        <v>7.8733800000000007E-2</v>
      </c>
      <c r="I1099">
        <v>9.0360750000000004E-2</v>
      </c>
      <c r="J1099">
        <v>9.5145599999999997E-2</v>
      </c>
      <c r="K1099">
        <v>9.8457600000000006E-2</v>
      </c>
      <c r="L1099">
        <v>0.1024974</v>
      </c>
      <c r="M1099">
        <v>0.1031184</v>
      </c>
      <c r="N1099">
        <v>0.10621319999999999</v>
      </c>
      <c r="O1099">
        <v>0.1110585</v>
      </c>
      <c r="P1099">
        <v>0.11558385</v>
      </c>
      <c r="Q1099">
        <v>0.116808</v>
      </c>
      <c r="R1099">
        <v>0.10965374999999999</v>
      </c>
      <c r="S1099">
        <v>0.11410874999999999</v>
      </c>
      <c r="T1099">
        <v>0.11433840000000001</v>
      </c>
      <c r="U1099">
        <v>0.10901295</v>
      </c>
      <c r="V1099">
        <v>0.10100145000000001</v>
      </c>
      <c r="W1099">
        <v>0.1206711</v>
      </c>
      <c r="X1099">
        <v>0.1234548</v>
      </c>
      <c r="Y1099">
        <v>0.1177767</v>
      </c>
      <c r="Z1099">
        <v>9.3015E-2</v>
      </c>
      <c r="AA1099">
        <v>8.9584200000000003E-2</v>
      </c>
      <c r="AB1099">
        <v>8.0528249999999996E-2</v>
      </c>
    </row>
    <row r="1100" spans="1:28" hidden="1" x14ac:dyDescent="0.25">
      <c r="A1100" t="s">
        <v>7</v>
      </c>
      <c r="B1100" t="s">
        <v>56</v>
      </c>
      <c r="C1100">
        <v>110</v>
      </c>
      <c r="D1100" t="s">
        <v>2</v>
      </c>
      <c r="E1100">
        <v>5.7958778999999998</v>
      </c>
      <c r="F1100">
        <v>6.3202524999999996</v>
      </c>
      <c r="G1100">
        <v>7.0886116000000001</v>
      </c>
      <c r="H1100">
        <v>7.5149195999999998</v>
      </c>
      <c r="I1100">
        <v>7.9392969999999998</v>
      </c>
      <c r="J1100">
        <v>8.1544209999999993</v>
      </c>
      <c r="K1100">
        <v>8.0059617999999997</v>
      </c>
      <c r="L1100">
        <v>7.1636291999999999</v>
      </c>
      <c r="M1100">
        <v>7.1127440999999996</v>
      </c>
      <c r="N1100">
        <v>6.7459892000000004</v>
      </c>
      <c r="O1100">
        <v>6.2212402999999998</v>
      </c>
      <c r="P1100">
        <v>6.0196600499999997</v>
      </c>
      <c r="Q1100">
        <v>5.9538324999999999</v>
      </c>
      <c r="R1100">
        <v>5.5785672000000002</v>
      </c>
      <c r="S1100">
        <v>4.7472075</v>
      </c>
      <c r="T1100">
        <v>4.5080100999999999</v>
      </c>
      <c r="U1100">
        <v>5.6234634999999997</v>
      </c>
      <c r="V1100">
        <v>4.7206420500000004</v>
      </c>
      <c r="W1100">
        <v>5.1887731500000003</v>
      </c>
      <c r="X1100">
        <v>5.2535172000000001</v>
      </c>
      <c r="Y1100">
        <v>4.8297406499999997</v>
      </c>
      <c r="Z1100">
        <v>4.1534297999999996</v>
      </c>
      <c r="AA1100">
        <v>5.7577977999999996</v>
      </c>
      <c r="AB1100">
        <v>6.2830195</v>
      </c>
    </row>
    <row r="1101" spans="1:28" hidden="1" x14ac:dyDescent="0.25">
      <c r="A1101" t="s">
        <v>7</v>
      </c>
      <c r="B1101" t="s">
        <v>56</v>
      </c>
      <c r="C1101">
        <v>110</v>
      </c>
      <c r="D1101" t="s">
        <v>3</v>
      </c>
      <c r="E1101">
        <v>2.6381472632</v>
      </c>
      <c r="F1101">
        <v>2.5571545818999999</v>
      </c>
      <c r="G1101">
        <v>2.6898701985</v>
      </c>
      <c r="H1101">
        <v>2.5880739058</v>
      </c>
      <c r="I1101">
        <v>2.6275076673000002</v>
      </c>
      <c r="J1101">
        <v>3.0652976012000002</v>
      </c>
      <c r="K1101">
        <v>3.1583631854999998</v>
      </c>
      <c r="L1101">
        <v>2.2878014668</v>
      </c>
      <c r="M1101">
        <v>2.112054503</v>
      </c>
      <c r="N1101">
        <v>2.0072734813999999</v>
      </c>
      <c r="O1101">
        <v>1.5974272596000001</v>
      </c>
      <c r="P1101">
        <v>1.6650395390999999</v>
      </c>
      <c r="Q1101">
        <v>1.4622501252</v>
      </c>
      <c r="R1101">
        <v>1.1351093555</v>
      </c>
      <c r="S1101">
        <v>1.1325858851999999</v>
      </c>
      <c r="T1101">
        <v>1.1474384865</v>
      </c>
      <c r="U1101">
        <v>1.3888440574000001</v>
      </c>
      <c r="V1101">
        <v>1.1764850898999999</v>
      </c>
      <c r="W1101">
        <v>1.2253559066999999</v>
      </c>
      <c r="X1101">
        <v>1.3466919838</v>
      </c>
      <c r="Y1101">
        <v>1.2960405334</v>
      </c>
      <c r="Z1101">
        <v>1.0902922273</v>
      </c>
      <c r="AA1101">
        <v>1.7048699410000001</v>
      </c>
      <c r="AB1101">
        <v>2.062675118</v>
      </c>
    </row>
    <row r="1102" spans="1:28" hidden="1" x14ac:dyDescent="0.25">
      <c r="A1102" t="s">
        <v>7</v>
      </c>
      <c r="B1102" t="s">
        <v>56</v>
      </c>
      <c r="C1102">
        <v>110</v>
      </c>
      <c r="D1102" t="s">
        <v>4</v>
      </c>
      <c r="E1102">
        <v>8.8262099999999996E-2</v>
      </c>
      <c r="F1102">
        <v>9.62475E-2</v>
      </c>
      <c r="G1102">
        <v>0.1079484</v>
      </c>
      <c r="H1102">
        <v>0.1144404</v>
      </c>
      <c r="I1102">
        <v>0.120903</v>
      </c>
      <c r="J1102">
        <v>0.124179</v>
      </c>
      <c r="K1102">
        <v>0.1219182</v>
      </c>
      <c r="L1102">
        <v>0.1090908</v>
      </c>
      <c r="M1102">
        <v>0.10831590000000001</v>
      </c>
      <c r="N1102">
        <v>0.1027308</v>
      </c>
      <c r="O1102">
        <v>9.4739699999999996E-2</v>
      </c>
      <c r="P1102">
        <v>9.166995E-2</v>
      </c>
      <c r="Q1102">
        <v>9.0667499999999998E-2</v>
      </c>
      <c r="R1102">
        <v>8.4952799999999995E-2</v>
      </c>
      <c r="S1102">
        <v>7.2292499999999996E-2</v>
      </c>
      <c r="T1102">
        <v>6.86499E-2</v>
      </c>
      <c r="U1102">
        <v>8.5636500000000004E-2</v>
      </c>
      <c r="V1102">
        <v>7.1887950000000006E-2</v>
      </c>
      <c r="W1102">
        <v>7.901685E-2</v>
      </c>
      <c r="X1102">
        <v>8.0002799999999999E-2</v>
      </c>
      <c r="Y1102">
        <v>7.3549349999999999E-2</v>
      </c>
      <c r="Z1102">
        <v>6.3250200000000006E-2</v>
      </c>
      <c r="AA1102">
        <v>8.7682200000000002E-2</v>
      </c>
      <c r="AB1102">
        <v>9.5680500000000002E-2</v>
      </c>
    </row>
    <row r="1103" spans="1:28" hidden="1" x14ac:dyDescent="0.25">
      <c r="A1103" t="s">
        <v>7</v>
      </c>
      <c r="B1103" t="s">
        <v>57</v>
      </c>
      <c r="C1103">
        <v>110</v>
      </c>
      <c r="D1103" t="s">
        <v>2</v>
      </c>
      <c r="E1103">
        <v>1.1756762999999999</v>
      </c>
      <c r="F1103">
        <v>1.1913575000000001</v>
      </c>
      <c r="G1103">
        <v>1.1553262</v>
      </c>
      <c r="H1103">
        <v>1.1380296000000001</v>
      </c>
      <c r="I1103">
        <v>1.1638759999999999</v>
      </c>
      <c r="J1103">
        <v>1.1944504</v>
      </c>
      <c r="K1103">
        <v>1.1870038000000001</v>
      </c>
      <c r="L1103">
        <v>1.0496160000000001</v>
      </c>
      <c r="M1103">
        <v>1.0239075</v>
      </c>
      <c r="N1103">
        <v>1.0576338999999999</v>
      </c>
      <c r="O1103">
        <v>1.08648455</v>
      </c>
      <c r="P1103">
        <v>1.1084795999999999</v>
      </c>
      <c r="Q1103">
        <v>1.1134440000000001</v>
      </c>
      <c r="R1103">
        <v>1.1217771000000001</v>
      </c>
      <c r="S1103">
        <v>1.1635312499999999</v>
      </c>
      <c r="T1103">
        <v>1.1693131999999999</v>
      </c>
      <c r="U1103">
        <v>1.1550898000000001</v>
      </c>
      <c r="V1103">
        <v>1.13236585</v>
      </c>
      <c r="W1103">
        <v>1.3096264500000001</v>
      </c>
      <c r="X1103">
        <v>1.426674</v>
      </c>
      <c r="Y1103">
        <v>1.4280628500000001</v>
      </c>
      <c r="Z1103">
        <v>1.2758902000000001</v>
      </c>
      <c r="AA1103">
        <v>1.2864494</v>
      </c>
      <c r="AB1103">
        <v>1.21859275</v>
      </c>
    </row>
    <row r="1104" spans="1:28" hidden="1" x14ac:dyDescent="0.25">
      <c r="A1104" t="s">
        <v>7</v>
      </c>
      <c r="B1104" t="s">
        <v>57</v>
      </c>
      <c r="C1104">
        <v>110</v>
      </c>
      <c r="D1104" t="s">
        <v>3</v>
      </c>
      <c r="E1104">
        <v>0.57053768299999996</v>
      </c>
      <c r="F1104">
        <v>0.59566940339999996</v>
      </c>
      <c r="G1104">
        <v>0.57765403599999998</v>
      </c>
      <c r="H1104">
        <v>0.58796910970000005</v>
      </c>
      <c r="I1104">
        <v>0.62207695900000004</v>
      </c>
      <c r="J1104">
        <v>0.60809416199999999</v>
      </c>
      <c r="K1104">
        <v>0.6139597618</v>
      </c>
      <c r="L1104">
        <v>0.53552380629999996</v>
      </c>
      <c r="M1104">
        <v>0.54329511850000001</v>
      </c>
      <c r="N1104">
        <v>0.53917460279999996</v>
      </c>
      <c r="O1104">
        <v>0.56337593360000005</v>
      </c>
      <c r="P1104">
        <v>0.58340490810000001</v>
      </c>
      <c r="Q1104">
        <v>0.55671326460000004</v>
      </c>
      <c r="R1104">
        <v>0.55169355220000005</v>
      </c>
      <c r="S1104">
        <v>0.5629965173</v>
      </c>
      <c r="T1104">
        <v>0.57507195769999997</v>
      </c>
      <c r="U1104">
        <v>0.56807684420000004</v>
      </c>
      <c r="V1104">
        <v>0.55690113320000001</v>
      </c>
      <c r="W1104">
        <v>0.62460482269999995</v>
      </c>
      <c r="X1104">
        <v>0.63408384029999998</v>
      </c>
      <c r="Y1104">
        <v>0.59944841380000002</v>
      </c>
      <c r="Z1104">
        <v>0.53978908869999997</v>
      </c>
      <c r="AA1104">
        <v>0.54425635480000001</v>
      </c>
      <c r="AB1104">
        <v>0.54343326179999996</v>
      </c>
    </row>
    <row r="1105" spans="1:28" hidden="1" x14ac:dyDescent="0.25">
      <c r="A1105" t="s">
        <v>7</v>
      </c>
      <c r="B1105" t="s">
        <v>57</v>
      </c>
      <c r="C1105">
        <v>110</v>
      </c>
      <c r="D1105" t="s">
        <v>4</v>
      </c>
      <c r="E1105">
        <v>1.7903700000000002E-2</v>
      </c>
      <c r="F1105">
        <v>1.8142499999999999E-2</v>
      </c>
      <c r="G1105">
        <v>1.75938E-2</v>
      </c>
      <c r="H1105">
        <v>1.7330399999999999E-2</v>
      </c>
      <c r="I1105">
        <v>1.7724E-2</v>
      </c>
      <c r="J1105">
        <v>1.81896E-2</v>
      </c>
      <c r="K1105">
        <v>1.8076200000000001E-2</v>
      </c>
      <c r="L1105">
        <v>1.5984000000000002E-2</v>
      </c>
      <c r="M1105">
        <v>1.55925E-2</v>
      </c>
      <c r="N1105">
        <v>1.6106100000000002E-2</v>
      </c>
      <c r="O1105">
        <v>1.654545E-2</v>
      </c>
      <c r="P1105">
        <v>1.68804E-2</v>
      </c>
      <c r="Q1105">
        <v>1.6955999999999999E-2</v>
      </c>
      <c r="R1105">
        <v>1.7082900000000002E-2</v>
      </c>
      <c r="S1105">
        <v>1.7718749999999998E-2</v>
      </c>
      <c r="T1105">
        <v>1.7806800000000001E-2</v>
      </c>
      <c r="U1105">
        <v>1.75902E-2</v>
      </c>
      <c r="V1105">
        <v>1.724415E-2</v>
      </c>
      <c r="W1105">
        <v>1.9943550000000001E-2</v>
      </c>
      <c r="X1105">
        <v>2.1725999999999999E-2</v>
      </c>
      <c r="Y1105">
        <v>2.174715E-2</v>
      </c>
      <c r="Z1105">
        <v>1.9429800000000001E-2</v>
      </c>
      <c r="AA1105">
        <v>1.95906E-2</v>
      </c>
      <c r="AB1105">
        <v>1.8557250000000001E-2</v>
      </c>
    </row>
    <row r="1106" spans="1:28" hidden="1" x14ac:dyDescent="0.25">
      <c r="A1106" t="s">
        <v>7</v>
      </c>
      <c r="B1106" t="s">
        <v>58</v>
      </c>
      <c r="C1106">
        <v>110</v>
      </c>
      <c r="D1106" t="s">
        <v>2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</row>
    <row r="1107" spans="1:28" hidden="1" x14ac:dyDescent="0.25">
      <c r="A1107" t="s">
        <v>7</v>
      </c>
      <c r="B1107" t="s">
        <v>58</v>
      </c>
      <c r="C1107">
        <v>110</v>
      </c>
      <c r="D1107" t="s">
        <v>3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</row>
    <row r="1108" spans="1:28" hidden="1" x14ac:dyDescent="0.25">
      <c r="A1108" t="s">
        <v>7</v>
      </c>
      <c r="B1108" t="s">
        <v>58</v>
      </c>
      <c r="C1108">
        <v>110</v>
      </c>
      <c r="D1108" t="s">
        <v>4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</row>
    <row r="1109" spans="1:28" hidden="1" x14ac:dyDescent="0.25">
      <c r="A1109" t="s">
        <v>7</v>
      </c>
      <c r="B1109" t="s">
        <v>59</v>
      </c>
      <c r="C1109">
        <v>110</v>
      </c>
      <c r="D1109" t="s">
        <v>2</v>
      </c>
      <c r="E1109">
        <v>3.6817231499999998</v>
      </c>
      <c r="F1109">
        <v>3.4832062499999998</v>
      </c>
      <c r="G1109">
        <v>3.9946872</v>
      </c>
      <c r="H1109">
        <v>4.0812096000000002</v>
      </c>
      <c r="I1109">
        <v>4.9464730000000001</v>
      </c>
      <c r="J1109">
        <v>5.3635416999999999</v>
      </c>
      <c r="K1109">
        <v>4.1040025</v>
      </c>
      <c r="L1109">
        <v>3.5424540000000002</v>
      </c>
      <c r="M1109">
        <v>3.5085896999999999</v>
      </c>
      <c r="N1109">
        <v>3.2729481499999999</v>
      </c>
      <c r="O1109">
        <v>3.1552701999999999</v>
      </c>
      <c r="P1109">
        <v>3.6333498</v>
      </c>
      <c r="Q1109">
        <v>3.7888025000000001</v>
      </c>
      <c r="R1109">
        <v>3.6381960000000002</v>
      </c>
      <c r="S1109">
        <v>3.8629237500000002</v>
      </c>
      <c r="T1109">
        <v>3.4617825</v>
      </c>
      <c r="U1109">
        <v>3.8452331499999999</v>
      </c>
      <c r="V1109">
        <v>3.7206306499999999</v>
      </c>
      <c r="W1109">
        <v>4.1775425999999998</v>
      </c>
      <c r="X1109">
        <v>3.4743708</v>
      </c>
      <c r="Y1109">
        <v>2.246391</v>
      </c>
      <c r="Z1109">
        <v>1.9817018</v>
      </c>
      <c r="AA1109">
        <v>3.0225316000000002</v>
      </c>
      <c r="AB1109">
        <v>3.65577825</v>
      </c>
    </row>
    <row r="1110" spans="1:28" hidden="1" x14ac:dyDescent="0.25">
      <c r="A1110" t="s">
        <v>7</v>
      </c>
      <c r="B1110" t="s">
        <v>59</v>
      </c>
      <c r="C1110">
        <v>110</v>
      </c>
      <c r="D1110" t="s">
        <v>3</v>
      </c>
      <c r="E1110">
        <v>1.1313160726</v>
      </c>
      <c r="F1110">
        <v>1.1680704610999999</v>
      </c>
      <c r="G1110">
        <v>1.3492124054000001</v>
      </c>
      <c r="H1110">
        <v>1.4328336256</v>
      </c>
      <c r="I1110">
        <v>1.7987735897999999</v>
      </c>
      <c r="J1110">
        <v>1.4833405024999999</v>
      </c>
      <c r="K1110">
        <v>1.3712181548</v>
      </c>
      <c r="L1110">
        <v>1.1349192041</v>
      </c>
      <c r="M1110">
        <v>1.099916122</v>
      </c>
      <c r="N1110">
        <v>1.3636976494999999</v>
      </c>
      <c r="O1110">
        <v>1.0597543504</v>
      </c>
      <c r="P1110">
        <v>1.1478070068999999</v>
      </c>
      <c r="Q1110">
        <v>1.1266374115</v>
      </c>
      <c r="R1110">
        <v>1.5916819067000001</v>
      </c>
      <c r="S1110">
        <v>1.5329148711</v>
      </c>
      <c r="T1110">
        <v>1.3287476805</v>
      </c>
      <c r="U1110">
        <v>1.2036148956999999</v>
      </c>
      <c r="V1110">
        <v>1.1147247253000001</v>
      </c>
      <c r="W1110">
        <v>1.4989978737</v>
      </c>
      <c r="X1110">
        <v>1.3443433002</v>
      </c>
      <c r="Y1110">
        <v>0.88046333310000002</v>
      </c>
      <c r="Z1110">
        <v>0.76678273299999999</v>
      </c>
      <c r="AA1110">
        <v>1.1442098126</v>
      </c>
      <c r="AB1110">
        <v>1.3799141646999999</v>
      </c>
    </row>
    <row r="1111" spans="1:28" hidden="1" x14ac:dyDescent="0.25">
      <c r="A1111" t="s">
        <v>7</v>
      </c>
      <c r="B1111" t="s">
        <v>59</v>
      </c>
      <c r="C1111">
        <v>110</v>
      </c>
      <c r="D1111" t="s">
        <v>4</v>
      </c>
      <c r="E1111">
        <v>5.6066850000000001E-2</v>
      </c>
      <c r="F1111">
        <v>5.3043750000000001E-2</v>
      </c>
      <c r="G1111">
        <v>6.0832799999999999E-2</v>
      </c>
      <c r="H1111">
        <v>6.2150400000000001E-2</v>
      </c>
      <c r="I1111">
        <v>7.5327000000000005E-2</v>
      </c>
      <c r="J1111">
        <v>8.1678299999999995E-2</v>
      </c>
      <c r="K1111">
        <v>6.2497499999999997E-2</v>
      </c>
      <c r="L1111">
        <v>5.3946000000000001E-2</v>
      </c>
      <c r="M1111">
        <v>5.34303E-2</v>
      </c>
      <c r="N1111">
        <v>4.984185E-2</v>
      </c>
      <c r="O1111">
        <v>4.8049799999999997E-2</v>
      </c>
      <c r="P1111">
        <v>5.5330200000000003E-2</v>
      </c>
      <c r="Q1111">
        <v>5.7697499999999999E-2</v>
      </c>
      <c r="R1111">
        <v>5.5404000000000002E-2</v>
      </c>
      <c r="S1111">
        <v>5.8826249999999997E-2</v>
      </c>
      <c r="T1111">
        <v>5.27175E-2</v>
      </c>
      <c r="U1111">
        <v>5.8556850000000001E-2</v>
      </c>
      <c r="V1111">
        <v>5.6659349999999997E-2</v>
      </c>
      <c r="W1111">
        <v>6.3617400000000005E-2</v>
      </c>
      <c r="X1111">
        <v>5.2909200000000003E-2</v>
      </c>
      <c r="Y1111">
        <v>3.4209000000000003E-2</v>
      </c>
      <c r="Z1111">
        <v>3.0178199999999999E-2</v>
      </c>
      <c r="AA1111">
        <v>4.6028399999999997E-2</v>
      </c>
      <c r="AB1111">
        <v>5.5671749999999999E-2</v>
      </c>
    </row>
    <row r="1112" spans="1:28" hidden="1" x14ac:dyDescent="0.25">
      <c r="A1112" t="s">
        <v>7</v>
      </c>
      <c r="B1112" t="s">
        <v>60</v>
      </c>
      <c r="C1112">
        <v>44</v>
      </c>
      <c r="D1112" t="s">
        <v>2</v>
      </c>
      <c r="E1112">
        <v>3.6256563000000002</v>
      </c>
      <c r="F1112">
        <v>4.0664825000000002</v>
      </c>
      <c r="G1112">
        <v>3.9338544</v>
      </c>
      <c r="H1112">
        <v>7.8932003999999996</v>
      </c>
      <c r="I1112">
        <v>8.9031450000000003</v>
      </c>
      <c r="J1112">
        <v>7.3855605999999998</v>
      </c>
      <c r="K1112">
        <v>8.7918278000000001</v>
      </c>
      <c r="L1112">
        <v>7.6488768</v>
      </c>
      <c r="M1112">
        <v>6.3994391999999998</v>
      </c>
      <c r="N1112">
        <v>5.9676727999999999</v>
      </c>
      <c r="O1112">
        <v>6.5075748000000004</v>
      </c>
      <c r="P1112">
        <v>6.2008899</v>
      </c>
      <c r="Q1112">
        <v>5.6804170000000003</v>
      </c>
      <c r="R1112">
        <v>5.1801200999999999</v>
      </c>
      <c r="S1112">
        <v>4.9346325000000002</v>
      </c>
      <c r="T1112">
        <v>5.4393526000000003</v>
      </c>
      <c r="U1112">
        <v>5.8820702999999996</v>
      </c>
      <c r="V1112">
        <v>5.3004486000000002</v>
      </c>
      <c r="W1112">
        <v>5.7790853999999996</v>
      </c>
      <c r="X1112">
        <v>5.4875616000000003</v>
      </c>
      <c r="Y1112">
        <v>4.8035952000000002</v>
      </c>
      <c r="Z1112">
        <v>3.5822487999999999</v>
      </c>
      <c r="AA1112">
        <v>3.3208920000000002</v>
      </c>
      <c r="AB1112">
        <v>3.1156885000000001</v>
      </c>
    </row>
    <row r="1113" spans="1:28" hidden="1" x14ac:dyDescent="0.25">
      <c r="A1113" t="s">
        <v>7</v>
      </c>
      <c r="B1113" t="s">
        <v>60</v>
      </c>
      <c r="C1113">
        <v>44</v>
      </c>
      <c r="D1113" t="s">
        <v>3</v>
      </c>
      <c r="E1113">
        <v>0.17925821359999999</v>
      </c>
      <c r="F1113">
        <v>0.30983168509999998</v>
      </c>
      <c r="G1113">
        <v>0.37236304949999999</v>
      </c>
      <c r="H1113">
        <v>0.66969653640000004</v>
      </c>
      <c r="I1113">
        <v>0.59691556850000005</v>
      </c>
      <c r="J1113">
        <v>0.19822885709999999</v>
      </c>
      <c r="K1113">
        <v>0.9560007827</v>
      </c>
      <c r="L1113">
        <v>1.1768376120999999</v>
      </c>
      <c r="M1113">
        <v>1.0607142868999999</v>
      </c>
      <c r="N1113">
        <v>1.0010815765000001</v>
      </c>
      <c r="O1113">
        <v>1.0972989823999999</v>
      </c>
      <c r="P1113">
        <v>1.1409657735000001</v>
      </c>
      <c r="Q1113">
        <v>1.0347666455</v>
      </c>
      <c r="R1113">
        <v>0.86445131490000005</v>
      </c>
      <c r="S1113">
        <v>0.73495132399999996</v>
      </c>
      <c r="T1113">
        <v>1.1591090746999999</v>
      </c>
      <c r="U1113">
        <v>1.5571471946</v>
      </c>
      <c r="V1113">
        <v>1.2710817434999999</v>
      </c>
      <c r="W1113">
        <v>0.80445898419999995</v>
      </c>
      <c r="X1113">
        <v>0.83688461670000003</v>
      </c>
      <c r="Y1113">
        <v>0.70671917129999995</v>
      </c>
      <c r="Z1113">
        <v>0.30648524500000002</v>
      </c>
      <c r="AA1113">
        <v>0.1234293715</v>
      </c>
      <c r="AB1113">
        <v>3.4132705200000002E-2</v>
      </c>
    </row>
    <row r="1114" spans="1:28" hidden="1" x14ac:dyDescent="0.25">
      <c r="A1114" t="s">
        <v>7</v>
      </c>
      <c r="B1114" t="s">
        <v>60</v>
      </c>
      <c r="C1114">
        <v>44</v>
      </c>
      <c r="D1114" t="s">
        <v>4</v>
      </c>
      <c r="E1114">
        <v>0.1121337</v>
      </c>
      <c r="F1114">
        <v>0.1257675</v>
      </c>
      <c r="G1114">
        <v>0.1216656</v>
      </c>
      <c r="H1114">
        <v>0.24411959999999999</v>
      </c>
      <c r="I1114">
        <v>0.27535500000000002</v>
      </c>
      <c r="J1114">
        <v>0.22841939999999999</v>
      </c>
      <c r="K1114">
        <v>0.27191219999999999</v>
      </c>
      <c r="L1114">
        <v>0.2365632</v>
      </c>
      <c r="M1114">
        <v>0.19792080000000001</v>
      </c>
      <c r="N1114">
        <v>0.18456719999999999</v>
      </c>
      <c r="O1114">
        <v>0.20126520000000001</v>
      </c>
      <c r="P1114">
        <v>0.19178010000000001</v>
      </c>
      <c r="Q1114">
        <v>0.17568300000000001</v>
      </c>
      <c r="R1114">
        <v>0.16020989999999999</v>
      </c>
      <c r="S1114">
        <v>0.15261749999999999</v>
      </c>
      <c r="T1114">
        <v>0.1682274</v>
      </c>
      <c r="U1114">
        <v>0.18191969999999999</v>
      </c>
      <c r="V1114">
        <v>0.1639314</v>
      </c>
      <c r="W1114">
        <v>0.17873459999999999</v>
      </c>
      <c r="X1114">
        <v>0.16971839999999999</v>
      </c>
      <c r="Y1114">
        <v>0.1485648</v>
      </c>
      <c r="Z1114">
        <v>0.11079120000000001</v>
      </c>
      <c r="AA1114">
        <v>0.10270799999999999</v>
      </c>
      <c r="AB1114">
        <v>9.6361500000000003E-2</v>
      </c>
    </row>
    <row r="1115" spans="1:28" hidden="1" x14ac:dyDescent="0.25">
      <c r="A1115" t="s">
        <v>7</v>
      </c>
      <c r="B1115" t="s">
        <v>61</v>
      </c>
      <c r="C1115">
        <v>110</v>
      </c>
      <c r="D1115" t="s">
        <v>2</v>
      </c>
      <c r="E1115">
        <v>29.6806701</v>
      </c>
      <c r="F1115">
        <v>30.5108675</v>
      </c>
      <c r="G1115">
        <v>30.674889700000001</v>
      </c>
      <c r="H1115">
        <v>31.197707999999999</v>
      </c>
      <c r="I1115">
        <v>33.658878250000001</v>
      </c>
      <c r="J1115">
        <v>36.132124599999997</v>
      </c>
      <c r="K1115">
        <v>36.468797600000002</v>
      </c>
      <c r="L1115">
        <v>36.579117599999996</v>
      </c>
      <c r="M1115">
        <v>37.816316999999998</v>
      </c>
      <c r="N1115">
        <v>37.202987049999997</v>
      </c>
      <c r="O1115">
        <v>37.520925349999999</v>
      </c>
      <c r="P1115">
        <v>37.5343509</v>
      </c>
      <c r="Q1115">
        <v>36.790045499999998</v>
      </c>
      <c r="R1115">
        <v>35.426933550000001</v>
      </c>
      <c r="S1115">
        <v>35.743679999999998</v>
      </c>
      <c r="T1115">
        <v>35.756366800000002</v>
      </c>
      <c r="U1115">
        <v>36.491718550000002</v>
      </c>
      <c r="V1115">
        <v>36.073940649999997</v>
      </c>
      <c r="W1115">
        <v>41.2117893</v>
      </c>
      <c r="X1115">
        <v>42.682729199999997</v>
      </c>
      <c r="Y1115">
        <v>41.012681399999998</v>
      </c>
      <c r="Z1115">
        <v>35.562046000000002</v>
      </c>
      <c r="AA1115">
        <v>32.211194200000001</v>
      </c>
      <c r="AB1115">
        <v>29.548079250000001</v>
      </c>
    </row>
    <row r="1116" spans="1:28" hidden="1" x14ac:dyDescent="0.25">
      <c r="A1116" t="s">
        <v>7</v>
      </c>
      <c r="B1116" t="s">
        <v>61</v>
      </c>
      <c r="C1116">
        <v>110</v>
      </c>
      <c r="D1116" t="s">
        <v>3</v>
      </c>
      <c r="E1116">
        <v>12.6805686503</v>
      </c>
      <c r="F1116">
        <v>12.9994146298</v>
      </c>
      <c r="G1116">
        <v>13.0591242703</v>
      </c>
      <c r="H1116">
        <v>13.3868491085</v>
      </c>
      <c r="I1116">
        <v>14.490393644599999</v>
      </c>
      <c r="J1116">
        <v>15.2688688633</v>
      </c>
      <c r="K1116">
        <v>14.1816929473</v>
      </c>
      <c r="L1116">
        <v>14.579802304299999</v>
      </c>
      <c r="M1116">
        <v>16.026346527000001</v>
      </c>
      <c r="N1116">
        <v>16.315797328799999</v>
      </c>
      <c r="O1116">
        <v>16.6085826417</v>
      </c>
      <c r="P1116">
        <v>16.465577460399999</v>
      </c>
      <c r="Q1116">
        <v>16.985279649900001</v>
      </c>
      <c r="R1116">
        <v>16.522686035100001</v>
      </c>
      <c r="S1116">
        <v>16.366407409099999</v>
      </c>
      <c r="T1116">
        <v>16.444865569299999</v>
      </c>
      <c r="U1116">
        <v>16.787296399799999</v>
      </c>
      <c r="V1116">
        <v>16.508193046599999</v>
      </c>
      <c r="W1116">
        <v>17.986929742600001</v>
      </c>
      <c r="X1116">
        <v>17.483079371900001</v>
      </c>
      <c r="Y1116">
        <v>16.596148743699999</v>
      </c>
      <c r="Z1116">
        <v>14.6429878153</v>
      </c>
      <c r="AA1116">
        <v>13.0724906002</v>
      </c>
      <c r="AB1116">
        <v>12.244599942100001</v>
      </c>
    </row>
    <row r="1117" spans="1:28" hidden="1" x14ac:dyDescent="0.25">
      <c r="A1117" t="s">
        <v>7</v>
      </c>
      <c r="B1117" t="s">
        <v>61</v>
      </c>
      <c r="C1117">
        <v>110</v>
      </c>
      <c r="D1117" t="s">
        <v>4</v>
      </c>
      <c r="E1117">
        <v>0.4519899</v>
      </c>
      <c r="F1117">
        <v>0.4646325</v>
      </c>
      <c r="G1117">
        <v>0.4671303</v>
      </c>
      <c r="H1117">
        <v>0.47509200000000001</v>
      </c>
      <c r="I1117">
        <v>0.51257174999999999</v>
      </c>
      <c r="J1117">
        <v>0.55023540000000004</v>
      </c>
      <c r="K1117">
        <v>0.55536240000000003</v>
      </c>
      <c r="L1117">
        <v>0.55704240000000005</v>
      </c>
      <c r="M1117">
        <v>0.57588300000000003</v>
      </c>
      <c r="N1117">
        <v>0.56654294999999999</v>
      </c>
      <c r="O1117">
        <v>0.57138465000000005</v>
      </c>
      <c r="P1117">
        <v>0.57158909999999996</v>
      </c>
      <c r="Q1117">
        <v>0.56025449999999999</v>
      </c>
      <c r="R1117">
        <v>0.53949645000000002</v>
      </c>
      <c r="S1117">
        <v>0.54432000000000003</v>
      </c>
      <c r="T1117">
        <v>0.54451320000000003</v>
      </c>
      <c r="U1117">
        <v>0.55571145</v>
      </c>
      <c r="V1117">
        <v>0.54934934999999996</v>
      </c>
      <c r="W1117">
        <v>0.62759069999999995</v>
      </c>
      <c r="X1117">
        <v>0.64999079999999998</v>
      </c>
      <c r="Y1117">
        <v>0.62455859999999996</v>
      </c>
      <c r="Z1117">
        <v>0.54155399999999998</v>
      </c>
      <c r="AA1117">
        <v>0.49052580000000001</v>
      </c>
      <c r="AB1117">
        <v>0.44997074999999997</v>
      </c>
    </row>
    <row r="1118" spans="1:28" hidden="1" x14ac:dyDescent="0.25">
      <c r="A1118" t="s">
        <v>7</v>
      </c>
      <c r="B1118" t="s">
        <v>62</v>
      </c>
      <c r="C1118">
        <v>110</v>
      </c>
      <c r="D1118" t="s">
        <v>2</v>
      </c>
      <c r="E1118">
        <v>21.698446799999999</v>
      </c>
      <c r="F1118">
        <v>20.959814999999999</v>
      </c>
      <c r="G1118">
        <v>20.551099099999998</v>
      </c>
      <c r="H1118">
        <v>20.837714399999999</v>
      </c>
      <c r="I1118">
        <v>21.853850250000001</v>
      </c>
      <c r="J1118">
        <v>23.9349484</v>
      </c>
      <c r="K1118">
        <v>31.468228400000001</v>
      </c>
      <c r="L1118">
        <v>34.374924</v>
      </c>
      <c r="M1118">
        <v>37.161016199999999</v>
      </c>
      <c r="N1118">
        <v>38.160574500000003</v>
      </c>
      <c r="O1118">
        <v>39.7087778</v>
      </c>
      <c r="P1118">
        <v>41.121514050000002</v>
      </c>
      <c r="Q1118">
        <v>41.197428000000002</v>
      </c>
      <c r="R1118">
        <v>40.186906649999997</v>
      </c>
      <c r="S1118">
        <v>41.390684999999998</v>
      </c>
      <c r="T1118">
        <v>40.372076800000002</v>
      </c>
      <c r="U1118">
        <v>39.835399549999998</v>
      </c>
      <c r="V1118">
        <v>37.706312199999999</v>
      </c>
      <c r="W1118">
        <v>36.321412049999999</v>
      </c>
      <c r="X1118">
        <v>36.203950800000001</v>
      </c>
      <c r="Y1118">
        <v>34.754877899999997</v>
      </c>
      <c r="Z1118">
        <v>28.8704091</v>
      </c>
      <c r="AA1118">
        <v>26.840580200000002</v>
      </c>
      <c r="AB1118">
        <v>24.237698000000002</v>
      </c>
    </row>
    <row r="1119" spans="1:28" hidden="1" x14ac:dyDescent="0.25">
      <c r="A1119" t="s">
        <v>7</v>
      </c>
      <c r="B1119" t="s">
        <v>62</v>
      </c>
      <c r="C1119">
        <v>110</v>
      </c>
      <c r="D1119" t="s">
        <v>3</v>
      </c>
      <c r="E1119">
        <v>8.268708578</v>
      </c>
      <c r="F1119">
        <v>8.6786010555999997</v>
      </c>
      <c r="G1119">
        <v>8.2298524214000004</v>
      </c>
      <c r="H1119">
        <v>8.6522718639999994</v>
      </c>
      <c r="I1119">
        <v>8.7665488943999996</v>
      </c>
      <c r="J1119">
        <v>9.0228925008999994</v>
      </c>
      <c r="K1119">
        <v>10.6984063181</v>
      </c>
      <c r="L1119">
        <v>11.8773545336</v>
      </c>
      <c r="M1119">
        <v>14.003984532300001</v>
      </c>
      <c r="N1119">
        <v>14.5284896648</v>
      </c>
      <c r="O1119">
        <v>15.427752590300001</v>
      </c>
      <c r="P1119">
        <v>16.508483059500001</v>
      </c>
      <c r="Q1119">
        <v>16.989969426399998</v>
      </c>
      <c r="R1119">
        <v>16.554720974399999</v>
      </c>
      <c r="S1119">
        <v>16.8618943743</v>
      </c>
      <c r="T1119">
        <v>16.5639740242</v>
      </c>
      <c r="U1119">
        <v>16.402579036900001</v>
      </c>
      <c r="V1119">
        <v>15.2488369105</v>
      </c>
      <c r="W1119">
        <v>14.4975396436</v>
      </c>
      <c r="X1119">
        <v>13.349370133400001</v>
      </c>
      <c r="Y1119">
        <v>12.1793591752</v>
      </c>
      <c r="Z1119">
        <v>10.3158837532</v>
      </c>
      <c r="AA1119">
        <v>9.6175527655999993</v>
      </c>
      <c r="AB1119">
        <v>9.3350217440000005</v>
      </c>
    </row>
    <row r="1120" spans="1:28" hidden="1" x14ac:dyDescent="0.25">
      <c r="A1120" t="s">
        <v>7</v>
      </c>
      <c r="B1120" t="s">
        <v>62</v>
      </c>
      <c r="C1120">
        <v>110</v>
      </c>
      <c r="D1120" t="s">
        <v>4</v>
      </c>
      <c r="E1120">
        <v>0.33043319999999998</v>
      </c>
      <c r="F1120">
        <v>0.319185</v>
      </c>
      <c r="G1120">
        <v>0.31296089999999999</v>
      </c>
      <c r="H1120">
        <v>0.31732559999999999</v>
      </c>
      <c r="I1120">
        <v>0.33279975000000001</v>
      </c>
      <c r="J1120">
        <v>0.36449160000000003</v>
      </c>
      <c r="K1120">
        <v>0.47921160000000002</v>
      </c>
      <c r="L1120">
        <v>0.52347600000000005</v>
      </c>
      <c r="M1120">
        <v>0.56590379999999996</v>
      </c>
      <c r="N1120">
        <v>0.58112549999999996</v>
      </c>
      <c r="O1120">
        <v>0.60470219999999997</v>
      </c>
      <c r="P1120">
        <v>0.62621594999999997</v>
      </c>
      <c r="Q1120">
        <v>0.62737200000000004</v>
      </c>
      <c r="R1120">
        <v>0.61198335000000004</v>
      </c>
      <c r="S1120">
        <v>0.63031499999999996</v>
      </c>
      <c r="T1120">
        <v>0.61480319999999999</v>
      </c>
      <c r="U1120">
        <v>0.60663045000000004</v>
      </c>
      <c r="V1120">
        <v>0.57420780000000005</v>
      </c>
      <c r="W1120">
        <v>0.55311794999999997</v>
      </c>
      <c r="X1120">
        <v>0.55132919999999996</v>
      </c>
      <c r="Y1120">
        <v>0.52926209999999996</v>
      </c>
      <c r="Z1120">
        <v>0.43965090000000001</v>
      </c>
      <c r="AA1120">
        <v>0.40873979999999999</v>
      </c>
      <c r="AB1120">
        <v>0.36910199999999999</v>
      </c>
    </row>
    <row r="1121" spans="1:28" hidden="1" x14ac:dyDescent="0.25">
      <c r="A1121" t="s">
        <v>7</v>
      </c>
      <c r="B1121" t="s">
        <v>63</v>
      </c>
      <c r="C1121">
        <v>110</v>
      </c>
      <c r="D1121" t="s">
        <v>2</v>
      </c>
      <c r="E1121">
        <v>6.4559066999999999</v>
      </c>
      <c r="F1121">
        <v>6.4212150000000001</v>
      </c>
      <c r="G1121">
        <v>6.2270123999999996</v>
      </c>
      <c r="H1121">
        <v>5.8078751999999998</v>
      </c>
      <c r="I1121">
        <v>6.0895655001</v>
      </c>
      <c r="J1121">
        <v>6.3972007</v>
      </c>
      <c r="K1121">
        <v>6.8189580000000003</v>
      </c>
      <c r="L1121">
        <v>7.2817109999999996</v>
      </c>
      <c r="M1121">
        <v>7.3175255999999997</v>
      </c>
      <c r="N1121">
        <v>7.3319755500000001</v>
      </c>
      <c r="O1121">
        <v>7.6649252499999996</v>
      </c>
      <c r="P1121">
        <v>7.7439616500000001</v>
      </c>
      <c r="Q1121">
        <v>8.0415399999999995</v>
      </c>
      <c r="R1121">
        <v>7.8979171499999996</v>
      </c>
      <c r="S1121">
        <v>8.1292050000000007</v>
      </c>
      <c r="T1121">
        <v>8.0467210999999992</v>
      </c>
      <c r="U1121">
        <v>8.0248343999999996</v>
      </c>
      <c r="V1121">
        <v>7.9706790999999999</v>
      </c>
      <c r="W1121">
        <v>8.4379729500000007</v>
      </c>
      <c r="X1121">
        <v>9.2649887999999994</v>
      </c>
      <c r="Y1121">
        <v>9.3546139499999992</v>
      </c>
      <c r="Z1121">
        <v>8.3068595999999992</v>
      </c>
      <c r="AA1121">
        <v>7.7686555999999998</v>
      </c>
      <c r="AB1121">
        <v>7.0991412499999997</v>
      </c>
    </row>
    <row r="1122" spans="1:28" hidden="1" x14ac:dyDescent="0.25">
      <c r="A1122" t="s">
        <v>7</v>
      </c>
      <c r="B1122" t="s">
        <v>63</v>
      </c>
      <c r="C1122">
        <v>110</v>
      </c>
      <c r="D1122" t="s">
        <v>3</v>
      </c>
      <c r="E1122">
        <v>2.8178795514999999</v>
      </c>
      <c r="F1122">
        <v>2.8733706145000002</v>
      </c>
      <c r="G1122">
        <v>2.7800606255</v>
      </c>
      <c r="H1122">
        <v>2.6247900003</v>
      </c>
      <c r="I1122">
        <v>2.7792748637</v>
      </c>
      <c r="J1122">
        <v>2.8447383480999999</v>
      </c>
      <c r="K1122">
        <v>2.7606215158</v>
      </c>
      <c r="L1122">
        <v>2.8223922691999999</v>
      </c>
      <c r="M1122">
        <v>3.1123977350000001</v>
      </c>
      <c r="N1122">
        <v>3.2567432941000001</v>
      </c>
      <c r="O1122">
        <v>3.4195384624999998</v>
      </c>
      <c r="P1122">
        <v>3.5165150966000001</v>
      </c>
      <c r="Q1122">
        <v>3.6420201404000001</v>
      </c>
      <c r="R1122">
        <v>3.6124162649999998</v>
      </c>
      <c r="S1122">
        <v>3.7182046615000002</v>
      </c>
      <c r="T1122">
        <v>3.7505736251999999</v>
      </c>
      <c r="U1122">
        <v>3.6793267039000002</v>
      </c>
      <c r="V1122">
        <v>3.6870623349999998</v>
      </c>
      <c r="W1122">
        <v>3.8417502164999999</v>
      </c>
      <c r="X1122">
        <v>3.5674735326999998</v>
      </c>
      <c r="Y1122">
        <v>3.2775579294999999</v>
      </c>
      <c r="Z1122">
        <v>2.9084833999000002</v>
      </c>
      <c r="AA1122">
        <v>2.9076697302999999</v>
      </c>
      <c r="AB1122">
        <v>2.8590570352000002</v>
      </c>
    </row>
    <row r="1123" spans="1:28" hidden="1" x14ac:dyDescent="0.25">
      <c r="A1123" t="s">
        <v>7</v>
      </c>
      <c r="B1123" t="s">
        <v>63</v>
      </c>
      <c r="C1123">
        <v>110</v>
      </c>
      <c r="D1123" t="s">
        <v>4</v>
      </c>
      <c r="E1123">
        <v>9.8313300000000006E-2</v>
      </c>
      <c r="F1123">
        <v>9.7784999999999997E-2</v>
      </c>
      <c r="G1123">
        <v>9.4827599999999998E-2</v>
      </c>
      <c r="H1123">
        <v>8.8444800000000004E-2</v>
      </c>
      <c r="I1123">
        <v>9.2734499900000003E-2</v>
      </c>
      <c r="J1123">
        <v>9.74193E-2</v>
      </c>
      <c r="K1123">
        <v>0.103842</v>
      </c>
      <c r="L1123">
        <v>0.110889</v>
      </c>
      <c r="M1123">
        <v>0.1114344</v>
      </c>
      <c r="N1123">
        <v>0.11165445</v>
      </c>
      <c r="O1123">
        <v>0.11672475</v>
      </c>
      <c r="P1123">
        <v>0.11792835</v>
      </c>
      <c r="Q1123">
        <v>0.12246</v>
      </c>
      <c r="R1123">
        <v>0.12027285</v>
      </c>
      <c r="S1123">
        <v>0.123795</v>
      </c>
      <c r="T1123">
        <v>0.12253890000000001</v>
      </c>
      <c r="U1123">
        <v>0.1222056</v>
      </c>
      <c r="V1123">
        <v>0.1213809</v>
      </c>
      <c r="W1123">
        <v>0.12849705</v>
      </c>
      <c r="X1123">
        <v>0.1410912</v>
      </c>
      <c r="Y1123">
        <v>0.14245605</v>
      </c>
      <c r="Z1123">
        <v>0.12650040000000001</v>
      </c>
      <c r="AA1123">
        <v>0.1183044</v>
      </c>
      <c r="AB1123">
        <v>0.10810875</v>
      </c>
    </row>
    <row r="1124" spans="1:28" hidden="1" x14ac:dyDescent="0.25">
      <c r="A1124" t="s">
        <v>7</v>
      </c>
      <c r="B1124" t="s">
        <v>64</v>
      </c>
      <c r="C1124">
        <v>44</v>
      </c>
      <c r="D1124" t="s">
        <v>2</v>
      </c>
      <c r="E1124">
        <v>2.7014694000000001</v>
      </c>
      <c r="F1124">
        <v>2.7341875</v>
      </c>
      <c r="G1124">
        <v>2.7382711999999998</v>
      </c>
      <c r="H1124">
        <v>2.7147972</v>
      </c>
      <c r="I1124">
        <v>2.6607099999999999</v>
      </c>
      <c r="J1124">
        <v>2.7031377999999999</v>
      </c>
      <c r="K1124">
        <v>2.8477066</v>
      </c>
      <c r="L1124">
        <v>2.9070900000000002</v>
      </c>
      <c r="M1124">
        <v>2.9039472000000002</v>
      </c>
      <c r="N1124">
        <v>2.9416123000000001</v>
      </c>
      <c r="O1124">
        <v>2.8727132000000002</v>
      </c>
      <c r="P1124">
        <v>2.7744813000000002</v>
      </c>
      <c r="Q1124">
        <v>2.802136</v>
      </c>
      <c r="R1124">
        <v>2.8363770000000001</v>
      </c>
      <c r="S1124">
        <v>2.9180025000000001</v>
      </c>
      <c r="T1124">
        <v>2.7878576000000002</v>
      </c>
      <c r="U1124">
        <v>2.8138147999999998</v>
      </c>
      <c r="V1124">
        <v>2.9398662999999998</v>
      </c>
      <c r="W1124">
        <v>3.1670693999999999</v>
      </c>
      <c r="X1124">
        <v>3.2396448000000002</v>
      </c>
      <c r="Y1124">
        <v>3.2866704000000002</v>
      </c>
      <c r="Z1124">
        <v>2.9005521999999999</v>
      </c>
      <c r="AA1124">
        <v>2.8043087999999998</v>
      </c>
      <c r="AB1124">
        <v>2.730356</v>
      </c>
    </row>
    <row r="1125" spans="1:28" hidden="1" x14ac:dyDescent="0.25">
      <c r="A1125" t="s">
        <v>7</v>
      </c>
      <c r="B1125" t="s">
        <v>64</v>
      </c>
      <c r="C1125">
        <v>44</v>
      </c>
      <c r="D1125" t="s">
        <v>3</v>
      </c>
      <c r="E1125">
        <v>1.1577322645999999</v>
      </c>
      <c r="F1125">
        <v>0.8506035663</v>
      </c>
      <c r="G1125">
        <v>1.0470021819999999</v>
      </c>
      <c r="H1125">
        <v>1.1028576019</v>
      </c>
      <c r="I1125">
        <v>0.93484532009999999</v>
      </c>
      <c r="J1125">
        <v>0.81724227729999999</v>
      </c>
      <c r="K1125">
        <v>0.90179683079999995</v>
      </c>
      <c r="L1125">
        <v>0.89782842330000001</v>
      </c>
      <c r="M1125">
        <v>0.65018123500000002</v>
      </c>
      <c r="N1125">
        <v>1.0111448000000001</v>
      </c>
      <c r="O1125">
        <v>1.0324265623</v>
      </c>
      <c r="P1125">
        <v>0.8761789754</v>
      </c>
      <c r="Q1125">
        <v>0.93407781550000002</v>
      </c>
      <c r="R1125">
        <v>1.0583735926</v>
      </c>
      <c r="S1125">
        <v>1.1052987324000001</v>
      </c>
      <c r="T1125">
        <v>1.1151142269000001</v>
      </c>
      <c r="U1125">
        <v>1.1656885045000001</v>
      </c>
      <c r="V1125">
        <v>1.1759161358000001</v>
      </c>
      <c r="W1125">
        <v>1.3334584662</v>
      </c>
      <c r="X1125">
        <v>1.0944211328</v>
      </c>
      <c r="Y1125">
        <v>0.98993845609999997</v>
      </c>
      <c r="Z1125">
        <v>0.92968813549999996</v>
      </c>
      <c r="AA1125">
        <v>0.9653945277</v>
      </c>
      <c r="AB1125">
        <v>0.94321579649999998</v>
      </c>
    </row>
    <row r="1126" spans="1:28" hidden="1" x14ac:dyDescent="0.25">
      <c r="A1126" t="s">
        <v>7</v>
      </c>
      <c r="B1126" t="s">
        <v>64</v>
      </c>
      <c r="C1126">
        <v>44</v>
      </c>
      <c r="D1126" t="s">
        <v>4</v>
      </c>
      <c r="E1126">
        <v>8.3550600000000003E-2</v>
      </c>
      <c r="F1126">
        <v>8.4562499999999999E-2</v>
      </c>
      <c r="G1126">
        <v>8.4688799999999995E-2</v>
      </c>
      <c r="H1126">
        <v>8.3962800000000004E-2</v>
      </c>
      <c r="I1126">
        <v>8.2290000000000002E-2</v>
      </c>
      <c r="J1126">
        <v>8.3602200000000002E-2</v>
      </c>
      <c r="K1126">
        <v>8.8073399999999996E-2</v>
      </c>
      <c r="L1126">
        <v>8.9910000000000004E-2</v>
      </c>
      <c r="M1126">
        <v>8.9812799999999998E-2</v>
      </c>
      <c r="N1126">
        <v>9.0977699999999995E-2</v>
      </c>
      <c r="O1126">
        <v>8.8846800000000004E-2</v>
      </c>
      <c r="P1126">
        <v>8.5808700000000002E-2</v>
      </c>
      <c r="Q1126">
        <v>8.6664000000000005E-2</v>
      </c>
      <c r="R1126">
        <v>8.7722999999999995E-2</v>
      </c>
      <c r="S1126">
        <v>9.0247499999999994E-2</v>
      </c>
      <c r="T1126">
        <v>8.6222400000000005E-2</v>
      </c>
      <c r="U1126">
        <v>8.7025199999999997E-2</v>
      </c>
      <c r="V1126">
        <v>9.0923699999999996E-2</v>
      </c>
      <c r="W1126">
        <v>9.7950599999999999E-2</v>
      </c>
      <c r="X1126">
        <v>0.1001952</v>
      </c>
      <c r="Y1126">
        <v>0.10164960000000001</v>
      </c>
      <c r="Z1126">
        <v>8.9707800000000004E-2</v>
      </c>
      <c r="AA1126">
        <v>8.6731199999999994E-2</v>
      </c>
      <c r="AB1126">
        <v>8.4444000000000005E-2</v>
      </c>
    </row>
    <row r="1127" spans="1:28" hidden="1" x14ac:dyDescent="0.25">
      <c r="A1127" t="s">
        <v>7</v>
      </c>
      <c r="B1127" t="s">
        <v>65</v>
      </c>
      <c r="C1127">
        <v>110</v>
      </c>
      <c r="D1127" t="s">
        <v>2</v>
      </c>
      <c r="E1127">
        <v>20.955914400000001</v>
      </c>
      <c r="F1127">
        <v>19.647302499999999</v>
      </c>
      <c r="G1127">
        <v>19.229327600000001</v>
      </c>
      <c r="H1127">
        <v>18.748056600000002</v>
      </c>
      <c r="I1127">
        <v>20.00411875</v>
      </c>
      <c r="J1127">
        <v>23.7856421</v>
      </c>
      <c r="K1127">
        <v>29.207870100000001</v>
      </c>
      <c r="L1127">
        <v>33.902596799999998</v>
      </c>
      <c r="M1127">
        <v>39.973348799999997</v>
      </c>
      <c r="N1127">
        <v>44.334869699999999</v>
      </c>
      <c r="O1127">
        <v>47.969037049999997</v>
      </c>
      <c r="P1127">
        <v>50.143306350000003</v>
      </c>
      <c r="Q1127">
        <v>51.048314499999996</v>
      </c>
      <c r="R1127">
        <v>50.798311650000002</v>
      </c>
      <c r="S1127">
        <v>51.909007500000001</v>
      </c>
      <c r="T1127">
        <v>52.5267798</v>
      </c>
      <c r="U1127">
        <v>52.799762700000002</v>
      </c>
      <c r="V1127">
        <v>51.412350799999999</v>
      </c>
      <c r="W1127">
        <v>54.722492549999998</v>
      </c>
      <c r="X1127">
        <v>49.3629204</v>
      </c>
      <c r="Y1127">
        <v>41.638461749999998</v>
      </c>
      <c r="Z1127">
        <v>31.2864565</v>
      </c>
      <c r="AA1127">
        <v>27.240253800000001</v>
      </c>
      <c r="AB1127">
        <v>24.260057499999998</v>
      </c>
    </row>
    <row r="1128" spans="1:28" hidden="1" x14ac:dyDescent="0.25">
      <c r="A1128" t="s">
        <v>7</v>
      </c>
      <c r="B1128" t="s">
        <v>65</v>
      </c>
      <c r="C1128">
        <v>110</v>
      </c>
      <c r="D1128" t="s">
        <v>3</v>
      </c>
      <c r="E1128">
        <v>6.0649002107000003</v>
      </c>
      <c r="F1128">
        <v>5.7775216039000004</v>
      </c>
      <c r="G1128">
        <v>5.7765470547</v>
      </c>
      <c r="H1128">
        <v>5.6645818564999999</v>
      </c>
      <c r="I1128">
        <v>6.0486188968999999</v>
      </c>
      <c r="J1128">
        <v>6.7408418087999999</v>
      </c>
      <c r="K1128">
        <v>7.1356607895000002</v>
      </c>
      <c r="L1128">
        <v>8.3022706146999994</v>
      </c>
      <c r="M1128">
        <v>10.3901032424</v>
      </c>
      <c r="N1128">
        <v>12.230778598800001</v>
      </c>
      <c r="O1128">
        <v>13.7401458339</v>
      </c>
      <c r="P1128">
        <v>14.927827908599999</v>
      </c>
      <c r="Q1128">
        <v>15.6879753455</v>
      </c>
      <c r="R1128">
        <v>15.4820535281</v>
      </c>
      <c r="S1128">
        <v>15.9195776365</v>
      </c>
      <c r="T1128">
        <v>16.313871714400001</v>
      </c>
      <c r="U1128">
        <v>16.5716999192</v>
      </c>
      <c r="V1128">
        <v>16.092826841899999</v>
      </c>
      <c r="W1128">
        <v>16.463669522299998</v>
      </c>
      <c r="X1128">
        <v>13.3278025825</v>
      </c>
      <c r="Y1128">
        <v>10.910968874</v>
      </c>
      <c r="Z1128">
        <v>8.3852308941999993</v>
      </c>
      <c r="AA1128">
        <v>7.5148413755999997</v>
      </c>
      <c r="AB1128">
        <v>6.8570089617000001</v>
      </c>
    </row>
    <row r="1129" spans="1:28" hidden="1" x14ac:dyDescent="0.25">
      <c r="A1129" t="s">
        <v>7</v>
      </c>
      <c r="B1129" t="s">
        <v>65</v>
      </c>
      <c r="C1129">
        <v>110</v>
      </c>
      <c r="D1129" t="s">
        <v>4</v>
      </c>
      <c r="E1129">
        <v>0.31912560000000001</v>
      </c>
      <c r="F1129">
        <v>0.29919750000000001</v>
      </c>
      <c r="G1129">
        <v>0.29283239999999999</v>
      </c>
      <c r="H1129">
        <v>0.28550340000000002</v>
      </c>
      <c r="I1129">
        <v>0.30463125000000002</v>
      </c>
      <c r="J1129">
        <v>0.36221789999999998</v>
      </c>
      <c r="K1129">
        <v>0.44478990000000002</v>
      </c>
      <c r="L1129">
        <v>0.51628320000000005</v>
      </c>
      <c r="M1129">
        <v>0.60873120000000003</v>
      </c>
      <c r="N1129">
        <v>0.67515029999999998</v>
      </c>
      <c r="O1129">
        <v>0.73049295000000003</v>
      </c>
      <c r="P1129">
        <v>0.76360364999999997</v>
      </c>
      <c r="Q1129">
        <v>0.77738549999999995</v>
      </c>
      <c r="R1129">
        <v>0.77357834999999997</v>
      </c>
      <c r="S1129">
        <v>0.79049250000000004</v>
      </c>
      <c r="T1129">
        <v>0.79990019999999995</v>
      </c>
      <c r="U1129">
        <v>0.80405729999999997</v>
      </c>
      <c r="V1129">
        <v>0.78292919999999999</v>
      </c>
      <c r="W1129">
        <v>0.83333745000000004</v>
      </c>
      <c r="X1129">
        <v>0.75171960000000004</v>
      </c>
      <c r="Y1129">
        <v>0.63408825000000002</v>
      </c>
      <c r="Z1129">
        <v>0.47644350000000002</v>
      </c>
      <c r="AA1129">
        <v>0.41482619999999998</v>
      </c>
      <c r="AB1129">
        <v>0.36944250000000001</v>
      </c>
    </row>
    <row r="1130" spans="1:28" hidden="1" x14ac:dyDescent="0.25">
      <c r="A1130" t="s">
        <v>7</v>
      </c>
      <c r="B1130" t="s">
        <v>66</v>
      </c>
      <c r="C1130">
        <v>110</v>
      </c>
      <c r="D1130" t="s">
        <v>2</v>
      </c>
      <c r="E1130">
        <v>3.8157915</v>
      </c>
      <c r="F1130">
        <v>3.9274412500000002</v>
      </c>
      <c r="G1130">
        <v>3.9065691</v>
      </c>
      <c r="H1130">
        <v>3.8948081999999999</v>
      </c>
      <c r="I1130">
        <v>4.1359165000000004</v>
      </c>
      <c r="J1130">
        <v>5.4669075999999999</v>
      </c>
      <c r="K1130">
        <v>7.5134815000000001</v>
      </c>
      <c r="L1130">
        <v>8.3182068000000005</v>
      </c>
      <c r="M1130">
        <v>8.0820431999999993</v>
      </c>
      <c r="N1130">
        <v>7.1890520499999999</v>
      </c>
      <c r="O1130">
        <v>6.8314576499999999</v>
      </c>
      <c r="P1130">
        <v>6.6816687000000003</v>
      </c>
      <c r="Q1130">
        <v>7.3301730000000003</v>
      </c>
      <c r="R1130">
        <v>6.83677665</v>
      </c>
      <c r="S1130">
        <v>6.3140962500000004</v>
      </c>
      <c r="T1130">
        <v>6.4619939999999998</v>
      </c>
      <c r="U1130">
        <v>6.6721634500000002</v>
      </c>
      <c r="V1130">
        <v>6.7647830000000004</v>
      </c>
      <c r="W1130">
        <v>8.0566893000000004</v>
      </c>
      <c r="X1130">
        <v>9.0132227999999994</v>
      </c>
      <c r="Y1130">
        <v>8.5683770999999993</v>
      </c>
      <c r="Z1130">
        <v>6.5830504999999997</v>
      </c>
      <c r="AA1130">
        <v>5.5080017999999997</v>
      </c>
      <c r="AB1130">
        <v>4.3377429999999997</v>
      </c>
    </row>
    <row r="1131" spans="1:28" hidden="1" x14ac:dyDescent="0.25">
      <c r="A1131" t="s">
        <v>7</v>
      </c>
      <c r="B1131" t="s">
        <v>66</v>
      </c>
      <c r="C1131">
        <v>110</v>
      </c>
      <c r="D1131" t="s">
        <v>3</v>
      </c>
      <c r="E1131">
        <v>1.3070343217</v>
      </c>
      <c r="F1131">
        <v>1.6992576522</v>
      </c>
      <c r="G1131">
        <v>1.7147780770000001</v>
      </c>
      <c r="H1131">
        <v>1.7447971202000001</v>
      </c>
      <c r="I1131">
        <v>1.9003680637</v>
      </c>
      <c r="J1131">
        <v>2.5141506492999999</v>
      </c>
      <c r="K1131">
        <v>3.2045789727999998</v>
      </c>
      <c r="L1131">
        <v>3.7048631464000001</v>
      </c>
      <c r="M1131">
        <v>3.9259789827999998</v>
      </c>
      <c r="N1131">
        <v>3.1701042452000001</v>
      </c>
      <c r="O1131">
        <v>3.2538648685</v>
      </c>
      <c r="P1131">
        <v>3.4830525596999999</v>
      </c>
      <c r="Q1131">
        <v>3.3011872404</v>
      </c>
      <c r="R1131">
        <v>2.9354891429999999</v>
      </c>
      <c r="S1131">
        <v>2.4941000082999998</v>
      </c>
      <c r="T1131">
        <v>2.3684674093</v>
      </c>
      <c r="U1131">
        <v>2.4818344152999998</v>
      </c>
      <c r="V1131">
        <v>3.4087689745</v>
      </c>
      <c r="W1131">
        <v>3.7538268403999999</v>
      </c>
      <c r="X1131">
        <v>4.553303401</v>
      </c>
      <c r="Y1131">
        <v>3.8896303720000001</v>
      </c>
      <c r="Z1131">
        <v>2.8774880772999998</v>
      </c>
      <c r="AA1131">
        <v>2.7628812562</v>
      </c>
      <c r="AB1131">
        <v>1.9355719939</v>
      </c>
    </row>
    <row r="1132" spans="1:28" hidden="1" x14ac:dyDescent="0.25">
      <c r="A1132" t="s">
        <v>7</v>
      </c>
      <c r="B1132" t="s">
        <v>66</v>
      </c>
      <c r="C1132">
        <v>110</v>
      </c>
      <c r="D1132" t="s">
        <v>4</v>
      </c>
      <c r="E1132">
        <v>5.81085E-2</v>
      </c>
      <c r="F1132">
        <v>5.9808750000000001E-2</v>
      </c>
      <c r="G1132">
        <v>5.9490899999999999E-2</v>
      </c>
      <c r="H1132">
        <v>5.9311799999999998E-2</v>
      </c>
      <c r="I1132">
        <v>6.2983499999999998E-2</v>
      </c>
      <c r="J1132">
        <v>8.3252400000000004E-2</v>
      </c>
      <c r="K1132">
        <v>0.11441850000000001</v>
      </c>
      <c r="L1132">
        <v>0.12667320000000001</v>
      </c>
      <c r="M1132">
        <v>0.1230768</v>
      </c>
      <c r="N1132">
        <v>0.10947795</v>
      </c>
      <c r="O1132">
        <v>0.10403235</v>
      </c>
      <c r="P1132">
        <v>0.1017513</v>
      </c>
      <c r="Q1132">
        <v>0.111627</v>
      </c>
      <c r="R1132">
        <v>0.10411334999999999</v>
      </c>
      <c r="S1132">
        <v>9.6153749900000002E-2</v>
      </c>
      <c r="T1132">
        <v>9.8405999999999993E-2</v>
      </c>
      <c r="U1132">
        <v>0.10160655</v>
      </c>
      <c r="V1132">
        <v>0.103017</v>
      </c>
      <c r="W1132">
        <v>0.1226907</v>
      </c>
      <c r="X1132">
        <v>0.1372572</v>
      </c>
      <c r="Y1132">
        <v>0.13048290000000001</v>
      </c>
      <c r="Z1132">
        <v>0.10024950000000001</v>
      </c>
      <c r="AA1132">
        <v>8.38782E-2</v>
      </c>
      <c r="AB1132">
        <v>6.6057000000000005E-2</v>
      </c>
    </row>
    <row r="1133" spans="1:28" hidden="1" x14ac:dyDescent="0.25">
      <c r="A1133" t="s">
        <v>7</v>
      </c>
      <c r="B1133" t="s">
        <v>67</v>
      </c>
      <c r="C1133">
        <v>110</v>
      </c>
      <c r="D1133" t="s">
        <v>2</v>
      </c>
      <c r="E1133">
        <v>2.2791619500000002</v>
      </c>
      <c r="F1133">
        <v>2.2918487500000002</v>
      </c>
      <c r="G1133">
        <v>2.4770976999999998</v>
      </c>
      <c r="H1133">
        <v>2.4918923999999998</v>
      </c>
      <c r="I1133">
        <v>2.6395045000000001</v>
      </c>
      <c r="J1133">
        <v>2.7449389000000002</v>
      </c>
      <c r="K1133">
        <v>2.3740076000000001</v>
      </c>
      <c r="L1133">
        <v>2.1779532000000001</v>
      </c>
      <c r="M1133">
        <v>2.2389443999999998</v>
      </c>
      <c r="N1133">
        <v>2.2010219000000002</v>
      </c>
      <c r="O1133">
        <v>2.21761915</v>
      </c>
      <c r="P1133">
        <v>2.2631458499999999</v>
      </c>
      <c r="Q1133">
        <v>2.4279264999999999</v>
      </c>
      <c r="R1133">
        <v>2.3496682500000001</v>
      </c>
      <c r="S1133">
        <v>2.4201450000000002</v>
      </c>
      <c r="T1133">
        <v>2.2309264999999998</v>
      </c>
      <c r="U1133">
        <v>2.1885911999999998</v>
      </c>
      <c r="V1133">
        <v>2.2059074999999999</v>
      </c>
      <c r="W1133">
        <v>2.6192529000000002</v>
      </c>
      <c r="X1133">
        <v>2.8365635999999999</v>
      </c>
      <c r="Y1133">
        <v>2.6796235500000001</v>
      </c>
      <c r="Z1133">
        <v>2.2124478999999999</v>
      </c>
      <c r="AA1133">
        <v>2.1857150000000001</v>
      </c>
      <c r="AB1133">
        <v>2.1576917500000001</v>
      </c>
    </row>
    <row r="1134" spans="1:28" hidden="1" x14ac:dyDescent="0.25">
      <c r="A1134" t="s">
        <v>7</v>
      </c>
      <c r="B1134" t="s">
        <v>67</v>
      </c>
      <c r="C1134">
        <v>110</v>
      </c>
      <c r="D1134" t="s">
        <v>3</v>
      </c>
      <c r="E1134">
        <v>0.15917914389999999</v>
      </c>
      <c r="F1134">
        <v>0.1875036792</v>
      </c>
      <c r="G1134">
        <v>0.25409657499999999</v>
      </c>
      <c r="H1134">
        <v>0.28373357580000003</v>
      </c>
      <c r="I1134">
        <v>0.33140201949999998</v>
      </c>
      <c r="J1134">
        <v>0.3430696177</v>
      </c>
      <c r="K1134">
        <v>0.23172487929999999</v>
      </c>
      <c r="L1134">
        <v>0.2132660441</v>
      </c>
      <c r="M1134">
        <v>0.1007043371</v>
      </c>
      <c r="N1134">
        <v>7.7542178200000006E-2</v>
      </c>
      <c r="O1134">
        <v>2.42942581E-2</v>
      </c>
      <c r="P1134">
        <v>6.6390065999999998E-2</v>
      </c>
      <c r="Q1134">
        <v>0.19983208760000001</v>
      </c>
      <c r="R1134">
        <v>0.16477975680000001</v>
      </c>
      <c r="S1134">
        <v>0.17041608829999999</v>
      </c>
      <c r="T1134">
        <v>0.1181736526</v>
      </c>
      <c r="U1134">
        <v>0.138278649</v>
      </c>
      <c r="V1134">
        <v>0.23820738659999999</v>
      </c>
      <c r="W1134">
        <v>0.3031217262</v>
      </c>
      <c r="X1134">
        <v>0.33224841929999999</v>
      </c>
      <c r="Y1134">
        <v>0.2903704909</v>
      </c>
      <c r="Z1134">
        <v>0.2370301749</v>
      </c>
      <c r="AA1134">
        <v>0.22849626819999999</v>
      </c>
      <c r="AB1134">
        <v>0.2266133444</v>
      </c>
    </row>
    <row r="1135" spans="1:28" hidden="1" x14ac:dyDescent="0.25">
      <c r="A1135" t="s">
        <v>7</v>
      </c>
      <c r="B1135" t="s">
        <v>67</v>
      </c>
      <c r="C1135">
        <v>110</v>
      </c>
      <c r="D1135" t="s">
        <v>4</v>
      </c>
      <c r="E1135">
        <v>3.4708049999999997E-2</v>
      </c>
      <c r="F1135">
        <v>3.4901250000000002E-2</v>
      </c>
      <c r="G1135">
        <v>3.77223E-2</v>
      </c>
      <c r="H1135">
        <v>3.7947599999999998E-2</v>
      </c>
      <c r="I1135">
        <v>4.0195500000000002E-2</v>
      </c>
      <c r="J1135">
        <v>4.1801100000000001E-2</v>
      </c>
      <c r="K1135">
        <v>3.6152400000000001E-2</v>
      </c>
      <c r="L1135">
        <v>3.3166800000000003E-2</v>
      </c>
      <c r="M1135">
        <v>3.4095599999999997E-2</v>
      </c>
      <c r="N1135">
        <v>3.3518100000000002E-2</v>
      </c>
      <c r="O1135">
        <v>3.3770849999999998E-2</v>
      </c>
      <c r="P1135">
        <v>3.4464149999999999E-2</v>
      </c>
      <c r="Q1135">
        <v>3.6973499999999999E-2</v>
      </c>
      <c r="R1135">
        <v>3.5781750000000001E-2</v>
      </c>
      <c r="S1135">
        <v>3.6854999999999999E-2</v>
      </c>
      <c r="T1135">
        <v>3.3973499999999997E-2</v>
      </c>
      <c r="U1135">
        <v>3.3328799999999999E-2</v>
      </c>
      <c r="V1135">
        <v>3.3592499999999997E-2</v>
      </c>
      <c r="W1135">
        <v>3.9887100000000002E-2</v>
      </c>
      <c r="X1135">
        <v>4.3196400000000003E-2</v>
      </c>
      <c r="Y1135">
        <v>4.0806450000000001E-2</v>
      </c>
      <c r="Z1135">
        <v>3.3692100000000003E-2</v>
      </c>
      <c r="AA1135">
        <v>3.3285000000000002E-2</v>
      </c>
      <c r="AB1135">
        <v>3.2858249999999999E-2</v>
      </c>
    </row>
    <row r="1136" spans="1:28" hidden="1" x14ac:dyDescent="0.25">
      <c r="A1136" t="s">
        <v>7</v>
      </c>
      <c r="B1136" t="s">
        <v>68</v>
      </c>
      <c r="C1136">
        <v>110</v>
      </c>
      <c r="D1136" t="s">
        <v>2</v>
      </c>
      <c r="E1136">
        <v>3.3826475999999999</v>
      </c>
      <c r="F1136">
        <v>3.0490675</v>
      </c>
      <c r="G1136">
        <v>3.1037153000000002</v>
      </c>
      <c r="H1136">
        <v>2.9628011999999999</v>
      </c>
      <c r="I1136">
        <v>3.2110507500000001</v>
      </c>
      <c r="J1136">
        <v>3.8360234000000002</v>
      </c>
      <c r="K1136">
        <v>3.914587</v>
      </c>
      <c r="L1136">
        <v>4.0016610000000004</v>
      </c>
      <c r="M1136">
        <v>3.6997190999999998</v>
      </c>
      <c r="N1136">
        <v>4.6021367</v>
      </c>
      <c r="O1136">
        <v>4.6882552500000001</v>
      </c>
      <c r="P1136">
        <v>4.9419715499999999</v>
      </c>
      <c r="Q1136">
        <v>5.319788</v>
      </c>
      <c r="R1136">
        <v>5.1995884500000003</v>
      </c>
      <c r="S1136">
        <v>4.7782349999999996</v>
      </c>
      <c r="T1136">
        <v>5.0618952999999998</v>
      </c>
      <c r="U1136">
        <v>5.0307200500000002</v>
      </c>
      <c r="V1136">
        <v>4.8088783499999996</v>
      </c>
      <c r="W1136">
        <v>5.5369016999999996</v>
      </c>
      <c r="X1136">
        <v>6.8816040000000003</v>
      </c>
      <c r="Y1136">
        <v>6.8194012500000003</v>
      </c>
      <c r="Z1136">
        <v>5.1578540000000004</v>
      </c>
      <c r="AA1136">
        <v>4.2090626000000002</v>
      </c>
      <c r="AB1136">
        <v>3.1191502500000001</v>
      </c>
    </row>
    <row r="1137" spans="1:28" hidden="1" x14ac:dyDescent="0.25">
      <c r="A1137" t="s">
        <v>7</v>
      </c>
      <c r="B1137" t="s">
        <v>68</v>
      </c>
      <c r="C1137">
        <v>110</v>
      </c>
      <c r="D1137" t="s">
        <v>3</v>
      </c>
      <c r="E1137">
        <v>1.6578815250000001</v>
      </c>
      <c r="F1137">
        <v>1.2618403116000001</v>
      </c>
      <c r="G1137">
        <v>1.6262801549000001</v>
      </c>
      <c r="H1137">
        <v>1.3151536918</v>
      </c>
      <c r="I1137">
        <v>1.3871892540999999</v>
      </c>
      <c r="J1137">
        <v>1.6662350136999999</v>
      </c>
      <c r="K1137">
        <v>1.9449926228000001</v>
      </c>
      <c r="L1137">
        <v>2.0442362575000002</v>
      </c>
      <c r="M1137">
        <v>1.6531607493</v>
      </c>
      <c r="N1137">
        <v>2.0428360402000001</v>
      </c>
      <c r="O1137">
        <v>2.0810630832000001</v>
      </c>
      <c r="P1137">
        <v>2.0903443683999998</v>
      </c>
      <c r="Q1137">
        <v>2.2662201980000001</v>
      </c>
      <c r="R1137">
        <v>2.3233535590000001</v>
      </c>
      <c r="S1137">
        <v>2.0210874389</v>
      </c>
      <c r="T1137">
        <v>2.2319574753999998</v>
      </c>
      <c r="U1137">
        <v>2.1582146475999999</v>
      </c>
      <c r="V1137">
        <v>2.0918211884</v>
      </c>
      <c r="W1137">
        <v>2.4740766300999999</v>
      </c>
      <c r="X1137">
        <v>2.9388070502999999</v>
      </c>
      <c r="Y1137">
        <v>2.6236229817000001</v>
      </c>
      <c r="Z1137">
        <v>2.082688493</v>
      </c>
      <c r="AA1137">
        <v>1.9494540025</v>
      </c>
      <c r="AB1137">
        <v>1.6751368307000001</v>
      </c>
    </row>
    <row r="1138" spans="1:28" hidden="1" x14ac:dyDescent="0.25">
      <c r="A1138" t="s">
        <v>7</v>
      </c>
      <c r="B1138" t="s">
        <v>68</v>
      </c>
      <c r="C1138">
        <v>110</v>
      </c>
      <c r="D1138" t="s">
        <v>4</v>
      </c>
      <c r="E1138">
        <v>5.15124E-2</v>
      </c>
      <c r="F1138">
        <v>4.6432500000000002E-2</v>
      </c>
      <c r="G1138">
        <v>4.72647E-2</v>
      </c>
      <c r="H1138">
        <v>4.5118800000000001E-2</v>
      </c>
      <c r="I1138">
        <v>4.8899249999999998E-2</v>
      </c>
      <c r="J1138">
        <v>5.8416599999999999E-2</v>
      </c>
      <c r="K1138">
        <v>5.9612999999999999E-2</v>
      </c>
      <c r="L1138">
        <v>6.0939E-2</v>
      </c>
      <c r="M1138">
        <v>5.6340899999999999E-2</v>
      </c>
      <c r="N1138">
        <v>7.0083300000000001E-2</v>
      </c>
      <c r="O1138">
        <v>7.1394750000000007E-2</v>
      </c>
      <c r="P1138">
        <v>7.5258450000000005E-2</v>
      </c>
      <c r="Q1138">
        <v>8.1012000000000001E-2</v>
      </c>
      <c r="R1138">
        <v>7.9181550000000003E-2</v>
      </c>
      <c r="S1138">
        <v>7.2764999999999996E-2</v>
      </c>
      <c r="T1138">
        <v>7.7084700000000006E-2</v>
      </c>
      <c r="U1138">
        <v>7.6609949999999996E-2</v>
      </c>
      <c r="V1138">
        <v>7.3231649999999995E-2</v>
      </c>
      <c r="W1138">
        <v>8.4318299999999999E-2</v>
      </c>
      <c r="X1138">
        <v>0.104796</v>
      </c>
      <c r="Y1138">
        <v>0.10384875</v>
      </c>
      <c r="Z1138">
        <v>7.8546000000000005E-2</v>
      </c>
      <c r="AA1138">
        <v>6.4097399999999999E-2</v>
      </c>
      <c r="AB1138">
        <v>4.749975E-2</v>
      </c>
    </row>
    <row r="1139" spans="1:28" hidden="1" x14ac:dyDescent="0.25">
      <c r="A1139" t="s">
        <v>7</v>
      </c>
      <c r="B1139" t="s">
        <v>69</v>
      </c>
      <c r="C1139">
        <v>110</v>
      </c>
      <c r="D1139" t="s">
        <v>2</v>
      </c>
      <c r="E1139">
        <v>32.66111265</v>
      </c>
      <c r="F1139">
        <v>33.075315000000003</v>
      </c>
      <c r="G1139">
        <v>30.420326299999999</v>
      </c>
      <c r="H1139">
        <v>30.471723600000001</v>
      </c>
      <c r="I1139">
        <v>29.398260749999999</v>
      </c>
      <c r="J1139">
        <v>30.722642499999999</v>
      </c>
      <c r="K1139">
        <v>28.185026400000002</v>
      </c>
      <c r="L1139">
        <v>27.460578600000002</v>
      </c>
      <c r="M1139">
        <v>28.232542800000001</v>
      </c>
      <c r="N1139">
        <v>29.22785575</v>
      </c>
      <c r="O1139">
        <v>30.1536671</v>
      </c>
      <c r="P1139">
        <v>30.898868849999999</v>
      </c>
      <c r="Q1139">
        <v>30.727961499999999</v>
      </c>
      <c r="R1139">
        <v>29.909002950000001</v>
      </c>
      <c r="S1139">
        <v>32.082434999999997</v>
      </c>
      <c r="T1139">
        <v>32.571526900000002</v>
      </c>
      <c r="U1139">
        <v>32.661683949999997</v>
      </c>
      <c r="V1139">
        <v>31.412122799999999</v>
      </c>
      <c r="W1139">
        <v>34.912320299999998</v>
      </c>
      <c r="X1139">
        <v>36.589992000000002</v>
      </c>
      <c r="Y1139">
        <v>37.081497149999997</v>
      </c>
      <c r="Z1139">
        <v>34.584768400000002</v>
      </c>
      <c r="AA1139">
        <v>34.584256199999999</v>
      </c>
      <c r="AB1139">
        <v>33.136778999999997</v>
      </c>
    </row>
    <row r="1140" spans="1:28" hidden="1" x14ac:dyDescent="0.25">
      <c r="A1140" t="s">
        <v>7</v>
      </c>
      <c r="B1140" t="s">
        <v>69</v>
      </c>
      <c r="C1140">
        <v>110</v>
      </c>
      <c r="D1140" t="s">
        <v>3</v>
      </c>
      <c r="E1140">
        <v>13.4284291969</v>
      </c>
      <c r="F1140">
        <v>13.711332824099999</v>
      </c>
      <c r="G1140">
        <v>12.4959170588</v>
      </c>
      <c r="H1140">
        <v>12.585345734900001</v>
      </c>
      <c r="I1140">
        <v>12.1555051774</v>
      </c>
      <c r="J1140">
        <v>12.598355703999999</v>
      </c>
      <c r="K1140">
        <v>11.3974521592</v>
      </c>
      <c r="L1140">
        <v>11.077207659100001</v>
      </c>
      <c r="M1140">
        <v>11.841546276400001</v>
      </c>
      <c r="N1140">
        <v>12.5880624663</v>
      </c>
      <c r="O1140">
        <v>13.265381977700001</v>
      </c>
      <c r="P1140">
        <v>13.929967918599999</v>
      </c>
      <c r="Q1140">
        <v>13.974106949699999</v>
      </c>
      <c r="R1140">
        <v>13.249778751599999</v>
      </c>
      <c r="S1140">
        <v>14.4607305974</v>
      </c>
      <c r="T1140">
        <v>14.8665774162</v>
      </c>
      <c r="U1140">
        <v>15.0263113274</v>
      </c>
      <c r="V1140">
        <v>14.1512376433</v>
      </c>
      <c r="W1140">
        <v>15.417762633400001</v>
      </c>
      <c r="X1140">
        <v>14.978440859199999</v>
      </c>
      <c r="Y1140">
        <v>15.0203111312</v>
      </c>
      <c r="Z1140">
        <v>13.892888663100001</v>
      </c>
      <c r="AA1140">
        <v>13.862493174600001</v>
      </c>
      <c r="AB1140">
        <v>13.521905977999999</v>
      </c>
    </row>
    <row r="1141" spans="1:28" hidden="1" x14ac:dyDescent="0.25">
      <c r="A1141" t="s">
        <v>7</v>
      </c>
      <c r="B1141" t="s">
        <v>69</v>
      </c>
      <c r="C1141">
        <v>110</v>
      </c>
      <c r="D1141" t="s">
        <v>4</v>
      </c>
      <c r="E1141">
        <v>0.49737735</v>
      </c>
      <c r="F1141">
        <v>0.50368500000000005</v>
      </c>
      <c r="G1141">
        <v>0.46325369999999999</v>
      </c>
      <c r="H1141">
        <v>0.46403640000000002</v>
      </c>
      <c r="I1141">
        <v>0.44768924999999998</v>
      </c>
      <c r="J1141">
        <v>0.46785749999999998</v>
      </c>
      <c r="K1141">
        <v>0.42921359999999997</v>
      </c>
      <c r="L1141">
        <v>0.41818139999999998</v>
      </c>
      <c r="M1141">
        <v>0.42993720000000002</v>
      </c>
      <c r="N1141">
        <v>0.44509425000000002</v>
      </c>
      <c r="O1141">
        <v>0.45919290000000001</v>
      </c>
      <c r="P1141">
        <v>0.47054115000000002</v>
      </c>
      <c r="Q1141">
        <v>0.46793849999999998</v>
      </c>
      <c r="R1141">
        <v>0.45546704999999998</v>
      </c>
      <c r="S1141">
        <v>0.48856500000000003</v>
      </c>
      <c r="T1141">
        <v>0.49601309999999998</v>
      </c>
      <c r="U1141">
        <v>0.49738605000000002</v>
      </c>
      <c r="V1141">
        <v>0.47835719999999998</v>
      </c>
      <c r="W1141">
        <v>0.53165969999999996</v>
      </c>
      <c r="X1141">
        <v>0.55720800000000004</v>
      </c>
      <c r="Y1141">
        <v>0.56469285000000002</v>
      </c>
      <c r="Z1141">
        <v>0.52667160000000002</v>
      </c>
      <c r="AA1141">
        <v>0.52666380000000002</v>
      </c>
      <c r="AB1141">
        <v>0.50462099999999999</v>
      </c>
    </row>
    <row r="1142" spans="1:28" hidden="1" x14ac:dyDescent="0.25">
      <c r="A1142" t="s">
        <v>7</v>
      </c>
      <c r="B1142" t="s">
        <v>70</v>
      </c>
      <c r="C1142">
        <v>110</v>
      </c>
      <c r="D1142" t="s">
        <v>2</v>
      </c>
      <c r="E1142">
        <v>13.149011249999999</v>
      </c>
      <c r="F1142">
        <v>12.509253749999999</v>
      </c>
      <c r="G1142">
        <v>11.856779899999999</v>
      </c>
      <c r="H1142">
        <v>11.4980232</v>
      </c>
      <c r="I1142">
        <v>11.56601775</v>
      </c>
      <c r="J1142">
        <v>13.150439499999999</v>
      </c>
      <c r="K1142">
        <v>15.216378499999999</v>
      </c>
      <c r="L1142">
        <v>16.452730800000001</v>
      </c>
      <c r="M1142">
        <v>18.020772000000001</v>
      </c>
      <c r="N1142">
        <v>19.894951200000001</v>
      </c>
      <c r="O1142">
        <v>21.2534238</v>
      </c>
      <c r="P1142">
        <v>21.84628545</v>
      </c>
      <c r="Q1142">
        <v>21.866803000000001</v>
      </c>
      <c r="R1142">
        <v>21.541152149999998</v>
      </c>
      <c r="S1142">
        <v>22.262231249999999</v>
      </c>
      <c r="T1142">
        <v>21.616908500000001</v>
      </c>
      <c r="U1142">
        <v>21.475551150000001</v>
      </c>
      <c r="V1142">
        <v>20.323761099999999</v>
      </c>
      <c r="W1142">
        <v>22.843863899999999</v>
      </c>
      <c r="X1142">
        <v>22.037917199999999</v>
      </c>
      <c r="Y1142">
        <v>20.7309798</v>
      </c>
      <c r="Z1142">
        <v>17.590996799999999</v>
      </c>
      <c r="AA1142">
        <v>16.499025799999998</v>
      </c>
      <c r="AB1142">
        <v>14.690191499999999</v>
      </c>
    </row>
    <row r="1143" spans="1:28" hidden="1" x14ac:dyDescent="0.25">
      <c r="A1143" t="s">
        <v>7</v>
      </c>
      <c r="B1143" t="s">
        <v>70</v>
      </c>
      <c r="C1143">
        <v>110</v>
      </c>
      <c r="D1143" t="s">
        <v>3</v>
      </c>
      <c r="E1143">
        <v>5.0940474411999999</v>
      </c>
      <c r="F1143">
        <v>5.0557698951000001</v>
      </c>
      <c r="G1143">
        <v>5.1065629756000002</v>
      </c>
      <c r="H1143">
        <v>5.1819075542000004</v>
      </c>
      <c r="I1143">
        <v>5.2740117578000003</v>
      </c>
      <c r="J1143">
        <v>5.4832382730999996</v>
      </c>
      <c r="K1143">
        <v>5.3961701028000002</v>
      </c>
      <c r="L1143">
        <v>5.3954808683</v>
      </c>
      <c r="M1143">
        <v>5.8557239537000001</v>
      </c>
      <c r="N1143">
        <v>6.4640136544000004</v>
      </c>
      <c r="O1143">
        <v>7.0772505583000003</v>
      </c>
      <c r="P1143">
        <v>7.2961556151</v>
      </c>
      <c r="Q1143">
        <v>7.2961000837999999</v>
      </c>
      <c r="R1143">
        <v>7.1183816340000003</v>
      </c>
      <c r="S1143">
        <v>7.5268547220000004</v>
      </c>
      <c r="T1143">
        <v>7.3439597196999999</v>
      </c>
      <c r="U1143">
        <v>7.5520225646999997</v>
      </c>
      <c r="V1143">
        <v>7.1847830291000001</v>
      </c>
      <c r="W1143">
        <v>8.1233910135999992</v>
      </c>
      <c r="X1143">
        <v>7.0436920428000001</v>
      </c>
      <c r="Y1143">
        <v>6.0135282453999999</v>
      </c>
      <c r="Z1143">
        <v>5.3083447814999998</v>
      </c>
      <c r="AA1143">
        <v>5.1601930567999998</v>
      </c>
      <c r="AB1143">
        <v>5.1823078353999996</v>
      </c>
    </row>
    <row r="1144" spans="1:28" hidden="1" x14ac:dyDescent="0.25">
      <c r="A1144" t="s">
        <v>7</v>
      </c>
      <c r="B1144" t="s">
        <v>70</v>
      </c>
      <c r="C1144">
        <v>110</v>
      </c>
      <c r="D1144" t="s">
        <v>4</v>
      </c>
      <c r="E1144">
        <v>0.20023874999999999</v>
      </c>
      <c r="F1144">
        <v>0.19049625000000001</v>
      </c>
      <c r="G1144">
        <v>0.1805601</v>
      </c>
      <c r="H1144">
        <v>0.1750968</v>
      </c>
      <c r="I1144">
        <v>0.17613224999999999</v>
      </c>
      <c r="J1144">
        <v>0.20026050000000001</v>
      </c>
      <c r="K1144">
        <v>0.2317215</v>
      </c>
      <c r="L1144">
        <v>0.25054920000000003</v>
      </c>
      <c r="M1144">
        <v>0.27442800000000001</v>
      </c>
      <c r="N1144">
        <v>0.30296879999999998</v>
      </c>
      <c r="O1144">
        <v>0.32365620000000001</v>
      </c>
      <c r="P1144">
        <v>0.33268455000000002</v>
      </c>
      <c r="Q1144">
        <v>0.33299699999999999</v>
      </c>
      <c r="R1144">
        <v>0.32803785000000002</v>
      </c>
      <c r="S1144">
        <v>0.33901874999999998</v>
      </c>
      <c r="T1144">
        <v>0.32919150000000003</v>
      </c>
      <c r="U1144">
        <v>0.32703884999999999</v>
      </c>
      <c r="V1144">
        <v>0.30949890000000002</v>
      </c>
      <c r="W1144">
        <v>0.34787610000000002</v>
      </c>
      <c r="X1144">
        <v>0.33560279999999998</v>
      </c>
      <c r="Y1144">
        <v>0.31570019999999999</v>
      </c>
      <c r="Z1144">
        <v>0.26788319999999999</v>
      </c>
      <c r="AA1144">
        <v>0.25125419999999998</v>
      </c>
      <c r="AB1144">
        <v>0.2237085</v>
      </c>
    </row>
    <row r="1145" spans="1:28" hidden="1" x14ac:dyDescent="0.25">
      <c r="A1145" t="s">
        <v>7</v>
      </c>
      <c r="B1145" t="s">
        <v>71</v>
      </c>
      <c r="C1145">
        <v>110</v>
      </c>
      <c r="D1145" t="s">
        <v>2</v>
      </c>
      <c r="E1145">
        <v>10.086065100000001</v>
      </c>
      <c r="F1145">
        <v>9.9246137500000007</v>
      </c>
      <c r="G1145">
        <v>9.6734092</v>
      </c>
      <c r="H1145">
        <v>9.9479483999999996</v>
      </c>
      <c r="I1145">
        <v>9.5991622499999991</v>
      </c>
      <c r="J1145">
        <v>13.207865</v>
      </c>
      <c r="K1145">
        <v>16.946373399999999</v>
      </c>
      <c r="L1145">
        <v>19.076770799999998</v>
      </c>
      <c r="M1145">
        <v>19.0992879</v>
      </c>
      <c r="N1145">
        <v>18.27991565</v>
      </c>
      <c r="O1145">
        <v>16.565168549999999</v>
      </c>
      <c r="P1145">
        <v>15.826625399999999</v>
      </c>
      <c r="Q1145">
        <v>15.5108935</v>
      </c>
      <c r="R1145">
        <v>14.855967</v>
      </c>
      <c r="S1145">
        <v>15.079364999999999</v>
      </c>
      <c r="T1145">
        <v>14.4933294</v>
      </c>
      <c r="U1145">
        <v>15.107358700000001</v>
      </c>
      <c r="V1145">
        <v>15.103113349999999</v>
      </c>
      <c r="W1145">
        <v>18.649743749999999</v>
      </c>
      <c r="X1145">
        <v>20.225201999999999</v>
      </c>
      <c r="Y1145">
        <v>18.7413192</v>
      </c>
      <c r="Z1145">
        <v>14.2248184</v>
      </c>
      <c r="AA1145">
        <v>12.090126400000001</v>
      </c>
      <c r="AB1145">
        <v>10.25183075</v>
      </c>
    </row>
    <row r="1146" spans="1:28" hidden="1" x14ac:dyDescent="0.25">
      <c r="A1146" t="s">
        <v>7</v>
      </c>
      <c r="B1146" t="s">
        <v>71</v>
      </c>
      <c r="C1146">
        <v>110</v>
      </c>
      <c r="D1146" t="s">
        <v>3</v>
      </c>
      <c r="E1146">
        <v>3.9471290424999999</v>
      </c>
      <c r="F1146">
        <v>4.0914237680000003</v>
      </c>
      <c r="G1146">
        <v>4.1249365633000004</v>
      </c>
      <c r="H1146">
        <v>4.2802786105999999</v>
      </c>
      <c r="I1146">
        <v>4.0500585491000001</v>
      </c>
      <c r="J1146">
        <v>5.0221191449000004</v>
      </c>
      <c r="K1146">
        <v>5.7177644874000002</v>
      </c>
      <c r="L1146">
        <v>6.3591447372000003</v>
      </c>
      <c r="M1146">
        <v>6.8984842013999996</v>
      </c>
      <c r="N1146">
        <v>6.9512891030999997</v>
      </c>
      <c r="O1146">
        <v>6.2135081832000001</v>
      </c>
      <c r="P1146">
        <v>6.0763073397999996</v>
      </c>
      <c r="Q1146">
        <v>6.1444372812000001</v>
      </c>
      <c r="R1146">
        <v>6.0997215285999999</v>
      </c>
      <c r="S1146">
        <v>6.3008581774000003</v>
      </c>
      <c r="T1146">
        <v>6.3407167106999998</v>
      </c>
      <c r="U1146">
        <v>6.7921790344000001</v>
      </c>
      <c r="V1146">
        <v>6.7374787252999999</v>
      </c>
      <c r="W1146">
        <v>7.6597057723999997</v>
      </c>
      <c r="X1146">
        <v>6.9612167385000001</v>
      </c>
      <c r="Y1146">
        <v>6.0279516439999998</v>
      </c>
      <c r="Z1146">
        <v>4.6217464644000001</v>
      </c>
      <c r="AA1146">
        <v>4.0720847881999997</v>
      </c>
      <c r="AB1146">
        <v>3.7622575647000001</v>
      </c>
    </row>
    <row r="1147" spans="1:28" hidden="1" x14ac:dyDescent="0.25">
      <c r="A1147" t="s">
        <v>7</v>
      </c>
      <c r="B1147" t="s">
        <v>71</v>
      </c>
      <c r="C1147">
        <v>110</v>
      </c>
      <c r="D1147" t="s">
        <v>4</v>
      </c>
      <c r="E1147">
        <v>0.15359490000000001</v>
      </c>
      <c r="F1147">
        <v>0.15113625</v>
      </c>
      <c r="G1147">
        <v>0.14731079999999999</v>
      </c>
      <c r="H1147">
        <v>0.1514916</v>
      </c>
      <c r="I1147">
        <v>0.14618013569999999</v>
      </c>
      <c r="J1147">
        <v>0.20113500000000001</v>
      </c>
      <c r="K1147">
        <v>0.25806659999999998</v>
      </c>
      <c r="L1147">
        <v>0.29050920000000002</v>
      </c>
      <c r="M1147">
        <v>0.2908521</v>
      </c>
      <c r="N1147">
        <v>0.27837434999999999</v>
      </c>
      <c r="O1147">
        <v>0.25226145</v>
      </c>
      <c r="P1147">
        <v>0.2410146</v>
      </c>
      <c r="Q1147">
        <v>0.23620650000000001</v>
      </c>
      <c r="R1147">
        <v>0.22623299999999999</v>
      </c>
      <c r="S1147">
        <v>0.22963500000000001</v>
      </c>
      <c r="T1147">
        <v>0.22071060000000001</v>
      </c>
      <c r="U1147">
        <v>0.2300613</v>
      </c>
      <c r="V1147">
        <v>0.22999665</v>
      </c>
      <c r="W1147">
        <v>0.28400625000000002</v>
      </c>
      <c r="X1147">
        <v>0.30799799999999999</v>
      </c>
      <c r="Y1147">
        <v>0.28540080000000001</v>
      </c>
      <c r="Z1147">
        <v>0.2166216</v>
      </c>
      <c r="AA1147">
        <v>0.18411359999999999</v>
      </c>
      <c r="AB1147">
        <v>0.15611924999999999</v>
      </c>
    </row>
    <row r="1148" spans="1:28" hidden="1" x14ac:dyDescent="0.25">
      <c r="A1148" t="s">
        <v>7</v>
      </c>
      <c r="B1148" t="s">
        <v>72</v>
      </c>
      <c r="C1148">
        <v>110</v>
      </c>
      <c r="D1148" t="s">
        <v>2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</row>
    <row r="1149" spans="1:28" hidden="1" x14ac:dyDescent="0.25">
      <c r="A1149" t="s">
        <v>7</v>
      </c>
      <c r="B1149" t="s">
        <v>72</v>
      </c>
      <c r="C1149">
        <v>110</v>
      </c>
      <c r="D1149" t="s">
        <v>3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</row>
    <row r="1150" spans="1:28" hidden="1" x14ac:dyDescent="0.25">
      <c r="A1150" t="s">
        <v>7</v>
      </c>
      <c r="B1150" t="s">
        <v>72</v>
      </c>
      <c r="C1150">
        <v>110</v>
      </c>
      <c r="D1150" t="s">
        <v>4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</row>
    <row r="1151" spans="1:28" hidden="1" x14ac:dyDescent="0.25">
      <c r="A1151" t="s">
        <v>7</v>
      </c>
      <c r="B1151" t="s">
        <v>73</v>
      </c>
      <c r="C1151">
        <v>110</v>
      </c>
      <c r="D1151" t="s">
        <v>2</v>
      </c>
      <c r="E1151">
        <v>44.871645450000003</v>
      </c>
      <c r="F1151">
        <v>40.637406249999998</v>
      </c>
      <c r="G1151">
        <v>38.350955300000003</v>
      </c>
      <c r="H1151">
        <v>39.065809199999997</v>
      </c>
      <c r="I1151">
        <v>40.673309500000002</v>
      </c>
      <c r="J1151">
        <v>49.8338489</v>
      </c>
      <c r="K1151">
        <v>57.2792472</v>
      </c>
      <c r="L1151">
        <v>55.695248999999997</v>
      </c>
      <c r="M1151">
        <v>56.560650299999999</v>
      </c>
      <c r="N1151">
        <v>58.169864500099997</v>
      </c>
      <c r="O1151">
        <v>61.884969300100003</v>
      </c>
      <c r="P1151">
        <v>65.384900849999994</v>
      </c>
      <c r="Q1151">
        <v>66.126202000000006</v>
      </c>
      <c r="R1151">
        <v>65.123708399999998</v>
      </c>
      <c r="S1151">
        <v>67.515839999999997</v>
      </c>
      <c r="T1151">
        <v>66.481609700000007</v>
      </c>
      <c r="U1151">
        <v>65.581743250100004</v>
      </c>
      <c r="V1151">
        <v>65.427216450000003</v>
      </c>
      <c r="W1151">
        <v>76.687746300000001</v>
      </c>
      <c r="X1151">
        <v>81.555399600000001</v>
      </c>
      <c r="Y1151">
        <v>80.292432599999998</v>
      </c>
      <c r="Z1151">
        <v>67.730767</v>
      </c>
      <c r="AA1151">
        <v>61.412346599999999</v>
      </c>
      <c r="AB1151">
        <v>53.237969499999998</v>
      </c>
    </row>
    <row r="1152" spans="1:28" hidden="1" x14ac:dyDescent="0.25">
      <c r="A1152" t="s">
        <v>7</v>
      </c>
      <c r="B1152" t="s">
        <v>73</v>
      </c>
      <c r="C1152">
        <v>110</v>
      </c>
      <c r="D1152" t="s">
        <v>3</v>
      </c>
      <c r="E1152">
        <v>20.543335792899999</v>
      </c>
      <c r="F1152">
        <v>19.976456864399999</v>
      </c>
      <c r="G1152">
        <v>19.914694710300001</v>
      </c>
      <c r="H1152">
        <v>20.313876602400001</v>
      </c>
      <c r="I1152">
        <v>20.923077250999999</v>
      </c>
      <c r="J1152">
        <v>22.9669598943</v>
      </c>
      <c r="K1152">
        <v>23.912980531399999</v>
      </c>
      <c r="L1152">
        <v>23.747897878300002</v>
      </c>
      <c r="M1152">
        <v>25.1399927611</v>
      </c>
      <c r="N1152">
        <v>27.029088408</v>
      </c>
      <c r="O1152">
        <v>28.3576215597</v>
      </c>
      <c r="P1152">
        <v>29.394747578499999</v>
      </c>
      <c r="Q1152">
        <v>30.356761323499999</v>
      </c>
      <c r="R1152">
        <v>30.3316142991</v>
      </c>
      <c r="S1152">
        <v>31.837728332400001</v>
      </c>
      <c r="T1152">
        <v>31.6219566123</v>
      </c>
      <c r="U1152">
        <v>31.015844786199999</v>
      </c>
      <c r="V1152">
        <v>31.079330579699999</v>
      </c>
      <c r="W1152">
        <v>36.434894651900002</v>
      </c>
      <c r="X1152">
        <v>35.134639930600002</v>
      </c>
      <c r="Y1152">
        <v>32.6229209177</v>
      </c>
      <c r="Z1152">
        <v>27.437269776200001</v>
      </c>
      <c r="AA1152">
        <v>25.0468546502</v>
      </c>
      <c r="AB1152">
        <v>22.658410815500002</v>
      </c>
    </row>
    <row r="1153" spans="1:28" hidden="1" x14ac:dyDescent="0.25">
      <c r="A1153" t="s">
        <v>7</v>
      </c>
      <c r="B1153" t="s">
        <v>73</v>
      </c>
      <c r="C1153">
        <v>110</v>
      </c>
      <c r="D1153" t="s">
        <v>4</v>
      </c>
      <c r="E1153">
        <v>0.68332455000000003</v>
      </c>
      <c r="F1153">
        <v>0.61884375000000003</v>
      </c>
      <c r="G1153">
        <v>0.58402469999999995</v>
      </c>
      <c r="H1153">
        <v>0.59491079999999996</v>
      </c>
      <c r="I1153">
        <v>0.61939049999999995</v>
      </c>
      <c r="J1153">
        <v>0.75889110000000004</v>
      </c>
      <c r="K1153">
        <v>0.87227279999999996</v>
      </c>
      <c r="L1153">
        <v>0.84815099999999999</v>
      </c>
      <c r="M1153">
        <v>0.86132969999999998</v>
      </c>
      <c r="N1153">
        <v>0.88583549989999999</v>
      </c>
      <c r="O1153">
        <v>0.94241069990000004</v>
      </c>
      <c r="P1153">
        <v>0.99570915000000004</v>
      </c>
      <c r="Q1153">
        <v>1.0069980000000001</v>
      </c>
      <c r="R1153">
        <v>0.99173160000000005</v>
      </c>
      <c r="S1153">
        <v>1.02816</v>
      </c>
      <c r="T1153">
        <v>1.0124103</v>
      </c>
      <c r="U1153">
        <v>0.99870674989999997</v>
      </c>
      <c r="V1153">
        <v>0.99635355000000003</v>
      </c>
      <c r="W1153">
        <v>1.1678337000000001</v>
      </c>
      <c r="X1153">
        <v>1.2419604</v>
      </c>
      <c r="Y1153">
        <v>1.2227273999999999</v>
      </c>
      <c r="Z1153">
        <v>1.031433</v>
      </c>
      <c r="AA1153">
        <v>0.93521339999999997</v>
      </c>
      <c r="AB1153">
        <v>0.81073050000000002</v>
      </c>
    </row>
    <row r="1154" spans="1:28" hidden="1" x14ac:dyDescent="0.25">
      <c r="A1154" t="s">
        <v>74</v>
      </c>
      <c r="B1154" t="s">
        <v>75</v>
      </c>
      <c r="C1154">
        <v>110</v>
      </c>
      <c r="D1154" t="s">
        <v>2</v>
      </c>
      <c r="E1154">
        <v>4.2023990749999998</v>
      </c>
      <c r="F1154">
        <v>4.3654303649999999</v>
      </c>
      <c r="G1154">
        <v>4.4406853499999999</v>
      </c>
      <c r="H1154">
        <v>4.36148544</v>
      </c>
      <c r="I1154">
        <v>4.3893885199999998</v>
      </c>
      <c r="J1154">
        <v>4.6104776799999998</v>
      </c>
      <c r="K1154">
        <v>4.2867397</v>
      </c>
      <c r="L1154">
        <v>4.3303161000000001</v>
      </c>
      <c r="M1154">
        <v>4.6482642500000004</v>
      </c>
      <c r="N1154">
        <v>4.8773378200000002</v>
      </c>
      <c r="O1154">
        <v>4.9482164500000003</v>
      </c>
      <c r="P1154">
        <v>4.5710156250000002</v>
      </c>
      <c r="Q1154">
        <v>4.4636929800000003</v>
      </c>
      <c r="R1154">
        <v>4.3272566899999996</v>
      </c>
      <c r="S1154">
        <v>4.1600884000000002</v>
      </c>
      <c r="T1154">
        <v>4.3195658100000003</v>
      </c>
      <c r="U1154">
        <v>4.6101191400000001</v>
      </c>
      <c r="V1154">
        <v>4.1942560799999997</v>
      </c>
      <c r="W1154">
        <v>4.3738944699999998</v>
      </c>
      <c r="X1154">
        <v>4.6923075399999998</v>
      </c>
      <c r="Y1154">
        <v>4.4978803599999999</v>
      </c>
      <c r="Z1154">
        <v>4.16399688</v>
      </c>
      <c r="AA1154">
        <v>3.9434475</v>
      </c>
      <c r="AB1154">
        <v>3.8344227750000002</v>
      </c>
    </row>
    <row r="1155" spans="1:28" hidden="1" x14ac:dyDescent="0.25">
      <c r="A1155" t="s">
        <v>74</v>
      </c>
      <c r="B1155" t="s">
        <v>75</v>
      </c>
      <c r="C1155">
        <v>110</v>
      </c>
      <c r="D1155" t="s">
        <v>3</v>
      </c>
      <c r="E1155">
        <v>1.8445071725</v>
      </c>
      <c r="F1155">
        <v>1.9251214625999999</v>
      </c>
      <c r="G1155">
        <v>1.9380097337</v>
      </c>
      <c r="H1155">
        <v>1.9201525927</v>
      </c>
      <c r="I1155">
        <v>1.9107858965</v>
      </c>
      <c r="J1155">
        <v>1.9830472796</v>
      </c>
      <c r="K1155">
        <v>1.8667395403</v>
      </c>
      <c r="L1155">
        <v>1.9018085131</v>
      </c>
      <c r="M1155">
        <v>2.1186240145999999</v>
      </c>
      <c r="N1155">
        <v>2.1747689775999999</v>
      </c>
      <c r="O1155">
        <v>2.2145227943000001</v>
      </c>
      <c r="P1155">
        <v>1.9738798754</v>
      </c>
      <c r="Q1155">
        <v>1.9554830235</v>
      </c>
      <c r="R1155">
        <v>2.0400624323000001</v>
      </c>
      <c r="S1155">
        <v>1.9966420304000001</v>
      </c>
      <c r="T1155">
        <v>1.9359680546</v>
      </c>
      <c r="U1155">
        <v>2.0830760852000001</v>
      </c>
      <c r="V1155">
        <v>1.8398127271</v>
      </c>
      <c r="W1155">
        <v>1.9781286252000001</v>
      </c>
      <c r="X1155">
        <v>2.1502978264000001</v>
      </c>
      <c r="Y1155">
        <v>2.0698132464999999</v>
      </c>
      <c r="Z1155">
        <v>1.9368762039</v>
      </c>
      <c r="AA1155">
        <v>1.8121613339</v>
      </c>
      <c r="AB1155">
        <v>1.7123359799</v>
      </c>
    </row>
    <row r="1156" spans="1:28" hidden="1" x14ac:dyDescent="0.25">
      <c r="A1156" t="s">
        <v>74</v>
      </c>
      <c r="B1156" t="s">
        <v>75</v>
      </c>
      <c r="C1156">
        <v>110</v>
      </c>
      <c r="D1156" t="s">
        <v>4</v>
      </c>
      <c r="E1156">
        <v>6.3995924999999995E-2</v>
      </c>
      <c r="F1156">
        <v>6.6478634999999994E-2</v>
      </c>
      <c r="G1156">
        <v>6.7624649999999994E-2</v>
      </c>
      <c r="H1156">
        <v>6.6418560000000001E-2</v>
      </c>
      <c r="I1156">
        <v>6.6843479999999997E-2</v>
      </c>
      <c r="J1156">
        <v>7.0210320000000007E-2</v>
      </c>
      <c r="K1156">
        <v>6.5280299999999999E-2</v>
      </c>
      <c r="L1156">
        <v>6.59439E-2</v>
      </c>
      <c r="M1156">
        <v>7.0785749999999995E-2</v>
      </c>
      <c r="N1156">
        <v>7.4274179999999995E-2</v>
      </c>
      <c r="O1156">
        <v>7.5353550000000005E-2</v>
      </c>
      <c r="P1156">
        <v>6.9609375000000001E-2</v>
      </c>
      <c r="Q1156">
        <v>6.7975019999999997E-2</v>
      </c>
      <c r="R1156">
        <v>6.5897310000000001E-2</v>
      </c>
      <c r="S1156">
        <v>6.3351599999999994E-2</v>
      </c>
      <c r="T1156">
        <v>6.5780190000000002E-2</v>
      </c>
      <c r="U1156">
        <v>7.0204859999999994E-2</v>
      </c>
      <c r="V1156">
        <v>6.3871919999999999E-2</v>
      </c>
      <c r="W1156">
        <v>6.6607529999999998E-2</v>
      </c>
      <c r="X1156">
        <v>7.1456459999999999E-2</v>
      </c>
      <c r="Y1156">
        <v>6.8495639999999997E-2</v>
      </c>
      <c r="Z1156">
        <v>6.3411120000000001E-2</v>
      </c>
      <c r="AA1156">
        <v>6.0052500000000002E-2</v>
      </c>
      <c r="AB1156">
        <v>5.8392224999999999E-2</v>
      </c>
    </row>
    <row r="1157" spans="1:28" hidden="1" x14ac:dyDescent="0.25">
      <c r="A1157" t="s">
        <v>74</v>
      </c>
      <c r="B1157" t="s">
        <v>76</v>
      </c>
      <c r="C1157">
        <v>34</v>
      </c>
      <c r="D1157" t="s">
        <v>2</v>
      </c>
      <c r="E1157">
        <v>5.5527940999999998</v>
      </c>
      <c r="F1157">
        <v>5.5355368299999999</v>
      </c>
      <c r="G1157">
        <v>5.5335492999999998</v>
      </c>
      <c r="H1157">
        <v>5.8024701600000004</v>
      </c>
      <c r="I1157">
        <v>5.68471992</v>
      </c>
      <c r="J1157">
        <v>5.72126176</v>
      </c>
      <c r="K1157">
        <v>4.9229294499999998</v>
      </c>
      <c r="L1157">
        <v>4.9363338800000003</v>
      </c>
      <c r="M1157">
        <v>5.1370230000000001</v>
      </c>
      <c r="N1157">
        <v>5.2090532600000001</v>
      </c>
      <c r="O1157">
        <v>5.1196793999999999</v>
      </c>
      <c r="P1157">
        <v>4.9263389999999996</v>
      </c>
      <c r="Q1157">
        <v>4.7801619400000002</v>
      </c>
      <c r="R1157">
        <v>4.7087262900000004</v>
      </c>
      <c r="S1157">
        <v>4.7691020000000002</v>
      </c>
      <c r="T1157">
        <v>4.7412804599999996</v>
      </c>
      <c r="U1157">
        <v>4.6489345200000001</v>
      </c>
      <c r="V1157">
        <v>4.7364731400000002</v>
      </c>
      <c r="W1157">
        <v>5.9909702600000001</v>
      </c>
      <c r="X1157">
        <v>6.6108526400000001</v>
      </c>
      <c r="Y1157">
        <v>6.5406673199999998</v>
      </c>
      <c r="Z1157">
        <v>6.0682055400000001</v>
      </c>
      <c r="AA1157">
        <v>5.8869300000000004</v>
      </c>
      <c r="AB1157">
        <v>5.5157303999999998</v>
      </c>
    </row>
    <row r="1158" spans="1:28" hidden="1" x14ac:dyDescent="0.25">
      <c r="A1158" t="s">
        <v>74</v>
      </c>
      <c r="B1158" t="s">
        <v>76</v>
      </c>
      <c r="C1158">
        <v>34</v>
      </c>
      <c r="D1158" t="s">
        <v>3</v>
      </c>
      <c r="E1158">
        <v>2.3093739164999998</v>
      </c>
      <c r="F1158">
        <v>2.2871204781999999</v>
      </c>
      <c r="G1158">
        <v>2.2908772384999998</v>
      </c>
      <c r="H1158">
        <v>2.2792028556999999</v>
      </c>
      <c r="I1158">
        <v>2.2837598030000001</v>
      </c>
      <c r="J1158">
        <v>2.3534949494999999</v>
      </c>
      <c r="K1158">
        <v>2.4068260982999998</v>
      </c>
      <c r="L1158">
        <v>2.3670965808000002</v>
      </c>
      <c r="M1158">
        <v>2.3566290175</v>
      </c>
      <c r="N1158">
        <v>2.3335529404000002</v>
      </c>
      <c r="O1158">
        <v>2.3440631372</v>
      </c>
      <c r="P1158">
        <v>2.3887247398999998</v>
      </c>
      <c r="Q1158">
        <v>2.4781351441999999</v>
      </c>
      <c r="R1158">
        <v>2.4455133198999999</v>
      </c>
      <c r="S1158">
        <v>2.3235416358999998</v>
      </c>
      <c r="T1158">
        <v>2.3540141813000002</v>
      </c>
      <c r="U1158">
        <v>2.3839076571</v>
      </c>
      <c r="V1158">
        <v>2.3852532108000002</v>
      </c>
      <c r="W1158">
        <v>2.3771945149999998</v>
      </c>
      <c r="X1158">
        <v>2.3727880233</v>
      </c>
      <c r="Y1158">
        <v>2.4005355279999998</v>
      </c>
      <c r="Z1158">
        <v>2.3147749769999999</v>
      </c>
      <c r="AA1158">
        <v>2.3479020233000001</v>
      </c>
      <c r="AB1158">
        <v>2.3917252171999999</v>
      </c>
    </row>
    <row r="1159" spans="1:28" hidden="1" x14ac:dyDescent="0.25">
      <c r="A1159" t="s">
        <v>74</v>
      </c>
      <c r="B1159" t="s">
        <v>76</v>
      </c>
      <c r="C1159">
        <v>34</v>
      </c>
      <c r="D1159" t="s">
        <v>4</v>
      </c>
      <c r="E1159">
        <v>0.1717359</v>
      </c>
      <c r="F1159">
        <v>0.17120216999999999</v>
      </c>
      <c r="G1159">
        <v>0.17114070000000001</v>
      </c>
      <c r="H1159">
        <v>0.17945784000000001</v>
      </c>
      <c r="I1159">
        <v>0.17581608000000001</v>
      </c>
      <c r="J1159">
        <v>0.17694624</v>
      </c>
      <c r="K1159">
        <v>0.15225554999999999</v>
      </c>
      <c r="L1159">
        <v>0.15267011999999999</v>
      </c>
      <c r="M1159">
        <v>0.15887699999999999</v>
      </c>
      <c r="N1159">
        <v>0.16110474</v>
      </c>
      <c r="O1159">
        <v>0.1583406</v>
      </c>
      <c r="P1159">
        <v>0.152361</v>
      </c>
      <c r="Q1159">
        <v>0.14784006</v>
      </c>
      <c r="R1159">
        <v>0.14563071</v>
      </c>
      <c r="S1159">
        <v>0.14749799999999999</v>
      </c>
      <c r="T1159">
        <v>0.14663754000000001</v>
      </c>
      <c r="U1159">
        <v>0.14378147999999999</v>
      </c>
      <c r="V1159">
        <v>0.14648886</v>
      </c>
      <c r="W1159">
        <v>0.18528774000000001</v>
      </c>
      <c r="X1159">
        <v>0.20445936000000001</v>
      </c>
      <c r="Y1159">
        <v>0.20228868</v>
      </c>
      <c r="Z1159">
        <v>0.18767645999999999</v>
      </c>
      <c r="AA1159">
        <v>0.18207000000000001</v>
      </c>
      <c r="AB1159">
        <v>0.17058960000000001</v>
      </c>
    </row>
    <row r="1160" spans="1:28" hidden="1" x14ac:dyDescent="0.25">
      <c r="A1160" t="s">
        <v>74</v>
      </c>
      <c r="B1160" t="s">
        <v>77</v>
      </c>
      <c r="C1160">
        <v>14</v>
      </c>
      <c r="D1160" t="s">
        <v>2</v>
      </c>
      <c r="E1160">
        <v>15.919131</v>
      </c>
      <c r="F1160">
        <v>15.6159176</v>
      </c>
      <c r="G1160">
        <v>15.3158525</v>
      </c>
      <c r="H1160">
        <v>15.1137704</v>
      </c>
      <c r="I1160">
        <v>14.9523616</v>
      </c>
      <c r="J1160">
        <v>14.464475800000001</v>
      </c>
      <c r="K1160">
        <v>12.929343250000001</v>
      </c>
      <c r="L1160">
        <v>12.541996899999999</v>
      </c>
      <c r="M1160">
        <v>12.5249425</v>
      </c>
      <c r="N1160">
        <v>12.353136900000001</v>
      </c>
      <c r="O1160">
        <v>12.4938585</v>
      </c>
      <c r="P1160">
        <v>12.90130875</v>
      </c>
      <c r="Q1160">
        <v>12.8513169</v>
      </c>
      <c r="R1160">
        <v>14.139389599999999</v>
      </c>
      <c r="S1160">
        <v>14.954121000000001</v>
      </c>
      <c r="T1160">
        <v>14.947058699999999</v>
      </c>
      <c r="U1160">
        <v>15.062535</v>
      </c>
      <c r="V1160">
        <v>14.751867900000001</v>
      </c>
      <c r="W1160">
        <v>17.442241299999999</v>
      </c>
      <c r="X1160">
        <v>18.135336599999999</v>
      </c>
      <c r="Y1160">
        <v>18.500041599999999</v>
      </c>
      <c r="Z1160">
        <v>17.7644889</v>
      </c>
      <c r="AA1160">
        <v>17.546975</v>
      </c>
      <c r="AB1160">
        <v>16.98333525</v>
      </c>
    </row>
    <row r="1161" spans="1:28" hidden="1" x14ac:dyDescent="0.25">
      <c r="A1161" t="s">
        <v>74</v>
      </c>
      <c r="B1161" t="s">
        <v>77</v>
      </c>
      <c r="C1161">
        <v>14</v>
      </c>
      <c r="D1161" t="s">
        <v>3</v>
      </c>
      <c r="E1161">
        <v>5.5396306861999998</v>
      </c>
      <c r="F1161">
        <v>5.5299649405000002</v>
      </c>
      <c r="G1161">
        <v>5.5023301024000002</v>
      </c>
      <c r="H1161">
        <v>5.5025947560999997</v>
      </c>
      <c r="I1161">
        <v>5.458666236</v>
      </c>
      <c r="J1161">
        <v>5.394014576</v>
      </c>
      <c r="K1161">
        <v>5.3606352516999998</v>
      </c>
      <c r="L1161">
        <v>5.5476195969999997</v>
      </c>
      <c r="M1161">
        <v>5.7087210484000002</v>
      </c>
      <c r="N1161">
        <v>5.7046435126999997</v>
      </c>
      <c r="O1161">
        <v>5.7287036984000004</v>
      </c>
      <c r="P1161">
        <v>5.7727093276000003</v>
      </c>
      <c r="Q1161">
        <v>5.6108832968</v>
      </c>
      <c r="R1161">
        <v>5.9343376853000001</v>
      </c>
      <c r="S1161">
        <v>6.1243681978</v>
      </c>
      <c r="T1161">
        <v>6.0470698770000002</v>
      </c>
      <c r="U1161">
        <v>6.0300321135999999</v>
      </c>
      <c r="V1161">
        <v>5.7534415997000004</v>
      </c>
      <c r="W1161">
        <v>5.8197962551</v>
      </c>
      <c r="X1161">
        <v>5.7065673321999997</v>
      </c>
      <c r="Y1161">
        <v>5.7396222033999997</v>
      </c>
      <c r="Z1161">
        <v>5.5716401064000003</v>
      </c>
      <c r="AA1161">
        <v>5.7143120405000003</v>
      </c>
      <c r="AB1161">
        <v>5.7621264331999997</v>
      </c>
    </row>
    <row r="1162" spans="1:28" hidden="1" x14ac:dyDescent="0.25">
      <c r="A1162" t="s">
        <v>74</v>
      </c>
      <c r="B1162" t="s">
        <v>77</v>
      </c>
      <c r="C1162">
        <v>14</v>
      </c>
      <c r="D1162" t="s">
        <v>4</v>
      </c>
      <c r="E1162">
        <v>0.83784899999999995</v>
      </c>
      <c r="F1162">
        <v>0.82189040000000002</v>
      </c>
      <c r="G1162">
        <v>0.80609750000000002</v>
      </c>
      <c r="H1162">
        <v>0.79546159999999999</v>
      </c>
      <c r="I1162">
        <v>0.78696639999999995</v>
      </c>
      <c r="J1162">
        <v>0.76128819999999997</v>
      </c>
      <c r="K1162">
        <v>0.68049174999999995</v>
      </c>
      <c r="L1162">
        <v>0.6601051</v>
      </c>
      <c r="M1162">
        <v>0.65920749999999995</v>
      </c>
      <c r="N1162">
        <v>0.65016510000000005</v>
      </c>
      <c r="O1162">
        <v>0.65757149999999998</v>
      </c>
      <c r="P1162">
        <v>0.67901624999999999</v>
      </c>
      <c r="Q1162">
        <v>0.67638509999999996</v>
      </c>
      <c r="R1162">
        <v>0.74417840000000002</v>
      </c>
      <c r="S1162">
        <v>0.78705899999999995</v>
      </c>
      <c r="T1162">
        <v>0.78668729999999998</v>
      </c>
      <c r="U1162">
        <v>0.79276500000000005</v>
      </c>
      <c r="V1162">
        <v>0.7764141</v>
      </c>
      <c r="W1162">
        <v>0.91801270000000001</v>
      </c>
      <c r="X1162">
        <v>0.95449139999999999</v>
      </c>
      <c r="Y1162">
        <v>0.97368639999999995</v>
      </c>
      <c r="Z1162">
        <v>0.9349731</v>
      </c>
      <c r="AA1162">
        <v>0.92352500000000004</v>
      </c>
      <c r="AB1162">
        <v>0.89385974999999995</v>
      </c>
    </row>
    <row r="1163" spans="1:28" hidden="1" x14ac:dyDescent="0.25">
      <c r="A1163" t="s">
        <v>74</v>
      </c>
      <c r="B1163" t="s">
        <v>78</v>
      </c>
      <c r="C1163">
        <v>110</v>
      </c>
      <c r="D1163" t="s">
        <v>2</v>
      </c>
      <c r="E1163">
        <v>12.554002300000001</v>
      </c>
      <c r="F1163">
        <v>12.291160959999999</v>
      </c>
      <c r="G1163">
        <v>12.050209275</v>
      </c>
      <c r="H1163">
        <v>11.78439816</v>
      </c>
      <c r="I1163">
        <v>11.55895136</v>
      </c>
      <c r="J1163">
        <v>11.099791639999999</v>
      </c>
      <c r="K1163">
        <v>9.8120134750000005</v>
      </c>
      <c r="L1163">
        <v>9.0018086200000003</v>
      </c>
      <c r="M1163">
        <v>8.8378632499999998</v>
      </c>
      <c r="N1163">
        <v>8.8183385800000007</v>
      </c>
      <c r="O1163">
        <v>9.1946598000000002</v>
      </c>
      <c r="P1163">
        <v>9.5589078749999992</v>
      </c>
      <c r="Q1163">
        <v>9.9659679899999993</v>
      </c>
      <c r="R1163">
        <v>10.579449629999999</v>
      </c>
      <c r="S1163">
        <v>10.8209933</v>
      </c>
      <c r="T1163">
        <v>10.82685996</v>
      </c>
      <c r="U1163">
        <v>10.65941784</v>
      </c>
      <c r="V1163">
        <v>10.470443619999999</v>
      </c>
      <c r="W1163">
        <v>12.225325529999999</v>
      </c>
      <c r="X1163">
        <v>12.989471784999999</v>
      </c>
      <c r="Y1163">
        <v>13.563647</v>
      </c>
      <c r="Z1163">
        <v>13.432248</v>
      </c>
      <c r="AA1163">
        <v>13.6053125</v>
      </c>
      <c r="AB1163">
        <v>13.334998949999999</v>
      </c>
    </row>
    <row r="1164" spans="1:28" hidden="1" x14ac:dyDescent="0.25">
      <c r="A1164" t="s">
        <v>74</v>
      </c>
      <c r="B1164" t="s">
        <v>78</v>
      </c>
      <c r="C1164">
        <v>110</v>
      </c>
      <c r="D1164" t="s">
        <v>3</v>
      </c>
      <c r="E1164">
        <v>5.2142296667999997</v>
      </c>
      <c r="F1164">
        <v>5.1537741944000004</v>
      </c>
      <c r="G1164">
        <v>5.0560385238999999</v>
      </c>
      <c r="H1164">
        <v>4.9452255419000002</v>
      </c>
      <c r="I1164">
        <v>4.8154157510999998</v>
      </c>
      <c r="J1164">
        <v>4.5731647894999998</v>
      </c>
      <c r="K1164">
        <v>4.1348077629000004</v>
      </c>
      <c r="L1164">
        <v>3.8447879223000001</v>
      </c>
      <c r="M1164">
        <v>3.7374177579999999</v>
      </c>
      <c r="N1164">
        <v>3.7262245329999999</v>
      </c>
      <c r="O1164">
        <v>3.8478355587999999</v>
      </c>
      <c r="P1164">
        <v>3.9754927194</v>
      </c>
      <c r="Q1164">
        <v>4.1023510319999996</v>
      </c>
      <c r="R1164">
        <v>4.3753317563999996</v>
      </c>
      <c r="S1164">
        <v>4.4874854251</v>
      </c>
      <c r="T1164">
        <v>4.4666976461000001</v>
      </c>
      <c r="U1164">
        <v>4.3819030217000003</v>
      </c>
      <c r="V1164">
        <v>4.2564232403000002</v>
      </c>
      <c r="W1164">
        <v>4.6775993690000002</v>
      </c>
      <c r="X1164">
        <v>4.9206505559</v>
      </c>
      <c r="Y1164">
        <v>5.1696223115000004</v>
      </c>
      <c r="Z1164">
        <v>5.2383447249000001</v>
      </c>
      <c r="AA1164">
        <v>5.4797288169999998</v>
      </c>
      <c r="AB1164">
        <v>5.4948992478000003</v>
      </c>
    </row>
    <row r="1165" spans="1:28" hidden="1" x14ac:dyDescent="0.25">
      <c r="A1165" t="s">
        <v>74</v>
      </c>
      <c r="B1165" t="s">
        <v>78</v>
      </c>
      <c r="C1165">
        <v>110</v>
      </c>
      <c r="D1165" t="s">
        <v>4</v>
      </c>
      <c r="E1165">
        <v>0.19117770000000001</v>
      </c>
      <c r="F1165">
        <v>0.18717503999999999</v>
      </c>
      <c r="G1165">
        <v>0.18350572500000001</v>
      </c>
      <c r="H1165">
        <v>0.17945784000000001</v>
      </c>
      <c r="I1165">
        <v>0.17602464000000001</v>
      </c>
      <c r="J1165">
        <v>0.16903235999999999</v>
      </c>
      <c r="K1165">
        <v>0.149421525</v>
      </c>
      <c r="L1165">
        <v>0.13708338</v>
      </c>
      <c r="M1165">
        <v>0.13458675</v>
      </c>
      <c r="N1165">
        <v>0.13428941999999999</v>
      </c>
      <c r="O1165">
        <v>0.14002020000000001</v>
      </c>
      <c r="P1165">
        <v>0.14556712499999999</v>
      </c>
      <c r="Q1165">
        <v>0.15176601000000001</v>
      </c>
      <c r="R1165">
        <v>0.16110837</v>
      </c>
      <c r="S1165">
        <v>0.16478670000000001</v>
      </c>
      <c r="T1165">
        <v>0.16487604</v>
      </c>
      <c r="U1165">
        <v>0.16232616</v>
      </c>
      <c r="V1165">
        <v>0.15944838</v>
      </c>
      <c r="W1165">
        <v>0.18617247000000001</v>
      </c>
      <c r="X1165">
        <v>0.19780921500000001</v>
      </c>
      <c r="Y1165">
        <v>0.20655299999999999</v>
      </c>
      <c r="Z1165">
        <v>0.20455200000000001</v>
      </c>
      <c r="AA1165">
        <v>0.2071875</v>
      </c>
      <c r="AB1165">
        <v>0.20307105</v>
      </c>
    </row>
    <row r="1166" spans="1:28" hidden="1" x14ac:dyDescent="0.25">
      <c r="A1166" t="s">
        <v>74</v>
      </c>
      <c r="B1166" t="s">
        <v>79</v>
      </c>
      <c r="C1166">
        <v>110</v>
      </c>
      <c r="D1166" t="s">
        <v>2</v>
      </c>
      <c r="E1166">
        <v>22.045496775</v>
      </c>
      <c r="F1166">
        <v>21.420893499999998</v>
      </c>
      <c r="G1166">
        <v>20.665713700000001</v>
      </c>
      <c r="H1166">
        <v>20.234776199999999</v>
      </c>
      <c r="I1166">
        <v>19.632413240000002</v>
      </c>
      <c r="J1166">
        <v>18.681762160000002</v>
      </c>
      <c r="K1166">
        <v>16.672080449999999</v>
      </c>
      <c r="L1166">
        <v>15.37918324</v>
      </c>
      <c r="M1166">
        <v>14.786820000000001</v>
      </c>
      <c r="N1166">
        <v>14.387447809999999</v>
      </c>
      <c r="O1166">
        <v>14.200163849999999</v>
      </c>
      <c r="P1166">
        <v>14.722327125</v>
      </c>
      <c r="Q1166">
        <v>15.21043895</v>
      </c>
      <c r="R1166">
        <v>16.400456850000001</v>
      </c>
      <c r="S1166">
        <v>17.100821400000001</v>
      </c>
      <c r="T1166">
        <v>17.38206057</v>
      </c>
      <c r="U1166">
        <v>17.452029060000001</v>
      </c>
      <c r="V1166">
        <v>17.331699489999998</v>
      </c>
      <c r="W1166">
        <v>20.143153470000001</v>
      </c>
      <c r="X1166">
        <v>21.47501334</v>
      </c>
      <c r="Y1166">
        <v>23.040698419999998</v>
      </c>
      <c r="Z1166">
        <v>23.279764815</v>
      </c>
      <c r="AA1166">
        <v>24.012329999999999</v>
      </c>
      <c r="AB1166">
        <v>23.584549424999999</v>
      </c>
    </row>
    <row r="1167" spans="1:28" hidden="1" x14ac:dyDescent="0.25">
      <c r="A1167" t="s">
        <v>74</v>
      </c>
      <c r="B1167" t="s">
        <v>79</v>
      </c>
      <c r="C1167">
        <v>110</v>
      </c>
      <c r="D1167" t="s">
        <v>3</v>
      </c>
      <c r="E1167">
        <v>9.7408119429000006</v>
      </c>
      <c r="F1167">
        <v>9.4825600771000005</v>
      </c>
      <c r="G1167">
        <v>9.1329875808000001</v>
      </c>
      <c r="H1167">
        <v>8.9072011496000005</v>
      </c>
      <c r="I1167">
        <v>8.5416886655000006</v>
      </c>
      <c r="J1167">
        <v>7.9245677293999996</v>
      </c>
      <c r="K1167">
        <v>7.0362700766000001</v>
      </c>
      <c r="L1167">
        <v>6.6668680402999998</v>
      </c>
      <c r="M1167">
        <v>6.4757078558999996</v>
      </c>
      <c r="N1167">
        <v>6.3217340805999997</v>
      </c>
      <c r="O1167">
        <v>6.2116150206</v>
      </c>
      <c r="P1167">
        <v>6.3975015490000002</v>
      </c>
      <c r="Q1167">
        <v>6.5116745430999998</v>
      </c>
      <c r="R1167">
        <v>7.0216210867999997</v>
      </c>
      <c r="S1167">
        <v>7.3917292629000002</v>
      </c>
      <c r="T1167">
        <v>7.4836254486999998</v>
      </c>
      <c r="U1167">
        <v>7.4545109981</v>
      </c>
      <c r="V1167">
        <v>7.2736315377</v>
      </c>
      <c r="W1167">
        <v>8.0784280191000004</v>
      </c>
      <c r="X1167">
        <v>8.5340036444000003</v>
      </c>
      <c r="Y1167">
        <v>9.2756606900000005</v>
      </c>
      <c r="Z1167">
        <v>9.6804930850000002</v>
      </c>
      <c r="AA1167">
        <v>10.389959511900001</v>
      </c>
      <c r="AB1167">
        <v>10.4403631349</v>
      </c>
    </row>
    <row r="1168" spans="1:28" hidden="1" x14ac:dyDescent="0.25">
      <c r="A1168" t="s">
        <v>74</v>
      </c>
      <c r="B1168" t="s">
        <v>79</v>
      </c>
      <c r="C1168">
        <v>110</v>
      </c>
      <c r="D1168" t="s">
        <v>4</v>
      </c>
      <c r="E1168">
        <v>0.33571822499999998</v>
      </c>
      <c r="F1168">
        <v>0.32620650000000001</v>
      </c>
      <c r="G1168">
        <v>0.31470629999999999</v>
      </c>
      <c r="H1168">
        <v>0.30814380000000002</v>
      </c>
      <c r="I1168">
        <v>0.29897076</v>
      </c>
      <c r="J1168">
        <v>0.28449384</v>
      </c>
      <c r="K1168">
        <v>0.25388955000000002</v>
      </c>
      <c r="L1168">
        <v>0.23420076000000001</v>
      </c>
      <c r="M1168">
        <v>0.22517999999999999</v>
      </c>
      <c r="N1168">
        <v>0.21909819</v>
      </c>
      <c r="O1168">
        <v>0.21624615</v>
      </c>
      <c r="P1168">
        <v>0.22419787499999999</v>
      </c>
      <c r="Q1168">
        <v>0.23163105</v>
      </c>
      <c r="R1168">
        <v>0.24975315000000001</v>
      </c>
      <c r="S1168">
        <v>0.2604186</v>
      </c>
      <c r="T1168">
        <v>0.26470143000000002</v>
      </c>
      <c r="U1168">
        <v>0.26576694000000001</v>
      </c>
      <c r="V1168">
        <v>0.26393451000000001</v>
      </c>
      <c r="W1168">
        <v>0.30674853000000002</v>
      </c>
      <c r="X1168">
        <v>0.32703065999999997</v>
      </c>
      <c r="Y1168">
        <v>0.35087358000000002</v>
      </c>
      <c r="Z1168">
        <v>0.35451418499999998</v>
      </c>
      <c r="AA1168">
        <v>0.36567</v>
      </c>
      <c r="AB1168">
        <v>0.359155575</v>
      </c>
    </row>
    <row r="1169" spans="1:28" hidden="1" x14ac:dyDescent="0.25">
      <c r="A1169" t="s">
        <v>74</v>
      </c>
      <c r="B1169" t="s">
        <v>80</v>
      </c>
      <c r="C1169">
        <v>115</v>
      </c>
      <c r="D1169" t="s">
        <v>2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</row>
    <row r="1170" spans="1:28" hidden="1" x14ac:dyDescent="0.25">
      <c r="A1170" t="s">
        <v>74</v>
      </c>
      <c r="B1170" t="s">
        <v>80</v>
      </c>
      <c r="C1170">
        <v>115</v>
      </c>
      <c r="D1170" t="s">
        <v>3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</row>
    <row r="1171" spans="1:28" hidden="1" x14ac:dyDescent="0.25">
      <c r="A1171" t="s">
        <v>74</v>
      </c>
      <c r="B1171" t="s">
        <v>80</v>
      </c>
      <c r="C1171">
        <v>115</v>
      </c>
      <c r="D1171" t="s">
        <v>4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</row>
    <row r="1172" spans="1:28" hidden="1" x14ac:dyDescent="0.25">
      <c r="A1172" t="s">
        <v>74</v>
      </c>
      <c r="B1172" t="s">
        <v>81</v>
      </c>
      <c r="C1172">
        <v>110</v>
      </c>
      <c r="D1172" t="s">
        <v>2</v>
      </c>
      <c r="E1172">
        <v>43.004297225000002</v>
      </c>
      <c r="F1172">
        <v>41.157661580000003</v>
      </c>
      <c r="G1172">
        <v>39.556590374999999</v>
      </c>
      <c r="H1172">
        <v>38.142028920000001</v>
      </c>
      <c r="I1172">
        <v>36.998231160000003</v>
      </c>
      <c r="J1172">
        <v>36.863833820000004</v>
      </c>
      <c r="K1172">
        <v>36.989173100000002</v>
      </c>
      <c r="L1172">
        <v>39.727369674999998</v>
      </c>
      <c r="M1172">
        <v>44.490529250000002</v>
      </c>
      <c r="N1172">
        <v>46.94961721</v>
      </c>
      <c r="O1172">
        <v>48.493953400000002</v>
      </c>
      <c r="P1172">
        <v>49.681454625000001</v>
      </c>
      <c r="Q1172">
        <v>48.872282050000003</v>
      </c>
      <c r="R1172">
        <v>50.687421335000003</v>
      </c>
      <c r="S1172">
        <v>52.5012683</v>
      </c>
      <c r="T1172">
        <v>53.002295320000002</v>
      </c>
      <c r="U1172">
        <v>52.166305260000001</v>
      </c>
      <c r="V1172">
        <v>48.021192800000001</v>
      </c>
      <c r="W1172">
        <v>48.502920840000002</v>
      </c>
      <c r="X1172">
        <v>49.166477909999998</v>
      </c>
      <c r="Y1172">
        <v>49.966725400000001</v>
      </c>
      <c r="Z1172">
        <v>47.877568965000002</v>
      </c>
      <c r="AA1172">
        <v>48.242345</v>
      </c>
      <c r="AB1172">
        <v>47.046983474999998</v>
      </c>
    </row>
    <row r="1173" spans="1:28" hidden="1" x14ac:dyDescent="0.25">
      <c r="A1173" t="s">
        <v>74</v>
      </c>
      <c r="B1173" t="s">
        <v>81</v>
      </c>
      <c r="C1173">
        <v>110</v>
      </c>
      <c r="D1173" t="s">
        <v>3</v>
      </c>
      <c r="E1173">
        <v>11.4239358735</v>
      </c>
      <c r="F1173">
        <v>11.3476105655</v>
      </c>
      <c r="G1173">
        <v>11.2291173973</v>
      </c>
      <c r="H1173">
        <v>11.1483885101</v>
      </c>
      <c r="I1173">
        <v>11.0539672546</v>
      </c>
      <c r="J1173">
        <v>11.171470019199999</v>
      </c>
      <c r="K1173">
        <v>11.799586570300001</v>
      </c>
      <c r="L1173">
        <v>12.6023602857</v>
      </c>
      <c r="M1173">
        <v>13.243279835799999</v>
      </c>
      <c r="N1173">
        <v>13.617058631800001</v>
      </c>
      <c r="O1173">
        <v>13.833243554199999</v>
      </c>
      <c r="P1173">
        <v>13.889736600100001</v>
      </c>
      <c r="Q1173">
        <v>13.329566508799999</v>
      </c>
      <c r="R1173">
        <v>13.639452153600001</v>
      </c>
      <c r="S1173">
        <v>14.1080270682</v>
      </c>
      <c r="T1173">
        <v>14.1768449322</v>
      </c>
      <c r="U1173">
        <v>13.881700889199999</v>
      </c>
      <c r="V1173">
        <v>12.850492274500001</v>
      </c>
      <c r="W1173">
        <v>12.4520114198</v>
      </c>
      <c r="X1173">
        <v>11.9522737498</v>
      </c>
      <c r="Y1173">
        <v>11.8320001848</v>
      </c>
      <c r="Z1173">
        <v>11.200552373000001</v>
      </c>
      <c r="AA1173">
        <v>11.5030366941</v>
      </c>
      <c r="AB1173">
        <v>11.727181334400001</v>
      </c>
    </row>
    <row r="1174" spans="1:28" hidden="1" x14ac:dyDescent="0.25">
      <c r="A1174" t="s">
        <v>74</v>
      </c>
      <c r="B1174" t="s">
        <v>81</v>
      </c>
      <c r="C1174">
        <v>110</v>
      </c>
      <c r="D1174" t="s">
        <v>4</v>
      </c>
      <c r="E1174">
        <v>0.65488777499999995</v>
      </c>
      <c r="F1174">
        <v>0.62676642000000005</v>
      </c>
      <c r="G1174">
        <v>0.60238462500000001</v>
      </c>
      <c r="H1174">
        <v>0.58084307999999996</v>
      </c>
      <c r="I1174">
        <v>0.56342484000000004</v>
      </c>
      <c r="J1174">
        <v>0.56137817999999995</v>
      </c>
      <c r="K1174">
        <v>0.56328690000000003</v>
      </c>
      <c r="L1174">
        <v>0.60498532500000002</v>
      </c>
      <c r="M1174">
        <v>0.67752075</v>
      </c>
      <c r="N1174">
        <v>0.71496879000000002</v>
      </c>
      <c r="O1174">
        <v>0.73848659999999999</v>
      </c>
      <c r="P1174">
        <v>0.75657037500000002</v>
      </c>
      <c r="Q1174">
        <v>0.74424794999999999</v>
      </c>
      <c r="R1174">
        <v>0.771889665</v>
      </c>
      <c r="S1174">
        <v>0.79951170000000005</v>
      </c>
      <c r="T1174">
        <v>0.80714155300000001</v>
      </c>
      <c r="U1174">
        <v>0.79441074</v>
      </c>
      <c r="V1174">
        <v>0.73128720000000003</v>
      </c>
      <c r="W1174">
        <v>0.73862315999999995</v>
      </c>
      <c r="X1174">
        <v>0.74872808999999996</v>
      </c>
      <c r="Y1174">
        <v>0.7609146</v>
      </c>
      <c r="Z1174">
        <v>0.72910003499999998</v>
      </c>
      <c r="AA1174">
        <v>0.73465499999999995</v>
      </c>
      <c r="AB1174">
        <v>0.71645152499999998</v>
      </c>
    </row>
    <row r="1175" spans="1:28" hidden="1" x14ac:dyDescent="0.25">
      <c r="A1175" t="s">
        <v>74</v>
      </c>
      <c r="B1175" t="s">
        <v>82</v>
      </c>
      <c r="C1175">
        <v>110</v>
      </c>
      <c r="D1175" t="s">
        <v>2</v>
      </c>
      <c r="E1175">
        <v>69.054611925000003</v>
      </c>
      <c r="F1175">
        <v>67.187740439999999</v>
      </c>
      <c r="G1175">
        <v>65.748011250000005</v>
      </c>
      <c r="H1175">
        <v>63.96845312</v>
      </c>
      <c r="I1175">
        <v>62.314252000000003</v>
      </c>
      <c r="J1175">
        <v>59.742996179999999</v>
      </c>
      <c r="K1175">
        <v>57.030322925</v>
      </c>
      <c r="L1175">
        <v>57.055195159999997</v>
      </c>
      <c r="M1175">
        <v>57.627523500000002</v>
      </c>
      <c r="N1175">
        <v>57.179448970000003</v>
      </c>
      <c r="O1175">
        <v>57.717256999999996</v>
      </c>
      <c r="P1175">
        <v>58.136005125099999</v>
      </c>
      <c r="Q1175">
        <v>59.147614900000001</v>
      </c>
      <c r="R1175">
        <v>63.399700330000002</v>
      </c>
      <c r="S1175">
        <v>65.180010999999993</v>
      </c>
      <c r="T1175">
        <v>65.575959330000003</v>
      </c>
      <c r="U1175">
        <v>64.881693900000002</v>
      </c>
      <c r="V1175">
        <v>62.59471302</v>
      </c>
      <c r="W1175">
        <v>70.405591630000004</v>
      </c>
      <c r="X1175">
        <v>73.835342914999998</v>
      </c>
      <c r="Y1175">
        <v>76.866500160000001</v>
      </c>
      <c r="Z1175">
        <v>75.480838605000002</v>
      </c>
      <c r="AA1175">
        <v>76.298592499999998</v>
      </c>
      <c r="AB1175">
        <v>74.571788999999995</v>
      </c>
    </row>
    <row r="1176" spans="1:28" hidden="1" x14ac:dyDescent="0.25">
      <c r="A1176" t="s">
        <v>74</v>
      </c>
      <c r="B1176" t="s">
        <v>82</v>
      </c>
      <c r="C1176">
        <v>110</v>
      </c>
      <c r="D1176" t="s">
        <v>3</v>
      </c>
      <c r="E1176">
        <v>32.4147666892</v>
      </c>
      <c r="F1176">
        <v>31.4921171037</v>
      </c>
      <c r="G1176">
        <v>30.811620982400001</v>
      </c>
      <c r="H1176">
        <v>29.848838943899999</v>
      </c>
      <c r="I1176">
        <v>28.913441466399998</v>
      </c>
      <c r="J1176">
        <v>27.233631753099999</v>
      </c>
      <c r="K1176">
        <v>26.3331405819</v>
      </c>
      <c r="L1176">
        <v>26.7198485895</v>
      </c>
      <c r="M1176">
        <v>27.3314946781</v>
      </c>
      <c r="N1176">
        <v>27.308286632400002</v>
      </c>
      <c r="O1176">
        <v>27.479552850800001</v>
      </c>
      <c r="P1176">
        <v>27.424574838200002</v>
      </c>
      <c r="Q1176">
        <v>27.3860456337</v>
      </c>
      <c r="R1176">
        <v>30.0110958685</v>
      </c>
      <c r="S1176">
        <v>31.336992972499999</v>
      </c>
      <c r="T1176">
        <v>31.387477127899999</v>
      </c>
      <c r="U1176">
        <v>30.673624831000001</v>
      </c>
      <c r="V1176">
        <v>28.495288107299999</v>
      </c>
      <c r="W1176">
        <v>30.442931245099999</v>
      </c>
      <c r="X1176">
        <v>31.897220643800001</v>
      </c>
      <c r="Y1176">
        <v>33.639908229299998</v>
      </c>
      <c r="Z1176">
        <v>33.975557442300001</v>
      </c>
      <c r="AA1176">
        <v>35.437332714699998</v>
      </c>
      <c r="AB1176">
        <v>35.216302446599997</v>
      </c>
    </row>
    <row r="1177" spans="1:28" hidden="1" x14ac:dyDescent="0.25">
      <c r="A1177" t="s">
        <v>74</v>
      </c>
      <c r="B1177" t="s">
        <v>82</v>
      </c>
      <c r="C1177">
        <v>110</v>
      </c>
      <c r="D1177" t="s">
        <v>4</v>
      </c>
      <c r="E1177">
        <v>1.051593075</v>
      </c>
      <c r="F1177">
        <v>1.02316356</v>
      </c>
      <c r="G1177">
        <v>1.00123875</v>
      </c>
      <c r="H1177">
        <v>0.97413888000000004</v>
      </c>
      <c r="I1177">
        <v>0.94894800000000001</v>
      </c>
      <c r="J1177">
        <v>0.90979182000000003</v>
      </c>
      <c r="K1177">
        <v>0.86848207499999996</v>
      </c>
      <c r="L1177">
        <v>0.86886083999999997</v>
      </c>
      <c r="M1177">
        <v>0.87757649999999998</v>
      </c>
      <c r="N1177">
        <v>0.87075303000000004</v>
      </c>
      <c r="O1177">
        <v>0.87894300000000003</v>
      </c>
      <c r="P1177">
        <v>0.88531987489999997</v>
      </c>
      <c r="Q1177">
        <v>0.90072509999999995</v>
      </c>
      <c r="R1177">
        <v>0.96547766999999995</v>
      </c>
      <c r="S1177">
        <v>0.99258900000000005</v>
      </c>
      <c r="T1177">
        <v>0.99861867000000004</v>
      </c>
      <c r="U1177">
        <v>0.98804610000000004</v>
      </c>
      <c r="V1177">
        <v>0.95321898000000005</v>
      </c>
      <c r="W1177">
        <v>1.0721663699999999</v>
      </c>
      <c r="X1177">
        <v>1.1243960850000001</v>
      </c>
      <c r="Y1177">
        <v>1.17055584</v>
      </c>
      <c r="Z1177">
        <v>1.149454395</v>
      </c>
      <c r="AA1177">
        <v>1.1619075000000001</v>
      </c>
      <c r="AB1177">
        <v>1.1356109999999999</v>
      </c>
    </row>
    <row r="1178" spans="1:28" hidden="1" x14ac:dyDescent="0.25">
      <c r="A1178" t="s">
        <v>74</v>
      </c>
      <c r="B1178" t="s">
        <v>83</v>
      </c>
      <c r="C1178">
        <v>34</v>
      </c>
      <c r="D1178" t="s">
        <v>2</v>
      </c>
      <c r="E1178">
        <v>26.895878700000001</v>
      </c>
      <c r="F1178">
        <v>26.652045919999999</v>
      </c>
      <c r="G1178">
        <v>26.273744950000001</v>
      </c>
      <c r="H1178">
        <v>25.866764960000001</v>
      </c>
      <c r="I1178">
        <v>25.564381040000001</v>
      </c>
      <c r="J1178">
        <v>25.509479039999999</v>
      </c>
      <c r="K1178">
        <v>26.333564849999998</v>
      </c>
      <c r="L1178">
        <v>28.920196919999999</v>
      </c>
      <c r="M1178">
        <v>32.345717</v>
      </c>
      <c r="N1178">
        <v>33.39436654</v>
      </c>
      <c r="O1178">
        <v>33.983106100000001</v>
      </c>
      <c r="P1178">
        <v>34.462766250000001</v>
      </c>
      <c r="Q1178">
        <v>33.30880672</v>
      </c>
      <c r="R1178">
        <v>35.228248540000003</v>
      </c>
      <c r="S1178">
        <v>36.034083799999998</v>
      </c>
      <c r="T1178">
        <v>36.051029700000001</v>
      </c>
      <c r="U1178">
        <v>34.925412600000001</v>
      </c>
      <c r="V1178">
        <v>31.35949278</v>
      </c>
      <c r="W1178">
        <v>31.08275566</v>
      </c>
      <c r="X1178">
        <v>30.145150749999999</v>
      </c>
      <c r="Y1178">
        <v>29.601043799999999</v>
      </c>
      <c r="Z1178">
        <v>28.3568733</v>
      </c>
      <c r="AA1178">
        <v>28.412269999999999</v>
      </c>
      <c r="AB1178">
        <v>27.963470399999999</v>
      </c>
    </row>
    <row r="1179" spans="1:28" hidden="1" x14ac:dyDescent="0.25">
      <c r="A1179" t="s">
        <v>74</v>
      </c>
      <c r="B1179" t="s">
        <v>83</v>
      </c>
      <c r="C1179">
        <v>34</v>
      </c>
      <c r="D1179" t="s">
        <v>3</v>
      </c>
      <c r="E1179">
        <v>10.453071793599999</v>
      </c>
      <c r="F1179">
        <v>10.4697307732</v>
      </c>
      <c r="G1179">
        <v>10.3923112158</v>
      </c>
      <c r="H1179">
        <v>10.3189475359</v>
      </c>
      <c r="I1179">
        <v>10.277313144400001</v>
      </c>
      <c r="J1179">
        <v>10.375585146400001</v>
      </c>
      <c r="K1179">
        <v>10.9977682249</v>
      </c>
      <c r="L1179">
        <v>12.116775845299999</v>
      </c>
      <c r="M1179">
        <v>13.237020980400001</v>
      </c>
      <c r="N1179">
        <v>13.592968863099999</v>
      </c>
      <c r="O1179">
        <v>13.8420664165</v>
      </c>
      <c r="P1179">
        <v>13.8642715751</v>
      </c>
      <c r="Q1179">
        <v>12.765826838400001</v>
      </c>
      <c r="R1179">
        <v>13.955209200700001</v>
      </c>
      <c r="S1179">
        <v>14.3681997832</v>
      </c>
      <c r="T1179">
        <v>14.215369388099999</v>
      </c>
      <c r="U1179">
        <v>13.4803324436</v>
      </c>
      <c r="V1179">
        <v>11.880564104099999</v>
      </c>
      <c r="W1179">
        <v>11.485525522</v>
      </c>
      <c r="X1179">
        <v>11.171656195800001</v>
      </c>
      <c r="Y1179">
        <v>10.954504207899999</v>
      </c>
      <c r="Z1179">
        <v>10.5506404587</v>
      </c>
      <c r="AA1179">
        <v>10.7052132055</v>
      </c>
      <c r="AB1179">
        <v>10.7234621287</v>
      </c>
    </row>
    <row r="1180" spans="1:28" hidden="1" x14ac:dyDescent="0.25">
      <c r="A1180" t="s">
        <v>74</v>
      </c>
      <c r="B1180" t="s">
        <v>83</v>
      </c>
      <c r="C1180">
        <v>34</v>
      </c>
      <c r="D1180" t="s">
        <v>4</v>
      </c>
      <c r="E1180">
        <v>0.83183130000000005</v>
      </c>
      <c r="F1180">
        <v>0.82429008000000004</v>
      </c>
      <c r="G1180">
        <v>0.81259004999999995</v>
      </c>
      <c r="H1180">
        <v>0.80000304</v>
      </c>
      <c r="I1180">
        <v>0.79065096000000001</v>
      </c>
      <c r="J1180">
        <v>0.78895296000000004</v>
      </c>
      <c r="K1180">
        <v>0.81444015000000003</v>
      </c>
      <c r="L1180">
        <v>0.89443908000000005</v>
      </c>
      <c r="M1180">
        <v>1.000383</v>
      </c>
      <c r="N1180">
        <v>1.0328154599999999</v>
      </c>
      <c r="O1180">
        <v>1.0510238999999999</v>
      </c>
      <c r="P1180">
        <v>1.0658587500000001</v>
      </c>
      <c r="Q1180">
        <v>1.03016928</v>
      </c>
      <c r="R1180">
        <v>1.08953346</v>
      </c>
      <c r="S1180">
        <v>1.1144562</v>
      </c>
      <c r="T1180">
        <v>1.1149803</v>
      </c>
      <c r="U1180">
        <v>1.0801674000000001</v>
      </c>
      <c r="V1180">
        <v>0.96988121999999999</v>
      </c>
      <c r="W1180">
        <v>0.96132234000000005</v>
      </c>
      <c r="X1180">
        <v>0.93232424999999997</v>
      </c>
      <c r="Y1180">
        <v>0.91549619999999998</v>
      </c>
      <c r="Z1180">
        <v>0.87701669999999998</v>
      </c>
      <c r="AA1180">
        <v>0.87873000000000001</v>
      </c>
      <c r="AB1180">
        <v>0.8648496</v>
      </c>
    </row>
    <row r="1181" spans="1:28" hidden="1" x14ac:dyDescent="0.25">
      <c r="A1181" t="s">
        <v>74</v>
      </c>
      <c r="B1181" t="s">
        <v>84</v>
      </c>
      <c r="C1181">
        <v>34</v>
      </c>
      <c r="D1181" t="s">
        <v>2</v>
      </c>
      <c r="E1181">
        <v>11.36751245</v>
      </c>
      <c r="F1181">
        <v>11.61662591</v>
      </c>
      <c r="G1181">
        <v>11.364296899999999</v>
      </c>
      <c r="H1181">
        <v>11.38468048</v>
      </c>
      <c r="I1181">
        <v>11.47059144</v>
      </c>
      <c r="J1181">
        <v>11.73121104</v>
      </c>
      <c r="K1181">
        <v>12.3610398</v>
      </c>
      <c r="L1181">
        <v>13.86567082</v>
      </c>
      <c r="M1181">
        <v>16.04477</v>
      </c>
      <c r="N1181">
        <v>17.340573599999999</v>
      </c>
      <c r="O1181">
        <v>17.5521791</v>
      </c>
      <c r="P1181">
        <v>17.674321500000001</v>
      </c>
      <c r="Q1181">
        <v>17.140398579999999</v>
      </c>
      <c r="R1181">
        <v>17.796104029999999</v>
      </c>
      <c r="S1181">
        <v>17.786404999999998</v>
      </c>
      <c r="T1181">
        <v>18.092348820000002</v>
      </c>
      <c r="U1181">
        <v>17.46659988</v>
      </c>
      <c r="V1181">
        <v>15.713418000000001</v>
      </c>
      <c r="W1181">
        <v>14.311308220000001</v>
      </c>
      <c r="X1181">
        <v>13.12051876</v>
      </c>
      <c r="Y1181">
        <v>12.77110536</v>
      </c>
      <c r="Z1181">
        <v>11.88012447</v>
      </c>
      <c r="AA1181">
        <v>11.773860000000001</v>
      </c>
      <c r="AB1181">
        <v>11.7529953</v>
      </c>
    </row>
    <row r="1182" spans="1:28" hidden="1" x14ac:dyDescent="0.25">
      <c r="A1182" t="s">
        <v>74</v>
      </c>
      <c r="B1182" t="s">
        <v>84</v>
      </c>
      <c r="C1182">
        <v>34</v>
      </c>
      <c r="D1182" t="s">
        <v>3</v>
      </c>
      <c r="E1182">
        <v>4.1088647275000003</v>
      </c>
      <c r="F1182">
        <v>4.2308988350999996</v>
      </c>
      <c r="G1182">
        <v>4.1483940249</v>
      </c>
      <c r="H1182">
        <v>4.1858647156000002</v>
      </c>
      <c r="I1182">
        <v>4.2351626179000004</v>
      </c>
      <c r="J1182">
        <v>4.4254188202</v>
      </c>
      <c r="K1182">
        <v>4.9485340250999998</v>
      </c>
      <c r="L1182">
        <v>5.5222751544999999</v>
      </c>
      <c r="M1182">
        <v>6.0842666153999998</v>
      </c>
      <c r="N1182">
        <v>6.5481968928000001</v>
      </c>
      <c r="O1182">
        <v>6.6161757573999997</v>
      </c>
      <c r="P1182">
        <v>6.5187383326999999</v>
      </c>
      <c r="Q1182">
        <v>6.1216806996999997</v>
      </c>
      <c r="R1182">
        <v>6.4862413712000002</v>
      </c>
      <c r="S1182">
        <v>6.4897645053000002</v>
      </c>
      <c r="T1182">
        <v>6.4604558898000004</v>
      </c>
      <c r="U1182">
        <v>5.9200246387000002</v>
      </c>
      <c r="V1182">
        <v>5.2363317115000001</v>
      </c>
      <c r="W1182">
        <v>4.9620463445</v>
      </c>
      <c r="X1182">
        <v>4.6617502891999996</v>
      </c>
      <c r="Y1182">
        <v>4.5100520839999998</v>
      </c>
      <c r="Z1182">
        <v>4.1688669541000003</v>
      </c>
      <c r="AA1182">
        <v>4.1231851876999999</v>
      </c>
      <c r="AB1182">
        <v>4.1750751536999999</v>
      </c>
    </row>
    <row r="1183" spans="1:28" hidden="1" x14ac:dyDescent="0.25">
      <c r="A1183" t="s">
        <v>74</v>
      </c>
      <c r="B1183" t="s">
        <v>84</v>
      </c>
      <c r="C1183">
        <v>34</v>
      </c>
      <c r="D1183" t="s">
        <v>4</v>
      </c>
      <c r="E1183">
        <v>0.35157254999999998</v>
      </c>
      <c r="F1183">
        <v>0.35927709000000002</v>
      </c>
      <c r="G1183">
        <v>0.35147309999999998</v>
      </c>
      <c r="H1183">
        <v>0.35210352</v>
      </c>
      <c r="I1183">
        <v>0.35476056</v>
      </c>
      <c r="J1183">
        <v>0.36282096000000003</v>
      </c>
      <c r="K1183">
        <v>0.38230019999999998</v>
      </c>
      <c r="L1183">
        <v>0.42883517999999998</v>
      </c>
      <c r="M1183">
        <v>0.49623</v>
      </c>
      <c r="N1183">
        <v>0.53630639999999996</v>
      </c>
      <c r="O1183">
        <v>0.54285090000000003</v>
      </c>
      <c r="P1183">
        <v>0.54662849999999996</v>
      </c>
      <c r="Q1183">
        <v>0.53011542</v>
      </c>
      <c r="R1183">
        <v>0.55039497000000004</v>
      </c>
      <c r="S1183">
        <v>0.550095</v>
      </c>
      <c r="T1183">
        <v>0.55955717999999999</v>
      </c>
      <c r="U1183">
        <v>0.54020411999999995</v>
      </c>
      <c r="V1183">
        <v>0.48598200000000003</v>
      </c>
      <c r="W1183">
        <v>0.44261778000000002</v>
      </c>
      <c r="X1183">
        <v>0.40578924</v>
      </c>
      <c r="Y1183">
        <v>0.39498264</v>
      </c>
      <c r="Z1183">
        <v>0.36742652999999997</v>
      </c>
      <c r="AA1183">
        <v>0.36414000000000002</v>
      </c>
      <c r="AB1183">
        <v>0.3634947</v>
      </c>
    </row>
    <row r="1184" spans="1:28" hidden="1" x14ac:dyDescent="0.25">
      <c r="A1184" t="s">
        <v>74</v>
      </c>
      <c r="B1184" t="s">
        <v>85</v>
      </c>
      <c r="C1184">
        <v>34</v>
      </c>
      <c r="D1184" t="s">
        <v>2</v>
      </c>
      <c r="E1184">
        <v>7.5134841999999997</v>
      </c>
      <c r="F1184">
        <v>7.2012897000000002</v>
      </c>
      <c r="G1184">
        <v>6.8567893499999997</v>
      </c>
      <c r="H1184">
        <v>6.6835095200000003</v>
      </c>
      <c r="I1184">
        <v>6.6085712000000001</v>
      </c>
      <c r="J1184">
        <v>6.3642475999999997</v>
      </c>
      <c r="K1184">
        <v>6.3069109000000001</v>
      </c>
      <c r="L1184">
        <v>6.5257816999999996</v>
      </c>
      <c r="M1184">
        <v>7.2740784999999999</v>
      </c>
      <c r="N1184">
        <v>7.4936050200000004</v>
      </c>
      <c r="O1184">
        <v>7.4397545000000003</v>
      </c>
      <c r="P1184">
        <v>7.4399242499999998</v>
      </c>
      <c r="Q1184">
        <v>7.3842258799999998</v>
      </c>
      <c r="R1184">
        <v>7.3777627700000004</v>
      </c>
      <c r="S1184">
        <v>7.5992904000000001</v>
      </c>
      <c r="T1184">
        <v>7.5011302799999999</v>
      </c>
      <c r="U1184">
        <v>7.07074128</v>
      </c>
      <c r="V1184">
        <v>6.6071181399999999</v>
      </c>
      <c r="W1184">
        <v>7.6991732400000004</v>
      </c>
      <c r="X1184">
        <v>8.2382691700000006</v>
      </c>
      <c r="Y1184">
        <v>8.5916275599999992</v>
      </c>
      <c r="Z1184">
        <v>8.2673100000000002</v>
      </c>
      <c r="AA1184">
        <v>8.3851650000000006</v>
      </c>
      <c r="AB1184">
        <v>8.2575614999999996</v>
      </c>
    </row>
    <row r="1185" spans="1:28" hidden="1" x14ac:dyDescent="0.25">
      <c r="A1185" t="s">
        <v>74</v>
      </c>
      <c r="B1185" t="s">
        <v>85</v>
      </c>
      <c r="C1185">
        <v>34</v>
      </c>
      <c r="D1185" t="s">
        <v>3</v>
      </c>
      <c r="E1185">
        <v>3.0392330348000001</v>
      </c>
      <c r="F1185">
        <v>2.9852861519</v>
      </c>
      <c r="G1185">
        <v>2.8805202902000002</v>
      </c>
      <c r="H1185">
        <v>2.8604441611000002</v>
      </c>
      <c r="I1185">
        <v>2.867969333</v>
      </c>
      <c r="J1185">
        <v>2.6776626824999998</v>
      </c>
      <c r="K1185">
        <v>1.6730398800999999</v>
      </c>
      <c r="L1185">
        <v>3.1426298658</v>
      </c>
      <c r="M1185">
        <v>4.0075419397000003</v>
      </c>
      <c r="N1185">
        <v>4.1547774820000001</v>
      </c>
      <c r="O1185">
        <v>3.7978945702</v>
      </c>
      <c r="P1185">
        <v>3.8346319297</v>
      </c>
      <c r="Q1185">
        <v>3.3092883669000002</v>
      </c>
      <c r="R1185">
        <v>3.7531486285</v>
      </c>
      <c r="S1185">
        <v>3.6686582451</v>
      </c>
      <c r="T1185">
        <v>2.8529320086999999</v>
      </c>
      <c r="U1185">
        <v>2.3619607317</v>
      </c>
      <c r="V1185">
        <v>1.0716565855</v>
      </c>
      <c r="W1185">
        <v>1.8668157906</v>
      </c>
      <c r="X1185">
        <v>3.1605399010999999</v>
      </c>
      <c r="Y1185">
        <v>3.2226746133000002</v>
      </c>
      <c r="Z1185">
        <v>3.0808442599000001</v>
      </c>
      <c r="AA1185">
        <v>3.1875398362</v>
      </c>
      <c r="AB1185">
        <v>3.2641166149999998</v>
      </c>
    </row>
    <row r="1186" spans="1:28" hidden="1" x14ac:dyDescent="0.25">
      <c r="A1186" t="s">
        <v>74</v>
      </c>
      <c r="B1186" t="s">
        <v>85</v>
      </c>
      <c r="C1186">
        <v>34</v>
      </c>
      <c r="D1186" t="s">
        <v>4</v>
      </c>
      <c r="E1186">
        <v>0.23237579999999999</v>
      </c>
      <c r="F1186">
        <v>0.22272030000000001</v>
      </c>
      <c r="G1186">
        <v>0.21206564999999999</v>
      </c>
      <c r="H1186">
        <v>0.20670648</v>
      </c>
      <c r="I1186">
        <v>0.20438880000000001</v>
      </c>
      <c r="J1186">
        <v>0.19683239999999999</v>
      </c>
      <c r="K1186">
        <v>0.19505910000000001</v>
      </c>
      <c r="L1186">
        <v>0.20182829999999999</v>
      </c>
      <c r="M1186">
        <v>0.22497149999999999</v>
      </c>
      <c r="N1186">
        <v>0.23176098000000001</v>
      </c>
      <c r="O1186">
        <v>0.23009550000000001</v>
      </c>
      <c r="P1186">
        <v>0.23010074999999999</v>
      </c>
      <c r="Q1186">
        <v>0.22837811999999999</v>
      </c>
      <c r="R1186">
        <v>0.22817823000000001</v>
      </c>
      <c r="S1186">
        <v>0.23502960000000001</v>
      </c>
      <c r="T1186">
        <v>0.23199371999999999</v>
      </c>
      <c r="U1186">
        <v>0.21868272</v>
      </c>
      <c r="V1186">
        <v>0.20434385999999999</v>
      </c>
      <c r="W1186">
        <v>0.23811876000000001</v>
      </c>
      <c r="X1186">
        <v>0.25479183</v>
      </c>
      <c r="Y1186">
        <v>0.26572044</v>
      </c>
      <c r="Z1186">
        <v>0.25568999999999997</v>
      </c>
      <c r="AA1186">
        <v>0.25933499999999998</v>
      </c>
      <c r="AB1186">
        <v>0.25538850000000002</v>
      </c>
    </row>
    <row r="1187" spans="1:28" hidden="1" x14ac:dyDescent="0.25">
      <c r="A1187" t="s">
        <v>74</v>
      </c>
      <c r="B1187" t="s">
        <v>86</v>
      </c>
      <c r="C1187">
        <v>14</v>
      </c>
      <c r="D1187" t="s">
        <v>2</v>
      </c>
      <c r="E1187">
        <v>6.94079975</v>
      </c>
      <c r="F1187">
        <v>6.9245766</v>
      </c>
      <c r="G1187">
        <v>6.9995525000000001</v>
      </c>
      <c r="H1187">
        <v>7.0310715999999998</v>
      </c>
      <c r="I1187">
        <v>6.9808507999999998</v>
      </c>
      <c r="J1187">
        <v>6.8691801999999997</v>
      </c>
      <c r="K1187">
        <v>6.7896072500000004</v>
      </c>
      <c r="L1187">
        <v>7.2391747999999998</v>
      </c>
      <c r="M1187">
        <v>7.3948</v>
      </c>
      <c r="N1187">
        <v>7.3727942000000004</v>
      </c>
      <c r="O1187">
        <v>7.3347030000000002</v>
      </c>
      <c r="P1187">
        <v>7.4417062500000002</v>
      </c>
      <c r="Q1187">
        <v>7.3669517000000004</v>
      </c>
      <c r="R1187">
        <v>7.4261499999999998</v>
      </c>
      <c r="S1187">
        <v>7.4502610000000002</v>
      </c>
      <c r="T1187">
        <v>7.5774888000000002</v>
      </c>
      <c r="U1187">
        <v>7.6876128000000001</v>
      </c>
      <c r="V1187">
        <v>7.4748659999999996</v>
      </c>
      <c r="W1187">
        <v>7.6364837999999997</v>
      </c>
      <c r="X1187">
        <v>7.6224570500000004</v>
      </c>
      <c r="Y1187">
        <v>7.4270240000000003</v>
      </c>
      <c r="Z1187">
        <v>6.9632909999999999</v>
      </c>
      <c r="AA1187">
        <v>6.9606500000000002</v>
      </c>
      <c r="AB1187">
        <v>6.8702812499999997</v>
      </c>
    </row>
    <row r="1188" spans="1:28" hidden="1" x14ac:dyDescent="0.25">
      <c r="A1188" t="s">
        <v>74</v>
      </c>
      <c r="B1188" t="s">
        <v>86</v>
      </c>
      <c r="C1188">
        <v>14</v>
      </c>
      <c r="D1188" t="s">
        <v>3</v>
      </c>
      <c r="E1188">
        <v>2.3731421472999998</v>
      </c>
      <c r="F1188">
        <v>2.3402337701000002</v>
      </c>
      <c r="G1188">
        <v>2.3648418481000002</v>
      </c>
      <c r="H1188">
        <v>2.4163649292999998</v>
      </c>
      <c r="I1188">
        <v>2.3723458581000001</v>
      </c>
      <c r="J1188">
        <v>2.3186421184000001</v>
      </c>
      <c r="K1188">
        <v>2.2742361567999998</v>
      </c>
      <c r="L1188">
        <v>2.5366213629000001</v>
      </c>
      <c r="M1188">
        <v>2.6546589441999999</v>
      </c>
      <c r="N1188">
        <v>2.6872017986999999</v>
      </c>
      <c r="O1188">
        <v>2.6876097640999999</v>
      </c>
      <c r="P1188">
        <v>2.7840880233999998</v>
      </c>
      <c r="Q1188">
        <v>2.7149414854999998</v>
      </c>
      <c r="R1188">
        <v>2.6681457272000002</v>
      </c>
      <c r="S1188">
        <v>2.6902208036999999</v>
      </c>
      <c r="T1188">
        <v>2.7590496273</v>
      </c>
      <c r="U1188">
        <v>2.8039794882</v>
      </c>
      <c r="V1188">
        <v>2.6728992618</v>
      </c>
      <c r="W1188">
        <v>2.6576480136999998</v>
      </c>
      <c r="X1188">
        <v>2.6794556324999999</v>
      </c>
      <c r="Y1188">
        <v>2.5651952373000002</v>
      </c>
      <c r="Z1188">
        <v>2.3460400260999998</v>
      </c>
      <c r="AA1188">
        <v>2.3601679178000001</v>
      </c>
      <c r="AB1188">
        <v>2.33667516</v>
      </c>
    </row>
    <row r="1189" spans="1:28" hidden="1" x14ac:dyDescent="0.25">
      <c r="A1189" t="s">
        <v>74</v>
      </c>
      <c r="B1189" t="s">
        <v>86</v>
      </c>
      <c r="C1189">
        <v>14</v>
      </c>
      <c r="D1189" t="s">
        <v>4</v>
      </c>
      <c r="E1189">
        <v>0.36530525000000003</v>
      </c>
      <c r="F1189">
        <v>0.36445139999999998</v>
      </c>
      <c r="G1189">
        <v>0.36839749999999999</v>
      </c>
      <c r="H1189">
        <v>0.37005640000000001</v>
      </c>
      <c r="I1189">
        <v>0.3674132</v>
      </c>
      <c r="J1189">
        <v>0.36153580000000002</v>
      </c>
      <c r="K1189">
        <v>0.35734775000000002</v>
      </c>
      <c r="L1189">
        <v>0.38100919999999999</v>
      </c>
      <c r="M1189">
        <v>0.38919999999999999</v>
      </c>
      <c r="N1189">
        <v>0.38804179999999999</v>
      </c>
      <c r="O1189">
        <v>0.38603700000000002</v>
      </c>
      <c r="P1189">
        <v>0.39166875000000001</v>
      </c>
      <c r="Q1189">
        <v>0.38773429999999998</v>
      </c>
      <c r="R1189">
        <v>0.39084999999999998</v>
      </c>
      <c r="S1189">
        <v>0.392119</v>
      </c>
      <c r="T1189">
        <v>0.39881519999999998</v>
      </c>
      <c r="U1189">
        <v>0.4046112</v>
      </c>
      <c r="V1189">
        <v>0.39341399999999999</v>
      </c>
      <c r="W1189">
        <v>0.40192020000000001</v>
      </c>
      <c r="X1189">
        <v>0.40118195000000001</v>
      </c>
      <c r="Y1189">
        <v>0.39089600000000002</v>
      </c>
      <c r="Z1189">
        <v>0.36648900000000001</v>
      </c>
      <c r="AA1189">
        <v>0.36635000000000001</v>
      </c>
      <c r="AB1189">
        <v>0.36159374999999999</v>
      </c>
    </row>
    <row r="1190" spans="1:28" hidden="1" x14ac:dyDescent="0.25">
      <c r="A1190" t="s">
        <v>74</v>
      </c>
      <c r="B1190" t="s">
        <v>87</v>
      </c>
      <c r="C1190">
        <v>34</v>
      </c>
      <c r="D1190" t="s">
        <v>2</v>
      </c>
      <c r="E1190">
        <v>44.998586150000001</v>
      </c>
      <c r="F1190">
        <v>44.218828369999997</v>
      </c>
      <c r="G1190">
        <v>42.810707499999999</v>
      </c>
      <c r="H1190">
        <v>40.734304160000001</v>
      </c>
      <c r="I1190">
        <v>41.512616639999997</v>
      </c>
      <c r="J1190">
        <v>41.544758559999998</v>
      </c>
      <c r="K1190">
        <v>40.27449215</v>
      </c>
      <c r="L1190">
        <v>42.094522550000001</v>
      </c>
      <c r="M1190">
        <v>43.004028499999997</v>
      </c>
      <c r="N1190">
        <v>43.124355059999999</v>
      </c>
      <c r="O1190">
        <v>43.651260999999998</v>
      </c>
      <c r="P1190">
        <v>43.969736249999997</v>
      </c>
      <c r="Q1190">
        <v>43.333364840000002</v>
      </c>
      <c r="R1190">
        <v>45.563182410000003</v>
      </c>
      <c r="S1190">
        <v>47.3313828</v>
      </c>
      <c r="T1190">
        <v>46.996075140000002</v>
      </c>
      <c r="U1190">
        <v>46.52049384</v>
      </c>
      <c r="V1190">
        <v>45.336952220000001</v>
      </c>
      <c r="W1190">
        <v>49.382595240000001</v>
      </c>
      <c r="X1190">
        <v>50.82936188</v>
      </c>
      <c r="Y1190">
        <v>52.876857280000003</v>
      </c>
      <c r="Z1190">
        <v>50.852223809999998</v>
      </c>
      <c r="AA1190">
        <v>50.385195000000003</v>
      </c>
      <c r="AB1190">
        <v>48.887970899999999</v>
      </c>
    </row>
    <row r="1191" spans="1:28" hidden="1" x14ac:dyDescent="0.25">
      <c r="A1191" t="s">
        <v>74</v>
      </c>
      <c r="B1191" t="s">
        <v>87</v>
      </c>
      <c r="C1191">
        <v>34</v>
      </c>
      <c r="D1191" t="s">
        <v>3</v>
      </c>
      <c r="E1191">
        <v>12.584122650799999</v>
      </c>
      <c r="F1191">
        <v>12.270173012800001</v>
      </c>
      <c r="G1191">
        <v>12.1087730504</v>
      </c>
      <c r="H1191">
        <v>11.8254907426</v>
      </c>
      <c r="I1191">
        <v>11.799160410100001</v>
      </c>
      <c r="J1191">
        <v>11.9749036951</v>
      </c>
      <c r="K1191">
        <v>12.1701495376</v>
      </c>
      <c r="L1191">
        <v>13.075356559299999</v>
      </c>
      <c r="M1191">
        <v>13.7836978354</v>
      </c>
      <c r="N1191">
        <v>14.1712292738</v>
      </c>
      <c r="O1191">
        <v>14.4771766238</v>
      </c>
      <c r="P1191">
        <v>14.724953961600001</v>
      </c>
      <c r="Q1191">
        <v>14.7067077932</v>
      </c>
      <c r="R1191">
        <v>15.223446602199999</v>
      </c>
      <c r="S1191">
        <v>15.477990736200001</v>
      </c>
      <c r="T1191">
        <v>15.228972257500001</v>
      </c>
      <c r="U1191">
        <v>14.5991861726</v>
      </c>
      <c r="V1191">
        <v>13.837951429</v>
      </c>
      <c r="W1191">
        <v>14.462488179399999</v>
      </c>
      <c r="X1191">
        <v>14.457309752</v>
      </c>
      <c r="Y1191">
        <v>14.6534900846</v>
      </c>
      <c r="Z1191">
        <v>14.012269634600001</v>
      </c>
      <c r="AA1191">
        <v>13.885620852000001</v>
      </c>
      <c r="AB1191">
        <v>13.6541884529</v>
      </c>
    </row>
    <row r="1192" spans="1:28" hidden="1" x14ac:dyDescent="0.25">
      <c r="A1192" t="s">
        <v>74</v>
      </c>
      <c r="B1192" t="s">
        <v>87</v>
      </c>
      <c r="C1192">
        <v>34</v>
      </c>
      <c r="D1192" t="s">
        <v>4</v>
      </c>
      <c r="E1192">
        <v>1.3917088500000001</v>
      </c>
      <c r="F1192">
        <v>1.3675926300000001</v>
      </c>
      <c r="G1192">
        <v>1.3240425</v>
      </c>
      <c r="H1192">
        <v>1.2598238399999999</v>
      </c>
      <c r="I1192">
        <v>1.28389536</v>
      </c>
      <c r="J1192">
        <v>1.2848894399999999</v>
      </c>
      <c r="K1192">
        <v>1.24560285</v>
      </c>
      <c r="L1192">
        <v>1.30189245</v>
      </c>
      <c r="M1192">
        <v>1.3300215</v>
      </c>
      <c r="N1192">
        <v>1.33374294</v>
      </c>
      <c r="O1192">
        <v>1.350039</v>
      </c>
      <c r="P1192">
        <v>1.3598887500000001</v>
      </c>
      <c r="Q1192">
        <v>1.3402071600000001</v>
      </c>
      <c r="R1192">
        <v>1.40917059</v>
      </c>
      <c r="S1192">
        <v>1.4638572000000001</v>
      </c>
      <c r="T1192">
        <v>1.4534868599999999</v>
      </c>
      <c r="U1192">
        <v>1.43877816</v>
      </c>
      <c r="V1192">
        <v>1.40217378</v>
      </c>
      <c r="W1192">
        <v>1.52729676</v>
      </c>
      <c r="X1192">
        <v>1.5720421200000001</v>
      </c>
      <c r="Y1192">
        <v>1.6353667199999999</v>
      </c>
      <c r="Z1192">
        <v>1.5727491899999999</v>
      </c>
      <c r="AA1192">
        <v>1.5583050000000001</v>
      </c>
      <c r="AB1192">
        <v>1.5119990999999999</v>
      </c>
    </row>
    <row r="1193" spans="1:28" hidden="1" x14ac:dyDescent="0.25">
      <c r="A1193" t="s">
        <v>74</v>
      </c>
      <c r="B1193" t="s">
        <v>88</v>
      </c>
      <c r="C1193">
        <v>34</v>
      </c>
      <c r="D1193" t="s">
        <v>2</v>
      </c>
      <c r="E1193">
        <v>21.762163399999999</v>
      </c>
      <c r="F1193">
        <v>21.152879240000001</v>
      </c>
      <c r="G1193">
        <v>20.570368049999999</v>
      </c>
      <c r="H1193">
        <v>19.79585312</v>
      </c>
      <c r="I1193">
        <v>19.292981839999999</v>
      </c>
      <c r="J1193">
        <v>18.561295319999999</v>
      </c>
      <c r="K1193">
        <v>17.246051949999998</v>
      </c>
      <c r="L1193">
        <v>17.089794650000002</v>
      </c>
      <c r="M1193">
        <v>17.332396500000002</v>
      </c>
      <c r="N1193">
        <v>17.34745478</v>
      </c>
      <c r="O1193">
        <v>17.453452500000001</v>
      </c>
      <c r="P1193">
        <v>17.99842275</v>
      </c>
      <c r="Q1193">
        <v>18.634652540000001</v>
      </c>
      <c r="R1193">
        <v>20.017773600000002</v>
      </c>
      <c r="S1193">
        <v>20.757321000000001</v>
      </c>
      <c r="T1193">
        <v>20.962278120000001</v>
      </c>
      <c r="U1193">
        <v>20.713845599999999</v>
      </c>
      <c r="V1193">
        <v>20.090727300000001</v>
      </c>
      <c r="W1193">
        <v>23.064826839999998</v>
      </c>
      <c r="X1193">
        <v>24.2004427</v>
      </c>
      <c r="Y1193">
        <v>24.913134679999999</v>
      </c>
      <c r="Z1193">
        <v>24.173614440000001</v>
      </c>
      <c r="AA1193">
        <v>24.330995000000001</v>
      </c>
      <c r="AB1193">
        <v>23.75451915</v>
      </c>
    </row>
    <row r="1194" spans="1:28" hidden="1" x14ac:dyDescent="0.25">
      <c r="A1194" t="s">
        <v>74</v>
      </c>
      <c r="B1194" t="s">
        <v>88</v>
      </c>
      <c r="C1194">
        <v>34</v>
      </c>
      <c r="D1194" t="s">
        <v>3</v>
      </c>
      <c r="E1194">
        <v>8.1147195372999992</v>
      </c>
      <c r="F1194">
        <v>8.0117334882000009</v>
      </c>
      <c r="G1194">
        <v>7.8566767327000004</v>
      </c>
      <c r="H1194">
        <v>7.6084463249000001</v>
      </c>
      <c r="I1194">
        <v>7.417021375</v>
      </c>
      <c r="J1194">
        <v>7.1481919092000004</v>
      </c>
      <c r="K1194">
        <v>6.7823916343999997</v>
      </c>
      <c r="L1194">
        <v>6.7155468362999997</v>
      </c>
      <c r="M1194">
        <v>6.6893170623999998</v>
      </c>
      <c r="N1194">
        <v>6.6724088653000004</v>
      </c>
      <c r="O1194">
        <v>6.6235130222</v>
      </c>
      <c r="P1194">
        <v>6.7277053004000003</v>
      </c>
      <c r="Q1194">
        <v>6.8949339277000004</v>
      </c>
      <c r="R1194">
        <v>7.3593802128999997</v>
      </c>
      <c r="S1194">
        <v>7.6442365692000003</v>
      </c>
      <c r="T1194">
        <v>7.6969617527</v>
      </c>
      <c r="U1194">
        <v>7.5811649767000002</v>
      </c>
      <c r="V1194">
        <v>7.2792905757000002</v>
      </c>
      <c r="W1194">
        <v>7.9417439137999999</v>
      </c>
      <c r="X1194">
        <v>8.2535148808999992</v>
      </c>
      <c r="Y1194">
        <v>8.5395811148000007</v>
      </c>
      <c r="Z1194">
        <v>8.4161954864999995</v>
      </c>
      <c r="AA1194">
        <v>8.7069150718999992</v>
      </c>
      <c r="AB1194">
        <v>8.6987381202999998</v>
      </c>
    </row>
    <row r="1195" spans="1:28" hidden="1" x14ac:dyDescent="0.25">
      <c r="A1195" t="s">
        <v>74</v>
      </c>
      <c r="B1195" t="s">
        <v>88</v>
      </c>
      <c r="C1195">
        <v>34</v>
      </c>
      <c r="D1195" t="s">
        <v>4</v>
      </c>
      <c r="E1195">
        <v>0.6730566</v>
      </c>
      <c r="F1195">
        <v>0.65421275999999995</v>
      </c>
      <c r="G1195">
        <v>0.63619694999999998</v>
      </c>
      <c r="H1195">
        <v>0.61224288000000004</v>
      </c>
      <c r="I1195">
        <v>0.59669015999999997</v>
      </c>
      <c r="J1195">
        <v>0.57406067999999999</v>
      </c>
      <c r="K1195">
        <v>0.53338304999999997</v>
      </c>
      <c r="L1195">
        <v>0.52855034999999995</v>
      </c>
      <c r="M1195">
        <v>0.53605349999999996</v>
      </c>
      <c r="N1195">
        <v>0.53651921999999996</v>
      </c>
      <c r="O1195">
        <v>0.53979750000000004</v>
      </c>
      <c r="P1195">
        <v>0.55665224999999996</v>
      </c>
      <c r="Q1195">
        <v>0.57632945999999996</v>
      </c>
      <c r="R1195">
        <v>0.61910639999999995</v>
      </c>
      <c r="S1195">
        <v>0.64197899999999997</v>
      </c>
      <c r="T1195">
        <v>0.64831788000000001</v>
      </c>
      <c r="U1195">
        <v>0.64063440000000005</v>
      </c>
      <c r="V1195">
        <v>0.62136270000000005</v>
      </c>
      <c r="W1195">
        <v>0.71334516000000003</v>
      </c>
      <c r="X1195">
        <v>0.74846729999999995</v>
      </c>
      <c r="Y1195">
        <v>0.77050932000000005</v>
      </c>
      <c r="Z1195">
        <v>0.74763756000000003</v>
      </c>
      <c r="AA1195">
        <v>0.75250499999999998</v>
      </c>
      <c r="AB1195">
        <v>0.73467585000000002</v>
      </c>
    </row>
    <row r="1196" spans="1:28" hidden="1" x14ac:dyDescent="0.25">
      <c r="A1196" t="s">
        <v>74</v>
      </c>
      <c r="B1196" t="s">
        <v>89</v>
      </c>
      <c r="C1196">
        <v>110</v>
      </c>
      <c r="D1196" t="s">
        <v>2</v>
      </c>
      <c r="E1196">
        <v>61.592123874999999</v>
      </c>
      <c r="F1196">
        <v>60.584196030000001</v>
      </c>
      <c r="G1196">
        <v>59.546860025000001</v>
      </c>
      <c r="H1196">
        <v>58.327878200000001</v>
      </c>
      <c r="I1196">
        <v>56.740207920000003</v>
      </c>
      <c r="J1196">
        <v>53.819998120000001</v>
      </c>
      <c r="K1196">
        <v>51.511466425000002</v>
      </c>
      <c r="L1196">
        <v>51.169901914999997</v>
      </c>
      <c r="M1196">
        <v>49.494772500000003</v>
      </c>
      <c r="N1196">
        <v>48.507849780000001</v>
      </c>
      <c r="O1196">
        <v>48.529758149999999</v>
      </c>
      <c r="P1196">
        <v>50.222662874999997</v>
      </c>
      <c r="Q1196">
        <v>51.73022409</v>
      </c>
      <c r="R1196">
        <v>55.068576239999999</v>
      </c>
      <c r="S1196">
        <v>57.399692999999999</v>
      </c>
      <c r="T1196">
        <v>58.206348900099997</v>
      </c>
      <c r="U1196">
        <v>57.930931080000001</v>
      </c>
      <c r="V1196">
        <v>57.800192029999998</v>
      </c>
      <c r="W1196">
        <v>66.479876099999998</v>
      </c>
      <c r="X1196">
        <v>69.42560134</v>
      </c>
      <c r="Y1196">
        <v>70.986002880000001</v>
      </c>
      <c r="Z1196">
        <v>67.144449690000002</v>
      </c>
      <c r="AA1196">
        <v>66.762315000000001</v>
      </c>
      <c r="AB1196">
        <v>65.437558949999996</v>
      </c>
    </row>
    <row r="1197" spans="1:28" hidden="1" x14ac:dyDescent="0.25">
      <c r="A1197" t="s">
        <v>74</v>
      </c>
      <c r="B1197" t="s">
        <v>89</v>
      </c>
      <c r="C1197">
        <v>110</v>
      </c>
      <c r="D1197" t="s">
        <v>3</v>
      </c>
      <c r="E1197">
        <v>19.721539778099999</v>
      </c>
      <c r="F1197">
        <v>19.512468088599999</v>
      </c>
      <c r="G1197">
        <v>19.278944815100001</v>
      </c>
      <c r="H1197">
        <v>18.878008389000001</v>
      </c>
      <c r="I1197">
        <v>18.2110199448</v>
      </c>
      <c r="J1197">
        <v>17.264051841200001</v>
      </c>
      <c r="K1197">
        <v>17.394499059099999</v>
      </c>
      <c r="L1197">
        <v>18.1377158335</v>
      </c>
      <c r="M1197">
        <v>18.387860379999999</v>
      </c>
      <c r="N1197">
        <v>18.538062628700001</v>
      </c>
      <c r="O1197">
        <v>18.715779490300001</v>
      </c>
      <c r="P1197">
        <v>18.979841345699999</v>
      </c>
      <c r="Q1197">
        <v>18.862947104500002</v>
      </c>
      <c r="R1197">
        <v>20.332375774500001</v>
      </c>
      <c r="S1197">
        <v>21.008003566799999</v>
      </c>
      <c r="T1197">
        <v>20.895494770199999</v>
      </c>
      <c r="U1197">
        <v>20.198634464800001</v>
      </c>
      <c r="V1197">
        <v>19.214548118</v>
      </c>
      <c r="W1197">
        <v>20.226488788000001</v>
      </c>
      <c r="X1197">
        <v>20.874067103600002</v>
      </c>
      <c r="Y1197">
        <v>21.380840043900001</v>
      </c>
      <c r="Z1197">
        <v>20.4488406959</v>
      </c>
      <c r="AA1197">
        <v>20.902501035899999</v>
      </c>
      <c r="AB1197">
        <v>20.943367002799999</v>
      </c>
    </row>
    <row r="1198" spans="1:28" hidden="1" x14ac:dyDescent="0.25">
      <c r="A1198" t="s">
        <v>74</v>
      </c>
      <c r="B1198" t="s">
        <v>89</v>
      </c>
      <c r="C1198">
        <v>110</v>
      </c>
      <c r="D1198" t="s">
        <v>4</v>
      </c>
      <c r="E1198">
        <v>0.937951125</v>
      </c>
      <c r="F1198">
        <v>0.92260196999999999</v>
      </c>
      <c r="G1198">
        <v>0.90680497500000001</v>
      </c>
      <c r="H1198">
        <v>0.88824179999999997</v>
      </c>
      <c r="I1198">
        <v>0.86406408000000001</v>
      </c>
      <c r="J1198">
        <v>0.81959388</v>
      </c>
      <c r="K1198">
        <v>0.78443857500000003</v>
      </c>
      <c r="L1198">
        <v>0.779237085</v>
      </c>
      <c r="M1198">
        <v>0.75372749999999999</v>
      </c>
      <c r="N1198">
        <v>0.73869821999999996</v>
      </c>
      <c r="O1198">
        <v>0.73903185000000005</v>
      </c>
      <c r="P1198">
        <v>0.76481212499999995</v>
      </c>
      <c r="Q1198">
        <v>0.78776990999999996</v>
      </c>
      <c r="R1198">
        <v>0.83860776000000004</v>
      </c>
      <c r="S1198">
        <v>0.87410699999999997</v>
      </c>
      <c r="T1198">
        <v>0.88639109989999998</v>
      </c>
      <c r="U1198">
        <v>0.88219692000000005</v>
      </c>
      <c r="V1198">
        <v>0.88020597</v>
      </c>
      <c r="W1198">
        <v>1.0123838999999999</v>
      </c>
      <c r="X1198">
        <v>1.05724266</v>
      </c>
      <c r="Y1198">
        <v>1.0810051199999999</v>
      </c>
      <c r="Z1198">
        <v>1.02250431</v>
      </c>
      <c r="AA1198">
        <v>1.0166850000000001</v>
      </c>
      <c r="AB1198">
        <v>0.99651104999999995</v>
      </c>
    </row>
    <row r="1199" spans="1:28" hidden="1" x14ac:dyDescent="0.25">
      <c r="A1199" t="s">
        <v>74</v>
      </c>
      <c r="B1199" t="s">
        <v>90</v>
      </c>
      <c r="C1199">
        <v>14</v>
      </c>
      <c r="D1199" t="s">
        <v>2</v>
      </c>
      <c r="E1199">
        <v>17.253054500000001</v>
      </c>
      <c r="F1199">
        <v>16.463679549999998</v>
      </c>
      <c r="G1199">
        <v>15.6485045</v>
      </c>
      <c r="H1199">
        <v>14.8508636</v>
      </c>
      <c r="I1199">
        <v>14.1796468</v>
      </c>
      <c r="J1199">
        <v>13.307831800000001</v>
      </c>
      <c r="K1199">
        <v>12.0195235</v>
      </c>
      <c r="L1199">
        <v>11.9345137</v>
      </c>
      <c r="M1199">
        <v>12.30706</v>
      </c>
      <c r="N1199">
        <v>12.407051299999999</v>
      </c>
      <c r="O1199">
        <v>12.604362500000001</v>
      </c>
      <c r="P1199">
        <v>13.00006125</v>
      </c>
      <c r="Q1199">
        <v>13.242042400000001</v>
      </c>
      <c r="R1199">
        <v>14.19137265</v>
      </c>
      <c r="S1199">
        <v>14.785667</v>
      </c>
      <c r="T1199">
        <v>15.0702699</v>
      </c>
      <c r="U1199">
        <v>15.0472818</v>
      </c>
      <c r="V1199">
        <v>14.495377400000001</v>
      </c>
      <c r="W1199">
        <v>16.329588000000001</v>
      </c>
      <c r="X1199">
        <v>17.639835600000001</v>
      </c>
      <c r="Y1199">
        <v>18.736356000000001</v>
      </c>
      <c r="Z1199">
        <v>18.776595149999999</v>
      </c>
      <c r="AA1199">
        <v>19.113524999999999</v>
      </c>
      <c r="AB1199">
        <v>18.490871250000001</v>
      </c>
    </row>
    <row r="1200" spans="1:28" hidden="1" x14ac:dyDescent="0.25">
      <c r="A1200" t="s">
        <v>74</v>
      </c>
      <c r="B1200" t="s">
        <v>90</v>
      </c>
      <c r="C1200">
        <v>14</v>
      </c>
      <c r="D1200" t="s">
        <v>3</v>
      </c>
      <c r="E1200">
        <v>2.9924042542999998</v>
      </c>
      <c r="F1200">
        <v>2.9532113191999998</v>
      </c>
      <c r="G1200">
        <v>2.8757519285000002</v>
      </c>
      <c r="H1200">
        <v>2.8096433731000001</v>
      </c>
      <c r="I1200">
        <v>2.7691108287000001</v>
      </c>
      <c r="J1200">
        <v>2.7306879741999999</v>
      </c>
      <c r="K1200">
        <v>2.7788664966000001</v>
      </c>
      <c r="L1200">
        <v>2.8663002313999999</v>
      </c>
      <c r="M1200">
        <v>2.9657932712999999</v>
      </c>
      <c r="N1200">
        <v>2.9775406653999998</v>
      </c>
      <c r="O1200">
        <v>2.9812150431000002</v>
      </c>
      <c r="P1200">
        <v>3.0019132124999999</v>
      </c>
      <c r="Q1200">
        <v>2.9895701000999999</v>
      </c>
      <c r="R1200">
        <v>3.0967012863000001</v>
      </c>
      <c r="S1200">
        <v>3.1515210651999999</v>
      </c>
      <c r="T1200">
        <v>3.1458343741000001</v>
      </c>
      <c r="U1200">
        <v>3.1148117226999998</v>
      </c>
      <c r="V1200">
        <v>2.9585467519000002</v>
      </c>
      <c r="W1200">
        <v>2.8839736853</v>
      </c>
      <c r="X1200">
        <v>2.8600024975</v>
      </c>
      <c r="Y1200">
        <v>2.8953177327000001</v>
      </c>
      <c r="Z1200">
        <v>2.8648125110999998</v>
      </c>
      <c r="AA1200">
        <v>3.0208081864</v>
      </c>
      <c r="AB1200">
        <v>3.0660444525999999</v>
      </c>
    </row>
    <row r="1201" spans="1:28" hidden="1" x14ac:dyDescent="0.25">
      <c r="A1201" t="s">
        <v>74</v>
      </c>
      <c r="B1201" t="s">
        <v>90</v>
      </c>
      <c r="C1201">
        <v>14</v>
      </c>
      <c r="D1201" t="s">
        <v>4</v>
      </c>
      <c r="E1201">
        <v>0.90805550000000002</v>
      </c>
      <c r="F1201">
        <v>0.86650945000000001</v>
      </c>
      <c r="G1201">
        <v>0.82360549999999999</v>
      </c>
      <c r="H1201">
        <v>0.7816244</v>
      </c>
      <c r="I1201">
        <v>0.74629719999999999</v>
      </c>
      <c r="J1201">
        <v>0.70041220000000004</v>
      </c>
      <c r="K1201">
        <v>0.63260649999999996</v>
      </c>
      <c r="L1201">
        <v>0.62813229999999998</v>
      </c>
      <c r="M1201">
        <v>0.64773999999999998</v>
      </c>
      <c r="N1201">
        <v>0.65300270000000005</v>
      </c>
      <c r="O1201">
        <v>0.66338750000000002</v>
      </c>
      <c r="P1201">
        <v>0.68421374999999995</v>
      </c>
      <c r="Q1201">
        <v>0.69694959999999995</v>
      </c>
      <c r="R1201">
        <v>0.74691434999999995</v>
      </c>
      <c r="S1201">
        <v>0.77819300000000002</v>
      </c>
      <c r="T1201">
        <v>0.79317210000000005</v>
      </c>
      <c r="U1201">
        <v>0.79196219999999995</v>
      </c>
      <c r="V1201">
        <v>0.7629146</v>
      </c>
      <c r="W1201">
        <v>0.85945199999999999</v>
      </c>
      <c r="X1201">
        <v>0.92841240000000003</v>
      </c>
      <c r="Y1201">
        <v>0.986124</v>
      </c>
      <c r="Z1201">
        <v>0.98824184999999998</v>
      </c>
      <c r="AA1201">
        <v>1.0059750000000001</v>
      </c>
      <c r="AB1201">
        <v>0.97320375000000003</v>
      </c>
    </row>
    <row r="1202" spans="1:28" hidden="1" x14ac:dyDescent="0.25">
      <c r="A1202" t="s">
        <v>74</v>
      </c>
      <c r="B1202" t="s">
        <v>91</v>
      </c>
      <c r="C1202">
        <v>110</v>
      </c>
      <c r="D1202" t="s">
        <v>2</v>
      </c>
      <c r="E1202">
        <v>10.904959625</v>
      </c>
      <c r="F1202">
        <v>10.614422055</v>
      </c>
      <c r="G1202">
        <v>10.225073224999999</v>
      </c>
      <c r="H1202">
        <v>9.8972169599999997</v>
      </c>
      <c r="I1202">
        <v>9.7237624</v>
      </c>
      <c r="J1202">
        <v>9.6806706200000008</v>
      </c>
      <c r="K1202">
        <v>10.6783456</v>
      </c>
      <c r="L1202">
        <v>11.921491444999999</v>
      </c>
      <c r="M1202">
        <v>12.82208975</v>
      </c>
      <c r="N1202">
        <v>13.29738377</v>
      </c>
      <c r="O1202">
        <v>13.906564899999999</v>
      </c>
      <c r="P1202">
        <v>14.225000625</v>
      </c>
      <c r="Q1202">
        <v>14.2897102</v>
      </c>
      <c r="R1202">
        <v>14.714212695000001</v>
      </c>
      <c r="S1202">
        <v>15.1239855</v>
      </c>
      <c r="T1202">
        <v>15.11448813</v>
      </c>
      <c r="U1202">
        <v>14.621115420000001</v>
      </c>
      <c r="V1202">
        <v>13.80609293</v>
      </c>
      <c r="W1202">
        <v>14.358325300000001</v>
      </c>
      <c r="X1202">
        <v>14.599241525</v>
      </c>
      <c r="Y1202">
        <v>14.23745398</v>
      </c>
      <c r="Z1202">
        <v>12.69347436</v>
      </c>
      <c r="AA1202">
        <v>12.0815175</v>
      </c>
      <c r="AB1202">
        <v>11.226473475000001</v>
      </c>
    </row>
    <row r="1203" spans="1:28" hidden="1" x14ac:dyDescent="0.25">
      <c r="A1203" t="s">
        <v>74</v>
      </c>
      <c r="B1203" t="s">
        <v>91</v>
      </c>
      <c r="C1203">
        <v>110</v>
      </c>
      <c r="D1203" t="s">
        <v>3</v>
      </c>
      <c r="E1203">
        <v>1.8715633749</v>
      </c>
      <c r="F1203">
        <v>1.8236370825999999</v>
      </c>
      <c r="G1203">
        <v>1.7317131119</v>
      </c>
      <c r="H1203">
        <v>1.6694684525000001</v>
      </c>
      <c r="I1203">
        <v>1.6527916412999999</v>
      </c>
      <c r="J1203">
        <v>1.6502159972999999</v>
      </c>
      <c r="K1203">
        <v>2.2550885484999998</v>
      </c>
      <c r="L1203">
        <v>2.8469359339999998</v>
      </c>
      <c r="M1203">
        <v>3.2564464759999998</v>
      </c>
      <c r="N1203">
        <v>3.4450319284000002</v>
      </c>
      <c r="O1203">
        <v>3.6423258873000002</v>
      </c>
      <c r="P1203">
        <v>3.7430946132999998</v>
      </c>
      <c r="Q1203">
        <v>3.7051588449000001</v>
      </c>
      <c r="R1203">
        <v>3.8202300887999998</v>
      </c>
      <c r="S1203">
        <v>3.9993098685000001</v>
      </c>
      <c r="T1203">
        <v>3.9657051899</v>
      </c>
      <c r="U1203">
        <v>3.6637576850000002</v>
      </c>
      <c r="V1203">
        <v>3.2514918257000001</v>
      </c>
      <c r="W1203">
        <v>2.9803124714</v>
      </c>
      <c r="X1203">
        <v>2.8723318805</v>
      </c>
      <c r="Y1203">
        <v>2.6584808705</v>
      </c>
      <c r="Z1203">
        <v>2.2961420538000001</v>
      </c>
      <c r="AA1203">
        <v>2.0968985175000001</v>
      </c>
      <c r="AB1203">
        <v>1.8741594559999999</v>
      </c>
    </row>
    <row r="1204" spans="1:28" hidden="1" x14ac:dyDescent="0.25">
      <c r="A1204" t="s">
        <v>74</v>
      </c>
      <c r="B1204" t="s">
        <v>91</v>
      </c>
      <c r="C1204">
        <v>110</v>
      </c>
      <c r="D1204" t="s">
        <v>4</v>
      </c>
      <c r="E1204">
        <v>0.16606537499999999</v>
      </c>
      <c r="F1204">
        <v>0.16164094500000001</v>
      </c>
      <c r="G1204">
        <v>0.155711775</v>
      </c>
      <c r="H1204">
        <v>0.15071904</v>
      </c>
      <c r="I1204">
        <v>0.1480776</v>
      </c>
      <c r="J1204">
        <v>0.14742137999999999</v>
      </c>
      <c r="K1204">
        <v>0.16261439999999999</v>
      </c>
      <c r="L1204">
        <v>0.181545555</v>
      </c>
      <c r="M1204">
        <v>0.19526025</v>
      </c>
      <c r="N1204">
        <v>0.20249823</v>
      </c>
      <c r="O1204">
        <v>0.21177509999999999</v>
      </c>
      <c r="P1204">
        <v>0.21662437500000001</v>
      </c>
      <c r="Q1204">
        <v>0.21760979999999999</v>
      </c>
      <c r="R1204">
        <v>0.224074305</v>
      </c>
      <c r="S1204">
        <v>0.23031450000000001</v>
      </c>
      <c r="T1204">
        <v>0.23016987</v>
      </c>
      <c r="U1204">
        <v>0.22265657999999999</v>
      </c>
      <c r="V1204">
        <v>0.21024507000000001</v>
      </c>
      <c r="W1204">
        <v>0.21865470000000001</v>
      </c>
      <c r="X1204">
        <v>0.22232347499999999</v>
      </c>
      <c r="Y1204">
        <v>0.21681402</v>
      </c>
      <c r="Z1204">
        <v>0.19330164</v>
      </c>
      <c r="AA1204">
        <v>0.18398249999999999</v>
      </c>
      <c r="AB1204">
        <v>0.170961525</v>
      </c>
    </row>
    <row r="1205" spans="1:28" hidden="1" x14ac:dyDescent="0.25">
      <c r="A1205" t="s">
        <v>74</v>
      </c>
      <c r="B1205" t="s">
        <v>92</v>
      </c>
      <c r="C1205">
        <v>110</v>
      </c>
      <c r="D1205" t="s">
        <v>2</v>
      </c>
      <c r="E1205">
        <v>4.0200164750000003</v>
      </c>
      <c r="F1205">
        <v>3.8188282550000001</v>
      </c>
      <c r="G1205">
        <v>3.729313425</v>
      </c>
      <c r="H1205">
        <v>3.64855032</v>
      </c>
      <c r="I1205">
        <v>3.8210277600000002</v>
      </c>
      <c r="J1205">
        <v>4.1774125800000004</v>
      </c>
      <c r="K1205">
        <v>5.1851582000000001</v>
      </c>
      <c r="L1205">
        <v>6.6726234450000002</v>
      </c>
      <c r="M1205">
        <v>7.9068412500000003</v>
      </c>
      <c r="N1205">
        <v>8.1894554799999995</v>
      </c>
      <c r="O1205">
        <v>8.7005542499999997</v>
      </c>
      <c r="P1205">
        <v>8.9591906249999997</v>
      </c>
      <c r="Q1205">
        <v>8.6474844199999996</v>
      </c>
      <c r="R1205">
        <v>8.6391138900000009</v>
      </c>
      <c r="S1205">
        <v>9.1855387000000004</v>
      </c>
      <c r="T1205">
        <v>9.3736973399999997</v>
      </c>
      <c r="U1205">
        <v>9.4811884200000005</v>
      </c>
      <c r="V1205">
        <v>8.9051958800000008</v>
      </c>
      <c r="W1205">
        <v>8.7975866000000007</v>
      </c>
      <c r="X1205">
        <v>8.3399772700000003</v>
      </c>
      <c r="Y1205">
        <v>7.3331201200000002</v>
      </c>
      <c r="Z1205">
        <v>5.7674714849999997</v>
      </c>
      <c r="AA1205">
        <v>5.0737350000000001</v>
      </c>
      <c r="AB1205">
        <v>4.4938457999999999</v>
      </c>
    </row>
    <row r="1206" spans="1:28" hidden="1" x14ac:dyDescent="0.25">
      <c r="A1206" t="s">
        <v>74</v>
      </c>
      <c r="B1206" t="s">
        <v>92</v>
      </c>
      <c r="C1206">
        <v>110</v>
      </c>
      <c r="D1206" t="s">
        <v>3</v>
      </c>
      <c r="E1206">
        <v>0.27960012340000001</v>
      </c>
      <c r="F1206">
        <v>0.249648762</v>
      </c>
      <c r="G1206">
        <v>0.24264611159999999</v>
      </c>
      <c r="H1206">
        <v>0.25429171919999999</v>
      </c>
      <c r="I1206">
        <v>0.40863886500000002</v>
      </c>
      <c r="J1206">
        <v>0.56775997170000003</v>
      </c>
      <c r="K1206">
        <v>1.0296025583999999</v>
      </c>
      <c r="L1206">
        <v>1.6702741055000001</v>
      </c>
      <c r="M1206">
        <v>2.3125898490000001</v>
      </c>
      <c r="N1206">
        <v>2.4560998942999999</v>
      </c>
      <c r="O1206">
        <v>2.6451818033999999</v>
      </c>
      <c r="P1206">
        <v>2.7147175215999999</v>
      </c>
      <c r="Q1206">
        <v>2.5462235534</v>
      </c>
      <c r="R1206">
        <v>2.5026228560999999</v>
      </c>
      <c r="S1206">
        <v>2.6901329146999999</v>
      </c>
      <c r="T1206">
        <v>2.6996840305999998</v>
      </c>
      <c r="U1206">
        <v>2.6775609248999999</v>
      </c>
      <c r="V1206">
        <v>2.3184664443999998</v>
      </c>
      <c r="W1206">
        <v>1.9844940572000001</v>
      </c>
      <c r="X1206">
        <v>1.7379398042</v>
      </c>
      <c r="Y1206">
        <v>1.3128211944999999</v>
      </c>
      <c r="Z1206">
        <v>0.76667888070000001</v>
      </c>
      <c r="AA1206">
        <v>0.55360139900000005</v>
      </c>
      <c r="AB1206">
        <v>0.38394698370000002</v>
      </c>
    </row>
    <row r="1207" spans="1:28" hidden="1" x14ac:dyDescent="0.25">
      <c r="A1207" t="s">
        <v>74</v>
      </c>
      <c r="B1207" t="s">
        <v>92</v>
      </c>
      <c r="C1207">
        <v>110</v>
      </c>
      <c r="D1207" t="s">
        <v>4</v>
      </c>
      <c r="E1207">
        <v>6.1218525000000003E-2</v>
      </c>
      <c r="F1207">
        <v>5.8154745000000001E-2</v>
      </c>
      <c r="G1207">
        <v>5.6791574999999997E-2</v>
      </c>
      <c r="H1207">
        <v>5.5561680000000002E-2</v>
      </c>
      <c r="I1207">
        <v>5.8188240000000002E-2</v>
      </c>
      <c r="J1207">
        <v>6.3615420000000006E-2</v>
      </c>
      <c r="K1207">
        <v>7.8961799999999999E-2</v>
      </c>
      <c r="L1207">
        <v>0.10161355499999999</v>
      </c>
      <c r="M1207">
        <v>0.12040874999999999</v>
      </c>
      <c r="N1207">
        <v>0.12471251999999999</v>
      </c>
      <c r="O1207">
        <v>0.13249575</v>
      </c>
      <c r="P1207">
        <v>0.136434375</v>
      </c>
      <c r="Q1207">
        <v>0.13168758</v>
      </c>
      <c r="R1207">
        <v>0.13156011000000001</v>
      </c>
      <c r="S1207">
        <v>0.13988129999999999</v>
      </c>
      <c r="T1207">
        <v>0.14274666</v>
      </c>
      <c r="U1207">
        <v>0.14438358000000001</v>
      </c>
      <c r="V1207">
        <v>0.13561212</v>
      </c>
      <c r="W1207">
        <v>0.13397339999999999</v>
      </c>
      <c r="X1207">
        <v>0.12700473000000001</v>
      </c>
      <c r="Y1207">
        <v>0.11167188</v>
      </c>
      <c r="Z1207">
        <v>8.7829514999999997E-2</v>
      </c>
      <c r="AA1207">
        <v>7.7265E-2</v>
      </c>
      <c r="AB1207">
        <v>6.8434200000000001E-2</v>
      </c>
    </row>
    <row r="1208" spans="1:28" hidden="1" x14ac:dyDescent="0.25">
      <c r="A1208" t="s">
        <v>74</v>
      </c>
      <c r="B1208" t="s">
        <v>93</v>
      </c>
      <c r="C1208">
        <v>110</v>
      </c>
      <c r="D1208" t="s">
        <v>2</v>
      </c>
      <c r="E1208">
        <v>19.568133124999999</v>
      </c>
      <c r="F1208">
        <v>18.414581895000001</v>
      </c>
      <c r="G1208">
        <v>17.288493450000001</v>
      </c>
      <c r="H1208">
        <v>16.208789639999999</v>
      </c>
      <c r="I1208">
        <v>15.215633840000001</v>
      </c>
      <c r="J1208">
        <v>14.38442386</v>
      </c>
      <c r="K1208">
        <v>12.725456325</v>
      </c>
      <c r="L1208">
        <v>11.698414554999999</v>
      </c>
      <c r="M1208">
        <v>11.56247175</v>
      </c>
      <c r="N1208">
        <v>11.34784616</v>
      </c>
      <c r="O1208">
        <v>11.2999791</v>
      </c>
      <c r="P1208">
        <v>11.650604625</v>
      </c>
      <c r="Q1208">
        <v>11.844254640000001</v>
      </c>
      <c r="R1208">
        <v>12.727678485</v>
      </c>
      <c r="S1208">
        <v>13.4091399</v>
      </c>
      <c r="T1208">
        <v>14.04457719</v>
      </c>
      <c r="U1208">
        <v>14.58157752</v>
      </c>
      <c r="V1208">
        <v>14.733084310000001</v>
      </c>
      <c r="W1208">
        <v>16.590920390000001</v>
      </c>
      <c r="X1208">
        <v>18.615103269999999</v>
      </c>
      <c r="Y1208">
        <v>20.529236040000001</v>
      </c>
      <c r="Z1208">
        <v>21.080234205</v>
      </c>
      <c r="AA1208">
        <v>21.693147499999998</v>
      </c>
      <c r="AB1208">
        <v>21.158523975000001</v>
      </c>
    </row>
    <row r="1209" spans="1:28" hidden="1" x14ac:dyDescent="0.25">
      <c r="A1209" t="s">
        <v>74</v>
      </c>
      <c r="B1209" t="s">
        <v>93</v>
      </c>
      <c r="C1209">
        <v>110</v>
      </c>
      <c r="D1209" t="s">
        <v>3</v>
      </c>
      <c r="E1209">
        <v>1.7332847059000001</v>
      </c>
      <c r="F1209">
        <v>1.6163169297</v>
      </c>
      <c r="G1209">
        <v>1.5094859969000001</v>
      </c>
      <c r="H1209">
        <v>1.3944109885</v>
      </c>
      <c r="I1209">
        <v>1.2855175472</v>
      </c>
      <c r="J1209">
        <v>1.1750601069</v>
      </c>
      <c r="K1209">
        <v>1.1573141439000001</v>
      </c>
      <c r="L1209">
        <v>1.2621638223</v>
      </c>
      <c r="M1209">
        <v>1.4212477505000001</v>
      </c>
      <c r="N1209">
        <v>1.5163546402999999</v>
      </c>
      <c r="O1209">
        <v>1.5553385768000001</v>
      </c>
      <c r="P1209">
        <v>1.5922433304000001</v>
      </c>
      <c r="Q1209">
        <v>1.5872322771</v>
      </c>
      <c r="R1209">
        <v>1.5928217069999999</v>
      </c>
      <c r="S1209">
        <v>1.6682057663000001</v>
      </c>
      <c r="T1209">
        <v>1.7134452049</v>
      </c>
      <c r="U1209">
        <v>1.7344346124000001</v>
      </c>
      <c r="V1209">
        <v>1.7024359909</v>
      </c>
      <c r="W1209">
        <v>1.4524179764</v>
      </c>
      <c r="X1209">
        <v>1.4596199049</v>
      </c>
      <c r="Y1209">
        <v>1.5884306962000001</v>
      </c>
      <c r="Z1209">
        <v>1.6931311909</v>
      </c>
      <c r="AA1209">
        <v>1.8249787363000001</v>
      </c>
      <c r="AB1209">
        <v>1.8547233904</v>
      </c>
    </row>
    <row r="1210" spans="1:28" hidden="1" x14ac:dyDescent="0.25">
      <c r="A1210" t="s">
        <v>74</v>
      </c>
      <c r="B1210" t="s">
        <v>93</v>
      </c>
      <c r="C1210">
        <v>110</v>
      </c>
      <c r="D1210" t="s">
        <v>4</v>
      </c>
      <c r="E1210">
        <v>0.29799187500000002</v>
      </c>
      <c r="F1210">
        <v>0.28042510500000001</v>
      </c>
      <c r="G1210">
        <v>0.26327655</v>
      </c>
      <c r="H1210">
        <v>0.24683436</v>
      </c>
      <c r="I1210">
        <v>0.23171016</v>
      </c>
      <c r="J1210">
        <v>0.21905214000000001</v>
      </c>
      <c r="K1210">
        <v>0.19378867499999999</v>
      </c>
      <c r="L1210">
        <v>0.17814844499999999</v>
      </c>
      <c r="M1210">
        <v>0.17607824999999999</v>
      </c>
      <c r="N1210">
        <v>0.17280983999999999</v>
      </c>
      <c r="O1210">
        <v>0.17208090000000001</v>
      </c>
      <c r="P1210">
        <v>0.17742037499999999</v>
      </c>
      <c r="Q1210">
        <v>0.18036936000000001</v>
      </c>
      <c r="R1210">
        <v>0.193822515</v>
      </c>
      <c r="S1210">
        <v>0.2042001</v>
      </c>
      <c r="T1210">
        <v>0.21387681</v>
      </c>
      <c r="U1210">
        <v>0.22205448</v>
      </c>
      <c r="V1210">
        <v>0.22436169</v>
      </c>
      <c r="W1210">
        <v>0.25265360999999997</v>
      </c>
      <c r="X1210">
        <v>0.28347873000000001</v>
      </c>
      <c r="Y1210">
        <v>0.31262795999999998</v>
      </c>
      <c r="Z1210">
        <v>0.32101879500000002</v>
      </c>
      <c r="AA1210">
        <v>0.33035249999999999</v>
      </c>
      <c r="AB1210">
        <v>0.32221102499999998</v>
      </c>
    </row>
    <row r="1211" spans="1:28" hidden="1" x14ac:dyDescent="0.25">
      <c r="A1211" t="s">
        <v>74</v>
      </c>
      <c r="B1211" t="s">
        <v>94</v>
      </c>
      <c r="C1211">
        <v>110</v>
      </c>
      <c r="D1211" t="s">
        <v>2</v>
      </c>
      <c r="E1211">
        <v>37.624010525000003</v>
      </c>
      <c r="F1211">
        <v>36.555862734999998</v>
      </c>
      <c r="G1211">
        <v>35.647637574999997</v>
      </c>
      <c r="H1211">
        <v>34.640259360000002</v>
      </c>
      <c r="I1211">
        <v>34.108493320000001</v>
      </c>
      <c r="J1211">
        <v>34.525282279999999</v>
      </c>
      <c r="K1211">
        <v>39.081204749999998</v>
      </c>
      <c r="L1211">
        <v>48.840716739999998</v>
      </c>
      <c r="M1211">
        <v>58.188875000000003</v>
      </c>
      <c r="N1211">
        <v>60.750107460000002</v>
      </c>
      <c r="O1211">
        <v>61.992344150000001</v>
      </c>
      <c r="P1211">
        <v>62.377907624999999</v>
      </c>
      <c r="Q1211">
        <v>59.803173770000001</v>
      </c>
      <c r="R1211">
        <v>61.41316612</v>
      </c>
      <c r="S1211">
        <v>64.290831800000007</v>
      </c>
      <c r="T1211">
        <v>64.585892490000006</v>
      </c>
      <c r="U1211">
        <v>63.094580819999997</v>
      </c>
      <c r="V1211">
        <v>55.801841760000002</v>
      </c>
      <c r="W1211">
        <v>53.540784109999997</v>
      </c>
      <c r="X1211">
        <v>51.170127479999998</v>
      </c>
      <c r="Y1211">
        <v>49.502936179999999</v>
      </c>
      <c r="Z1211">
        <v>45.291861224999998</v>
      </c>
      <c r="AA1211">
        <v>43.461647499999998</v>
      </c>
      <c r="AB1211">
        <v>41.380830074999999</v>
      </c>
    </row>
    <row r="1212" spans="1:28" hidden="1" x14ac:dyDescent="0.25">
      <c r="A1212" t="s">
        <v>74</v>
      </c>
      <c r="B1212" t="s">
        <v>94</v>
      </c>
      <c r="C1212">
        <v>110</v>
      </c>
      <c r="D1212" t="s">
        <v>3</v>
      </c>
      <c r="E1212">
        <v>9.0769409356999997</v>
      </c>
      <c r="F1212">
        <v>9.0751247443</v>
      </c>
      <c r="G1212">
        <v>9.1394815236000007</v>
      </c>
      <c r="H1212">
        <v>9.1586439946000002</v>
      </c>
      <c r="I1212">
        <v>9.1331021998999997</v>
      </c>
      <c r="J1212">
        <v>9.2875400864</v>
      </c>
      <c r="K1212">
        <v>10.8413982106</v>
      </c>
      <c r="L1212">
        <v>13.0393987443</v>
      </c>
      <c r="M1212">
        <v>15.282163879900001</v>
      </c>
      <c r="N1212">
        <v>16.028822510600001</v>
      </c>
      <c r="O1212">
        <v>16.4732112411</v>
      </c>
      <c r="P1212">
        <v>16.319232191499999</v>
      </c>
      <c r="Q1212">
        <v>15.8740243137</v>
      </c>
      <c r="R1212">
        <v>16.337219794999999</v>
      </c>
      <c r="S1212">
        <v>16.860359277200001</v>
      </c>
      <c r="T1212">
        <v>16.801238080200001</v>
      </c>
      <c r="U1212">
        <v>16.522702156600001</v>
      </c>
      <c r="V1212">
        <v>14.568160779899999</v>
      </c>
      <c r="W1212">
        <v>13.5584296384</v>
      </c>
      <c r="X1212">
        <v>12.7436989226</v>
      </c>
      <c r="Y1212">
        <v>12.1269861716</v>
      </c>
      <c r="Z1212">
        <v>10.9757949604</v>
      </c>
      <c r="AA1212">
        <v>10.499013592800001</v>
      </c>
      <c r="AB1212">
        <v>10.2510406065</v>
      </c>
    </row>
    <row r="1213" spans="1:28" hidden="1" x14ac:dyDescent="0.25">
      <c r="A1213" t="s">
        <v>74</v>
      </c>
      <c r="B1213" t="s">
        <v>94</v>
      </c>
      <c r="C1213">
        <v>110</v>
      </c>
      <c r="D1213" t="s">
        <v>4</v>
      </c>
      <c r="E1213">
        <v>0.57295447499999996</v>
      </c>
      <c r="F1213">
        <v>0.55668826500000002</v>
      </c>
      <c r="G1213">
        <v>0.542857425</v>
      </c>
      <c r="H1213">
        <v>0.52751663999999998</v>
      </c>
      <c r="I1213">
        <v>0.51941868000000002</v>
      </c>
      <c r="J1213">
        <v>0.52576571999999999</v>
      </c>
      <c r="K1213">
        <v>0.59514524999999996</v>
      </c>
      <c r="L1213">
        <v>0.74376726000000004</v>
      </c>
      <c r="M1213">
        <v>0.88612500000000005</v>
      </c>
      <c r="N1213">
        <v>0.92512854</v>
      </c>
      <c r="O1213">
        <v>0.94404584999999996</v>
      </c>
      <c r="P1213">
        <v>0.94991737499999995</v>
      </c>
      <c r="Q1213">
        <v>0.91070823000000001</v>
      </c>
      <c r="R1213">
        <v>0.93522587999999995</v>
      </c>
      <c r="S1213">
        <v>0.97904820000000004</v>
      </c>
      <c r="T1213">
        <v>0.98354151000000001</v>
      </c>
      <c r="U1213">
        <v>0.96083118000000001</v>
      </c>
      <c r="V1213">
        <v>0.84977424000000001</v>
      </c>
      <c r="W1213">
        <v>0.81534189000000001</v>
      </c>
      <c r="X1213">
        <v>0.77924051999999999</v>
      </c>
      <c r="Y1213">
        <v>0.75385181999999995</v>
      </c>
      <c r="Z1213">
        <v>0.68972377500000004</v>
      </c>
      <c r="AA1213">
        <v>0.66185249999999995</v>
      </c>
      <c r="AB1213">
        <v>0.63016492499999999</v>
      </c>
    </row>
    <row r="1214" spans="1:28" hidden="1" x14ac:dyDescent="0.25">
      <c r="A1214" t="s">
        <v>74</v>
      </c>
      <c r="B1214" t="s">
        <v>95</v>
      </c>
      <c r="C1214">
        <v>34</v>
      </c>
      <c r="D1214" t="s">
        <v>2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</row>
    <row r="1215" spans="1:28" hidden="1" x14ac:dyDescent="0.25">
      <c r="A1215" t="s">
        <v>74</v>
      </c>
      <c r="B1215" t="s">
        <v>95</v>
      </c>
      <c r="C1215">
        <v>34</v>
      </c>
      <c r="D1215" t="s">
        <v>3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</row>
    <row r="1216" spans="1:28" hidden="1" x14ac:dyDescent="0.25">
      <c r="A1216" t="s">
        <v>74</v>
      </c>
      <c r="B1216" t="s">
        <v>95</v>
      </c>
      <c r="C1216">
        <v>34</v>
      </c>
      <c r="D1216" t="s">
        <v>4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</row>
    <row r="1217" spans="1:28" hidden="1" x14ac:dyDescent="0.25">
      <c r="A1217" t="s">
        <v>74</v>
      </c>
      <c r="B1217" t="s">
        <v>96</v>
      </c>
      <c r="C1217">
        <v>34</v>
      </c>
      <c r="D1217" t="s">
        <v>2</v>
      </c>
      <c r="E1217">
        <v>33.122192300000002</v>
      </c>
      <c r="F1217">
        <v>31.591112290000002</v>
      </c>
      <c r="G1217">
        <v>30.363759649999999</v>
      </c>
      <c r="H1217">
        <v>29.10871448</v>
      </c>
      <c r="I1217">
        <v>28.322448000000001</v>
      </c>
      <c r="J1217">
        <v>28.606308800000001</v>
      </c>
      <c r="K1217">
        <v>31.635667300000001</v>
      </c>
      <c r="L1217">
        <v>36.77697964</v>
      </c>
      <c r="M1217">
        <v>41.770333999999998</v>
      </c>
      <c r="N1217">
        <v>43.826235420000003</v>
      </c>
      <c r="O1217">
        <v>45.654000600000003</v>
      </c>
      <c r="P1217">
        <v>46.425703499999997</v>
      </c>
      <c r="Q1217">
        <v>46.140531260000003</v>
      </c>
      <c r="R1217">
        <v>47.436057439999999</v>
      </c>
      <c r="S1217">
        <v>48.9575684</v>
      </c>
      <c r="T1217">
        <v>49.048271159999999</v>
      </c>
      <c r="U1217">
        <v>48.506219639999998</v>
      </c>
      <c r="V1217">
        <v>45.703598640000003</v>
      </c>
      <c r="W1217">
        <v>47.192172280000001</v>
      </c>
      <c r="X1217">
        <v>46.52893478</v>
      </c>
      <c r="Y1217">
        <v>45.276239920000002</v>
      </c>
      <c r="Z1217">
        <v>40.708234439999998</v>
      </c>
      <c r="AA1217">
        <v>38.669049999999999</v>
      </c>
      <c r="AB1217">
        <v>36.357321749999997</v>
      </c>
    </row>
    <row r="1218" spans="1:28" hidden="1" x14ac:dyDescent="0.25">
      <c r="A1218" t="s">
        <v>74</v>
      </c>
      <c r="B1218" t="s">
        <v>96</v>
      </c>
      <c r="C1218">
        <v>34</v>
      </c>
      <c r="D1218" t="s">
        <v>3</v>
      </c>
      <c r="E1218">
        <v>7.2275979240000003</v>
      </c>
      <c r="F1218">
        <v>7.0396416947000002</v>
      </c>
      <c r="G1218">
        <v>6.8506807374000003</v>
      </c>
      <c r="H1218">
        <v>6.6998140883000001</v>
      </c>
      <c r="I1218">
        <v>6.6126717230000001</v>
      </c>
      <c r="J1218">
        <v>6.9413015667</v>
      </c>
      <c r="K1218">
        <v>8.2644582167999996</v>
      </c>
      <c r="L1218">
        <v>10.050165207399999</v>
      </c>
      <c r="M1218">
        <v>12.114882313200001</v>
      </c>
      <c r="N1218">
        <v>13.137275217099999</v>
      </c>
      <c r="O1218">
        <v>13.912484902899999</v>
      </c>
      <c r="P1218">
        <v>14.298480529700001</v>
      </c>
      <c r="Q1218">
        <v>14.255223103700001</v>
      </c>
      <c r="R1218">
        <v>14.2625116242</v>
      </c>
      <c r="S1218">
        <v>14.677292918499999</v>
      </c>
      <c r="T1218">
        <v>14.629881879499999</v>
      </c>
      <c r="U1218">
        <v>14.379290487900001</v>
      </c>
      <c r="V1218">
        <v>13.386800818299999</v>
      </c>
      <c r="W1218">
        <v>12.7669402782</v>
      </c>
      <c r="X1218">
        <v>11.9132896131</v>
      </c>
      <c r="Y1218">
        <v>10.904672096300001</v>
      </c>
      <c r="Z1218">
        <v>9.1768263351999995</v>
      </c>
      <c r="AA1218">
        <v>8.4436773328000001</v>
      </c>
      <c r="AB1218">
        <v>7.9013208205999996</v>
      </c>
    </row>
    <row r="1219" spans="1:28" hidden="1" x14ac:dyDescent="0.25">
      <c r="A1219" t="s">
        <v>74</v>
      </c>
      <c r="B1219" t="s">
        <v>96</v>
      </c>
      <c r="C1219">
        <v>34</v>
      </c>
      <c r="D1219" t="s">
        <v>4</v>
      </c>
      <c r="E1219">
        <v>1.0243977</v>
      </c>
      <c r="F1219">
        <v>0.97704471000000004</v>
      </c>
      <c r="G1219">
        <v>0.93908535000000004</v>
      </c>
      <c r="H1219">
        <v>0.90026952000000005</v>
      </c>
      <c r="I1219">
        <v>0.87595199999999995</v>
      </c>
      <c r="J1219">
        <v>0.88473120000000005</v>
      </c>
      <c r="K1219">
        <v>0.97842269999999998</v>
      </c>
      <c r="L1219">
        <v>1.13743236</v>
      </c>
      <c r="M1219">
        <v>1.291866</v>
      </c>
      <c r="N1219">
        <v>1.3554505800000001</v>
      </c>
      <c r="O1219">
        <v>1.4119794000000001</v>
      </c>
      <c r="P1219">
        <v>1.4358465</v>
      </c>
      <c r="Q1219">
        <v>1.4270267400000001</v>
      </c>
      <c r="R1219">
        <v>1.46709456</v>
      </c>
      <c r="S1219">
        <v>1.5141515999999999</v>
      </c>
      <c r="T1219">
        <v>1.51695684</v>
      </c>
      <c r="U1219">
        <v>1.50019236</v>
      </c>
      <c r="V1219">
        <v>1.4135133600000001</v>
      </c>
      <c r="W1219">
        <v>1.4595517200000001</v>
      </c>
      <c r="X1219">
        <v>1.43903922</v>
      </c>
      <c r="Y1219">
        <v>1.4002960799999999</v>
      </c>
      <c r="Z1219">
        <v>1.25901756</v>
      </c>
      <c r="AA1219">
        <v>1.1959500000000001</v>
      </c>
      <c r="AB1219">
        <v>1.12445325</v>
      </c>
    </row>
    <row r="1220" spans="1:28" hidden="1" x14ac:dyDescent="0.25">
      <c r="A1220" t="s">
        <v>74</v>
      </c>
      <c r="B1220" t="s">
        <v>97</v>
      </c>
      <c r="C1220">
        <v>14</v>
      </c>
      <c r="D1220" t="s">
        <v>2</v>
      </c>
      <c r="E1220">
        <v>27.389407250000001</v>
      </c>
      <c r="F1220">
        <v>27.627065900000002</v>
      </c>
      <c r="G1220">
        <v>27.242812749999999</v>
      </c>
      <c r="H1220">
        <v>27.2883776</v>
      </c>
      <c r="I1220">
        <v>27.038413599999998</v>
      </c>
      <c r="J1220">
        <v>26.358631599999999</v>
      </c>
      <c r="K1220">
        <v>23.290147749999999</v>
      </c>
      <c r="L1220">
        <v>19.066113349999998</v>
      </c>
      <c r="M1220">
        <v>17.760725000000001</v>
      </c>
      <c r="N1220">
        <v>21.882507100000002</v>
      </c>
      <c r="O1220">
        <v>25.8924685</v>
      </c>
      <c r="P1220">
        <v>26.084767500000002</v>
      </c>
      <c r="Q1220">
        <v>27.031100500000001</v>
      </c>
      <c r="R1220">
        <v>25.063256249999998</v>
      </c>
      <c r="S1220">
        <v>23.078198</v>
      </c>
      <c r="T1220">
        <v>21.153822900000002</v>
      </c>
      <c r="U1220">
        <v>22.2391656</v>
      </c>
      <c r="V1220">
        <v>24.403238999999999</v>
      </c>
      <c r="W1220">
        <v>30.0256297</v>
      </c>
      <c r="X1220">
        <v>31.6625139</v>
      </c>
      <c r="Y1220">
        <v>32.577627999999997</v>
      </c>
      <c r="Z1220">
        <v>31.326712650000001</v>
      </c>
      <c r="AA1220">
        <v>30.838425000000001</v>
      </c>
      <c r="AB1220">
        <v>30.056498999999999</v>
      </c>
    </row>
    <row r="1221" spans="1:28" hidden="1" x14ac:dyDescent="0.25">
      <c r="A1221" t="s">
        <v>74</v>
      </c>
      <c r="B1221" t="s">
        <v>97</v>
      </c>
      <c r="C1221">
        <v>14</v>
      </c>
      <c r="D1221" t="s">
        <v>3</v>
      </c>
      <c r="E1221">
        <v>12.365451413400001</v>
      </c>
      <c r="F1221">
        <v>12.535713360700001</v>
      </c>
      <c r="G1221">
        <v>12.3271491004</v>
      </c>
      <c r="H1221">
        <v>12.251086685900001</v>
      </c>
      <c r="I1221">
        <v>12.076914951399999</v>
      </c>
      <c r="J1221">
        <v>11.880030735</v>
      </c>
      <c r="K1221">
        <v>14.3120746987</v>
      </c>
      <c r="L1221">
        <v>15.931400373700001</v>
      </c>
      <c r="M1221">
        <v>15.8203104192</v>
      </c>
      <c r="N1221">
        <v>16.5977429418</v>
      </c>
      <c r="O1221">
        <v>17.379628128299998</v>
      </c>
      <c r="P1221">
        <v>17.594233132999999</v>
      </c>
      <c r="Q1221">
        <v>18.3457508949</v>
      </c>
      <c r="R1221">
        <v>16.514927355400001</v>
      </c>
      <c r="S1221">
        <v>15.8183814014</v>
      </c>
      <c r="T1221">
        <v>14.7368767252</v>
      </c>
      <c r="U1221">
        <v>13.965875855</v>
      </c>
      <c r="V1221">
        <v>13.565066295199999</v>
      </c>
      <c r="W1221">
        <v>13.4685192513</v>
      </c>
      <c r="X1221">
        <v>13.4289255162</v>
      </c>
      <c r="Y1221">
        <v>14.159333844800001</v>
      </c>
      <c r="Z1221">
        <v>13.926821068000001</v>
      </c>
      <c r="AA1221">
        <v>14.083615695300001</v>
      </c>
      <c r="AB1221">
        <v>13.8155703523</v>
      </c>
    </row>
    <row r="1222" spans="1:28" hidden="1" x14ac:dyDescent="0.25">
      <c r="A1222" t="s">
        <v>74</v>
      </c>
      <c r="B1222" t="s">
        <v>97</v>
      </c>
      <c r="C1222">
        <v>14</v>
      </c>
      <c r="D1222" t="s">
        <v>4</v>
      </c>
      <c r="E1222">
        <v>1.44154775</v>
      </c>
      <c r="F1222">
        <v>1.4540561000000001</v>
      </c>
      <c r="G1222">
        <v>1.43383225</v>
      </c>
      <c r="H1222">
        <v>1.4362303999999999</v>
      </c>
      <c r="I1222">
        <v>1.4230744</v>
      </c>
      <c r="J1222">
        <v>1.3872964000000001</v>
      </c>
      <c r="K1222">
        <v>1.2257972500000001</v>
      </c>
      <c r="L1222">
        <v>1.0034796500000001</v>
      </c>
      <c r="M1222">
        <v>0.93477500000000002</v>
      </c>
      <c r="N1222">
        <v>1.1517109000000001</v>
      </c>
      <c r="O1222">
        <v>1.3627615</v>
      </c>
      <c r="P1222">
        <v>1.3728825</v>
      </c>
      <c r="Q1222">
        <v>1.4226894999999999</v>
      </c>
      <c r="R1222">
        <v>1.3191187499999999</v>
      </c>
      <c r="S1222">
        <v>1.214642</v>
      </c>
      <c r="T1222">
        <v>1.1133591</v>
      </c>
      <c r="U1222">
        <v>1.1704824</v>
      </c>
      <c r="V1222">
        <v>1.284381</v>
      </c>
      <c r="W1222">
        <v>1.5802963000000001</v>
      </c>
      <c r="X1222">
        <v>1.6664481</v>
      </c>
      <c r="Y1222">
        <v>1.714612</v>
      </c>
      <c r="Z1222">
        <v>1.6487743500000001</v>
      </c>
      <c r="AA1222">
        <v>1.623075</v>
      </c>
      <c r="AB1222">
        <v>1.5819209999999999</v>
      </c>
    </row>
    <row r="1223" spans="1:28" hidden="1" x14ac:dyDescent="0.25">
      <c r="A1223" t="s">
        <v>74</v>
      </c>
      <c r="B1223" t="s">
        <v>98</v>
      </c>
      <c r="C1223">
        <v>34</v>
      </c>
      <c r="D1223" t="s">
        <v>2</v>
      </c>
      <c r="E1223">
        <v>15.2215407</v>
      </c>
      <c r="F1223">
        <v>14.788102990000001</v>
      </c>
      <c r="G1223">
        <v>14.435345999999999</v>
      </c>
      <c r="H1223">
        <v>14.19987656</v>
      </c>
      <c r="I1223">
        <v>13.999381440000001</v>
      </c>
      <c r="J1223">
        <v>13.423969680000001</v>
      </c>
      <c r="K1223">
        <v>12.1714533</v>
      </c>
      <c r="L1223">
        <v>11.79809642</v>
      </c>
      <c r="M1223">
        <v>11.8582985</v>
      </c>
      <c r="N1223">
        <v>11.99389674</v>
      </c>
      <c r="O1223">
        <v>12.284409800000001</v>
      </c>
      <c r="P1223">
        <v>12.820005</v>
      </c>
      <c r="Q1223">
        <v>13.317719759999999</v>
      </c>
      <c r="R1223">
        <v>14.42189598</v>
      </c>
      <c r="S1223">
        <v>14.956216599999999</v>
      </c>
      <c r="T1223">
        <v>14.95508364</v>
      </c>
      <c r="U1223">
        <v>14.53084056</v>
      </c>
      <c r="V1223">
        <v>14.157041359999999</v>
      </c>
      <c r="W1223">
        <v>16.526250839999999</v>
      </c>
      <c r="X1223">
        <v>17.227005030000001</v>
      </c>
      <c r="Y1223">
        <v>17.803713680000001</v>
      </c>
      <c r="Z1223">
        <v>17.22080673</v>
      </c>
      <c r="AA1223">
        <v>17.248539999999998</v>
      </c>
      <c r="AB1223">
        <v>16.627361700000002</v>
      </c>
    </row>
    <row r="1224" spans="1:28" hidden="1" x14ac:dyDescent="0.25">
      <c r="A1224" t="s">
        <v>74</v>
      </c>
      <c r="B1224" t="s">
        <v>98</v>
      </c>
      <c r="C1224">
        <v>34</v>
      </c>
      <c r="D1224" t="s">
        <v>3</v>
      </c>
      <c r="E1224">
        <v>5.1575117096999996</v>
      </c>
      <c r="F1224">
        <v>5.1202786238</v>
      </c>
      <c r="G1224">
        <v>5.0757980988</v>
      </c>
      <c r="H1224">
        <v>5.0423819527999996</v>
      </c>
      <c r="I1224">
        <v>5.0017458343000003</v>
      </c>
      <c r="J1224">
        <v>4.8360937441000003</v>
      </c>
      <c r="K1224">
        <v>4.6554249841999997</v>
      </c>
      <c r="L1224">
        <v>4.5935681094999996</v>
      </c>
      <c r="M1224">
        <v>4.5329832594999999</v>
      </c>
      <c r="N1224">
        <v>4.5446698466999997</v>
      </c>
      <c r="O1224">
        <v>4.5738240860000001</v>
      </c>
      <c r="P1224">
        <v>4.6594166126000003</v>
      </c>
      <c r="Q1224">
        <v>4.7844865526999998</v>
      </c>
      <c r="R1224">
        <v>4.9707396831999997</v>
      </c>
      <c r="S1224">
        <v>5.0894012067999999</v>
      </c>
      <c r="T1224">
        <v>5.0926409135000004</v>
      </c>
      <c r="U1224">
        <v>4.9893063442000001</v>
      </c>
      <c r="V1224">
        <v>4.8125475109</v>
      </c>
      <c r="W1224">
        <v>5.0411226559999998</v>
      </c>
      <c r="X1224">
        <v>5.0425434973999996</v>
      </c>
      <c r="Y1224">
        <v>5.1657887040999997</v>
      </c>
      <c r="Z1224">
        <v>5.0739223244999998</v>
      </c>
      <c r="AA1224">
        <v>5.3225721027999997</v>
      </c>
      <c r="AB1224">
        <v>5.3826930504000003</v>
      </c>
    </row>
    <row r="1225" spans="1:28" hidden="1" x14ac:dyDescent="0.25">
      <c r="A1225" t="s">
        <v>74</v>
      </c>
      <c r="B1225" t="s">
        <v>98</v>
      </c>
      <c r="C1225">
        <v>34</v>
      </c>
      <c r="D1225" t="s">
        <v>4</v>
      </c>
      <c r="E1225">
        <v>0.4707693</v>
      </c>
      <c r="F1225">
        <v>0.45736400999999999</v>
      </c>
      <c r="G1225">
        <v>0.44645400000000002</v>
      </c>
      <c r="H1225">
        <v>0.43917144000000002</v>
      </c>
      <c r="I1225">
        <v>0.43297056</v>
      </c>
      <c r="J1225">
        <v>0.41517431999999999</v>
      </c>
      <c r="K1225">
        <v>0.37643670000000001</v>
      </c>
      <c r="L1225">
        <v>0.36488957999999999</v>
      </c>
      <c r="M1225">
        <v>0.36675150000000001</v>
      </c>
      <c r="N1225">
        <v>0.37094526</v>
      </c>
      <c r="O1225">
        <v>0.3799302</v>
      </c>
      <c r="P1225">
        <v>0.39649499999999999</v>
      </c>
      <c r="Q1225">
        <v>0.41188824000000002</v>
      </c>
      <c r="R1225">
        <v>0.44603801999999998</v>
      </c>
      <c r="S1225">
        <v>0.46256340000000001</v>
      </c>
      <c r="T1225">
        <v>0.46252836000000003</v>
      </c>
      <c r="U1225">
        <v>0.44940743999999999</v>
      </c>
      <c r="V1225">
        <v>0.43784664000000001</v>
      </c>
      <c r="W1225">
        <v>0.51112115999999996</v>
      </c>
      <c r="X1225">
        <v>0.53279396999999995</v>
      </c>
      <c r="Y1225">
        <v>0.55063032000000001</v>
      </c>
      <c r="Z1225">
        <v>0.53260227000000004</v>
      </c>
      <c r="AA1225">
        <v>0.53346000000000005</v>
      </c>
      <c r="AB1225">
        <v>0.51424829999999999</v>
      </c>
    </row>
    <row r="1226" spans="1:28" hidden="1" x14ac:dyDescent="0.25">
      <c r="A1226" t="s">
        <v>74</v>
      </c>
      <c r="B1226" t="s">
        <v>99</v>
      </c>
      <c r="C1226">
        <v>110</v>
      </c>
      <c r="D1226" t="s">
        <v>2</v>
      </c>
      <c r="E1226">
        <v>17.531527425</v>
      </c>
      <c r="F1226">
        <v>17.1367148</v>
      </c>
      <c r="G1226">
        <v>16.79987435</v>
      </c>
      <c r="H1226">
        <v>16.45342424</v>
      </c>
      <c r="I1226">
        <v>16.28387816</v>
      </c>
      <c r="J1226">
        <v>15.54370582</v>
      </c>
      <c r="K1226">
        <v>13.572536625</v>
      </c>
      <c r="L1226">
        <v>12.538233435</v>
      </c>
      <c r="M1226">
        <v>12.19228075</v>
      </c>
      <c r="N1226">
        <v>12.158406599999999</v>
      </c>
      <c r="O1226">
        <v>12.89687095</v>
      </c>
      <c r="P1226">
        <v>14.093355375</v>
      </c>
      <c r="Q1226">
        <v>15.203073120000001</v>
      </c>
      <c r="R1226">
        <v>16.631449199999999</v>
      </c>
      <c r="S1226">
        <v>17.219907899999999</v>
      </c>
      <c r="T1226">
        <v>17.09462181</v>
      </c>
      <c r="U1226">
        <v>16.495211879999999</v>
      </c>
      <c r="V1226">
        <v>16.260340599999999</v>
      </c>
      <c r="W1226">
        <v>19.263394810000001</v>
      </c>
      <c r="X1226">
        <v>20.122121750000002</v>
      </c>
      <c r="Y1226">
        <v>20.86176416</v>
      </c>
      <c r="Z1226">
        <v>19.62787239</v>
      </c>
      <c r="AA1226">
        <v>19.055810000000001</v>
      </c>
      <c r="AB1226">
        <v>18.553395975000001</v>
      </c>
    </row>
    <row r="1227" spans="1:28" hidden="1" x14ac:dyDescent="0.25">
      <c r="A1227" t="s">
        <v>74</v>
      </c>
      <c r="B1227" t="s">
        <v>99</v>
      </c>
      <c r="C1227">
        <v>110</v>
      </c>
      <c r="D1227" t="s">
        <v>3</v>
      </c>
      <c r="E1227">
        <v>8.7111653202999992</v>
      </c>
      <c r="F1227">
        <v>8.5135480133999994</v>
      </c>
      <c r="G1227">
        <v>8.3363160809999997</v>
      </c>
      <c r="H1227">
        <v>8.1533287948000002</v>
      </c>
      <c r="I1227">
        <v>8.0391400546000007</v>
      </c>
      <c r="J1227">
        <v>7.5734471422</v>
      </c>
      <c r="K1227">
        <v>6.7554050292000003</v>
      </c>
      <c r="L1227">
        <v>6.4692917432000003</v>
      </c>
      <c r="M1227">
        <v>6.3496122515</v>
      </c>
      <c r="N1227">
        <v>6.3081970180000004</v>
      </c>
      <c r="O1227">
        <v>6.5367732191999997</v>
      </c>
      <c r="P1227">
        <v>6.9501822870999996</v>
      </c>
      <c r="Q1227">
        <v>7.4370887460999997</v>
      </c>
      <c r="R1227">
        <v>8.1269123624000006</v>
      </c>
      <c r="S1227">
        <v>8.4178619183999999</v>
      </c>
      <c r="T1227">
        <v>8.2759138359000008</v>
      </c>
      <c r="U1227">
        <v>7.9079932489999996</v>
      </c>
      <c r="V1227">
        <v>7.667716296</v>
      </c>
      <c r="W1227">
        <v>8.8980107203000003</v>
      </c>
      <c r="X1227">
        <v>9.3121272164000004</v>
      </c>
      <c r="Y1227">
        <v>9.8351691116000008</v>
      </c>
      <c r="Z1227">
        <v>9.4661498317999992</v>
      </c>
      <c r="AA1227">
        <v>9.3244701897999995</v>
      </c>
      <c r="AB1227">
        <v>9.1626990689000003</v>
      </c>
    </row>
    <row r="1228" spans="1:28" hidden="1" x14ac:dyDescent="0.25">
      <c r="A1228" t="s">
        <v>74</v>
      </c>
      <c r="B1228" t="s">
        <v>99</v>
      </c>
      <c r="C1228">
        <v>110</v>
      </c>
      <c r="D1228" t="s">
        <v>4</v>
      </c>
      <c r="E1228">
        <v>0.26697757500000002</v>
      </c>
      <c r="F1228">
        <v>0.26096520000000001</v>
      </c>
      <c r="G1228">
        <v>0.25583565000000003</v>
      </c>
      <c r="H1228">
        <v>0.25055976000000002</v>
      </c>
      <c r="I1228">
        <v>0.24797784</v>
      </c>
      <c r="J1228">
        <v>0.23670617999999999</v>
      </c>
      <c r="K1228">
        <v>0.20668837500000001</v>
      </c>
      <c r="L1228">
        <v>0.190937565</v>
      </c>
      <c r="M1228">
        <v>0.18566925000000001</v>
      </c>
      <c r="N1228">
        <v>0.1851534</v>
      </c>
      <c r="O1228">
        <v>0.19639904999999999</v>
      </c>
      <c r="P1228">
        <v>0.21461962500000001</v>
      </c>
      <c r="Q1228">
        <v>0.23151888000000001</v>
      </c>
      <c r="R1228">
        <v>0.25327080000000002</v>
      </c>
      <c r="S1228">
        <v>0.26223210000000002</v>
      </c>
      <c r="T1228">
        <v>0.26032419000000001</v>
      </c>
      <c r="U1228">
        <v>0.25119612000000002</v>
      </c>
      <c r="V1228">
        <v>0.24761939999999999</v>
      </c>
      <c r="W1228">
        <v>0.29335118999999998</v>
      </c>
      <c r="X1228">
        <v>0.30642825000000001</v>
      </c>
      <c r="Y1228">
        <v>0.31769184</v>
      </c>
      <c r="Z1228">
        <v>0.29890160999999998</v>
      </c>
      <c r="AA1228">
        <v>0.29019</v>
      </c>
      <c r="AB1228">
        <v>0.282539025</v>
      </c>
    </row>
    <row r="1229" spans="1:28" hidden="1" x14ac:dyDescent="0.25">
      <c r="A1229" t="s">
        <v>74</v>
      </c>
      <c r="B1229" t="s">
        <v>100</v>
      </c>
      <c r="C1229">
        <v>34</v>
      </c>
      <c r="D1229" t="s">
        <v>2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</row>
    <row r="1230" spans="1:28" hidden="1" x14ac:dyDescent="0.25">
      <c r="A1230" t="s">
        <v>74</v>
      </c>
      <c r="B1230" t="s">
        <v>100</v>
      </c>
      <c r="C1230">
        <v>34</v>
      </c>
      <c r="D1230" t="s">
        <v>3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</row>
    <row r="1231" spans="1:28" hidden="1" x14ac:dyDescent="0.25">
      <c r="A1231" t="s">
        <v>74</v>
      </c>
      <c r="B1231" t="s">
        <v>100</v>
      </c>
      <c r="C1231">
        <v>34</v>
      </c>
      <c r="D1231" t="s">
        <v>4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</row>
    <row r="1232" spans="1:28" hidden="1" x14ac:dyDescent="0.25">
      <c r="A1232" t="s">
        <v>74</v>
      </c>
      <c r="B1232" t="s">
        <v>101</v>
      </c>
      <c r="C1232">
        <v>34</v>
      </c>
      <c r="D1232" t="s">
        <v>2</v>
      </c>
      <c r="E1232">
        <v>46.727286200000002</v>
      </c>
      <c r="F1232">
        <v>43.956963289999997</v>
      </c>
      <c r="G1232">
        <v>42.824859799999999</v>
      </c>
      <c r="H1232">
        <v>41.381317439999997</v>
      </c>
      <c r="I1232">
        <v>40.170672080000003</v>
      </c>
      <c r="J1232">
        <v>39.37304108</v>
      </c>
      <c r="K1232">
        <v>37.5128488</v>
      </c>
      <c r="L1232">
        <v>38.250126399999999</v>
      </c>
      <c r="M1232">
        <v>40.631020499999998</v>
      </c>
      <c r="N1232">
        <v>42.277969919999997</v>
      </c>
      <c r="O1232">
        <v>43.524326799999997</v>
      </c>
      <c r="P1232">
        <v>44.682758999999997</v>
      </c>
      <c r="Q1232">
        <v>45.444179900000002</v>
      </c>
      <c r="R1232">
        <v>47.079680410000002</v>
      </c>
      <c r="S1232">
        <v>48.902841000000002</v>
      </c>
      <c r="T1232">
        <v>49.551491640000002</v>
      </c>
      <c r="U1232">
        <v>49.168128240000001</v>
      </c>
      <c r="V1232">
        <v>46.975637239999998</v>
      </c>
      <c r="W1232">
        <v>49.717697260000001</v>
      </c>
      <c r="X1232">
        <v>51.503938679999997</v>
      </c>
      <c r="Y1232">
        <v>52.454600759999998</v>
      </c>
      <c r="Z1232">
        <v>50.025492810000003</v>
      </c>
      <c r="AA1232">
        <v>50.500624999999999</v>
      </c>
      <c r="AB1232">
        <v>49.497266699999997</v>
      </c>
    </row>
    <row r="1233" spans="1:28" hidden="1" x14ac:dyDescent="0.25">
      <c r="A1233" t="s">
        <v>74</v>
      </c>
      <c r="B1233" t="s">
        <v>101</v>
      </c>
      <c r="C1233">
        <v>34</v>
      </c>
      <c r="D1233" t="s">
        <v>3</v>
      </c>
      <c r="E1233">
        <v>11.4157609849</v>
      </c>
      <c r="F1233">
        <v>11.0818331282</v>
      </c>
      <c r="G1233">
        <v>11.083952396600001</v>
      </c>
      <c r="H1233">
        <v>10.9686187813</v>
      </c>
      <c r="I1233">
        <v>10.900384645999999</v>
      </c>
      <c r="J1233">
        <v>10.828447601900001</v>
      </c>
      <c r="K1233">
        <v>10.7259224052</v>
      </c>
      <c r="L1233">
        <v>10.8733726422</v>
      </c>
      <c r="M1233">
        <v>11.0319626909</v>
      </c>
      <c r="N1233">
        <v>11.172691538600001</v>
      </c>
      <c r="O1233">
        <v>11.3223267289</v>
      </c>
      <c r="P1233">
        <v>11.4789323018</v>
      </c>
      <c r="Q1233">
        <v>11.709541698500001</v>
      </c>
      <c r="R1233">
        <v>11.899782418799999</v>
      </c>
      <c r="S1233">
        <v>12.189782251900001</v>
      </c>
      <c r="T1233">
        <v>12.286045323</v>
      </c>
      <c r="U1233">
        <v>12.253750478000001</v>
      </c>
      <c r="V1233">
        <v>11.844904548300001</v>
      </c>
      <c r="W1233">
        <v>11.715948342600001</v>
      </c>
      <c r="X1233">
        <v>11.464505386100001</v>
      </c>
      <c r="Y1233">
        <v>11.329621704699999</v>
      </c>
      <c r="Z1233">
        <v>10.6953556694</v>
      </c>
      <c r="AA1233">
        <v>11.1530571882</v>
      </c>
      <c r="AB1233">
        <v>11.517446405499999</v>
      </c>
    </row>
    <row r="1234" spans="1:28" hidden="1" x14ac:dyDescent="0.25">
      <c r="A1234" t="s">
        <v>74</v>
      </c>
      <c r="B1234" t="s">
        <v>101</v>
      </c>
      <c r="C1234">
        <v>34</v>
      </c>
      <c r="D1234" t="s">
        <v>4</v>
      </c>
      <c r="E1234">
        <v>1.4451738000000001</v>
      </c>
      <c r="F1234">
        <v>1.35949371</v>
      </c>
      <c r="G1234">
        <v>1.3244802</v>
      </c>
      <c r="H1234">
        <v>1.2798345600000001</v>
      </c>
      <c r="I1234">
        <v>1.24239192</v>
      </c>
      <c r="J1234">
        <v>1.2177229199999999</v>
      </c>
      <c r="K1234">
        <v>1.1601912000000001</v>
      </c>
      <c r="L1234">
        <v>1.1829936000000001</v>
      </c>
      <c r="M1234">
        <v>1.2566295000000001</v>
      </c>
      <c r="N1234">
        <v>1.30756608</v>
      </c>
      <c r="O1234">
        <v>1.3461132</v>
      </c>
      <c r="P1234">
        <v>1.3819410000000001</v>
      </c>
      <c r="Q1234">
        <v>1.4054901</v>
      </c>
      <c r="R1234">
        <v>1.45607259</v>
      </c>
      <c r="S1234">
        <v>1.512459</v>
      </c>
      <c r="T1234">
        <v>1.5325203599999999</v>
      </c>
      <c r="U1234">
        <v>1.5206637599999999</v>
      </c>
      <c r="V1234">
        <v>1.4528547599999999</v>
      </c>
      <c r="W1234">
        <v>1.53766074</v>
      </c>
      <c r="X1234">
        <v>1.5929053200000001</v>
      </c>
      <c r="Y1234">
        <v>1.62230724</v>
      </c>
      <c r="Z1234">
        <v>1.54718019</v>
      </c>
      <c r="AA1234">
        <v>1.5618749999999999</v>
      </c>
      <c r="AB1234">
        <v>1.5308432999999999</v>
      </c>
    </row>
    <row r="1235" spans="1:28" hidden="1" x14ac:dyDescent="0.25">
      <c r="A1235" t="s">
        <v>74</v>
      </c>
      <c r="B1235" t="s">
        <v>102</v>
      </c>
      <c r="C1235">
        <v>110</v>
      </c>
      <c r="D1235" t="s">
        <v>2</v>
      </c>
      <c r="E1235">
        <v>11.733280600000001</v>
      </c>
      <c r="F1235">
        <v>11.707626275000001</v>
      </c>
      <c r="G1235">
        <v>11.669373800000001</v>
      </c>
      <c r="H1235">
        <v>11.490836639999999</v>
      </c>
      <c r="I1235">
        <v>12.33959144</v>
      </c>
      <c r="J1235">
        <v>13.00527808</v>
      </c>
      <c r="K1235">
        <v>13.258090149999999</v>
      </c>
      <c r="L1235">
        <v>13.122170000000001</v>
      </c>
      <c r="M1235">
        <v>12.883701500000001</v>
      </c>
      <c r="N1235">
        <v>12.598624770000001</v>
      </c>
      <c r="O1235">
        <v>12.345477799999999</v>
      </c>
      <c r="P1235">
        <v>12.250321874999999</v>
      </c>
      <c r="Q1235">
        <v>12.234643630000001</v>
      </c>
      <c r="R1235">
        <v>12.27339353</v>
      </c>
      <c r="S1235">
        <v>12.281787700000001</v>
      </c>
      <c r="T1235">
        <v>12.327929040000001</v>
      </c>
      <c r="U1235">
        <v>12.3753627</v>
      </c>
      <c r="V1235">
        <v>12.25604177</v>
      </c>
      <c r="W1235">
        <v>13.146582240000001</v>
      </c>
      <c r="X1235">
        <v>13.006596995000001</v>
      </c>
      <c r="Y1235">
        <v>12.863587799999999</v>
      </c>
      <c r="Z1235">
        <v>12.03865227</v>
      </c>
      <c r="AA1235">
        <v>11.863832499999999</v>
      </c>
      <c r="AB1235">
        <v>11.926601625</v>
      </c>
    </row>
    <row r="1236" spans="1:28" hidden="1" x14ac:dyDescent="0.25">
      <c r="A1236" t="s">
        <v>74</v>
      </c>
      <c r="B1236" t="s">
        <v>102</v>
      </c>
      <c r="C1236">
        <v>110</v>
      </c>
      <c r="D1236" t="s">
        <v>3</v>
      </c>
      <c r="E1236">
        <v>6.9832532049999996</v>
      </c>
      <c r="F1236">
        <v>6.9822415841999996</v>
      </c>
      <c r="G1236">
        <v>6.9940020363000004</v>
      </c>
      <c r="H1236">
        <v>6.9243446622000002</v>
      </c>
      <c r="I1236">
        <v>7.3963473577999999</v>
      </c>
      <c r="J1236">
        <v>7.8983771622000001</v>
      </c>
      <c r="K1236">
        <v>8.0547120667000005</v>
      </c>
      <c r="L1236">
        <v>7.9382135300999996</v>
      </c>
      <c r="M1236">
        <v>7.7565347316000004</v>
      </c>
      <c r="N1236">
        <v>7.5532773083000002</v>
      </c>
      <c r="O1236">
        <v>7.3779999213999998</v>
      </c>
      <c r="P1236">
        <v>7.3476972798000002</v>
      </c>
      <c r="Q1236">
        <v>7.3570474213999999</v>
      </c>
      <c r="R1236">
        <v>7.3427122576999997</v>
      </c>
      <c r="S1236">
        <v>7.3318129600999997</v>
      </c>
      <c r="T1236">
        <v>7.3671861233999998</v>
      </c>
      <c r="U1236">
        <v>7.4285844598999997</v>
      </c>
      <c r="V1236">
        <v>7.3941935346000003</v>
      </c>
      <c r="W1236">
        <v>7.9029911506000001</v>
      </c>
      <c r="X1236">
        <v>7.8023397157999996</v>
      </c>
      <c r="Y1236">
        <v>7.6883173682999999</v>
      </c>
      <c r="Z1236">
        <v>7.1659564453</v>
      </c>
      <c r="AA1236">
        <v>6.9946015717999996</v>
      </c>
      <c r="AB1236">
        <v>7.0467949379999997</v>
      </c>
    </row>
    <row r="1237" spans="1:28" hidden="1" x14ac:dyDescent="0.25">
      <c r="A1237" t="s">
        <v>74</v>
      </c>
      <c r="B1237" t="s">
        <v>102</v>
      </c>
      <c r="C1237">
        <v>110</v>
      </c>
      <c r="D1237" t="s">
        <v>4</v>
      </c>
      <c r="E1237">
        <v>0.17867939999999999</v>
      </c>
      <c r="F1237">
        <v>0.17828872500000001</v>
      </c>
      <c r="G1237">
        <v>0.17770620000000001</v>
      </c>
      <c r="H1237">
        <v>0.17498736000000001</v>
      </c>
      <c r="I1237">
        <v>0.18791256000000001</v>
      </c>
      <c r="J1237">
        <v>0.19804991999999999</v>
      </c>
      <c r="K1237">
        <v>0.20189984999999999</v>
      </c>
      <c r="L1237">
        <v>0.19983000000000001</v>
      </c>
      <c r="M1237">
        <v>0.1961985</v>
      </c>
      <c r="N1237">
        <v>0.19185722999999999</v>
      </c>
      <c r="O1237">
        <v>0.18800220000000001</v>
      </c>
      <c r="P1237">
        <v>0.18655312499999999</v>
      </c>
      <c r="Q1237">
        <v>0.18631437000000001</v>
      </c>
      <c r="R1237">
        <v>0.18690446999999999</v>
      </c>
      <c r="S1237">
        <v>0.18703230000000001</v>
      </c>
      <c r="T1237">
        <v>0.18773496000000001</v>
      </c>
      <c r="U1237">
        <v>0.18845729999999999</v>
      </c>
      <c r="V1237">
        <v>0.18664022999999999</v>
      </c>
      <c r="W1237">
        <v>0.20020176000000001</v>
      </c>
      <c r="X1237">
        <v>0.19807000499999999</v>
      </c>
      <c r="Y1237">
        <v>0.19589219999999999</v>
      </c>
      <c r="Z1237">
        <v>0.18332973</v>
      </c>
      <c r="AA1237">
        <v>0.18066750000000001</v>
      </c>
      <c r="AB1237">
        <v>0.181623375</v>
      </c>
    </row>
    <row r="1238" spans="1:28" hidden="1" x14ac:dyDescent="0.25">
      <c r="A1238" t="s">
        <v>74</v>
      </c>
      <c r="B1238" t="s">
        <v>103</v>
      </c>
      <c r="C1238">
        <v>110</v>
      </c>
      <c r="D1238" t="s">
        <v>2</v>
      </c>
      <c r="E1238">
        <v>24.728040849999999</v>
      </c>
      <c r="F1238">
        <v>23.769805269999999</v>
      </c>
      <c r="G1238">
        <v>22.821386199999999</v>
      </c>
      <c r="H1238">
        <v>21.982166200000002</v>
      </c>
      <c r="I1238">
        <v>21.125216200000001</v>
      </c>
      <c r="J1238">
        <v>20.107545720000001</v>
      </c>
      <c r="K1238">
        <v>18.937378525</v>
      </c>
      <c r="L1238">
        <v>19.027146500000001</v>
      </c>
      <c r="M1238">
        <v>19.46246725</v>
      </c>
      <c r="N1238">
        <v>19.43248779</v>
      </c>
      <c r="O1238">
        <v>19.542232550000001</v>
      </c>
      <c r="P1238">
        <v>20.112468750000001</v>
      </c>
      <c r="Q1238">
        <v>20.587494849999999</v>
      </c>
      <c r="R1238">
        <v>21.42069059</v>
      </c>
      <c r="S1238">
        <v>22.1818454</v>
      </c>
      <c r="T1238">
        <v>22.420223279999998</v>
      </c>
      <c r="U1238">
        <v>22.08587094</v>
      </c>
      <c r="V1238">
        <v>21.214425680000002</v>
      </c>
      <c r="W1238">
        <v>23.620690060000001</v>
      </c>
      <c r="X1238">
        <v>25.019931809999999</v>
      </c>
      <c r="Y1238">
        <v>26.348478140000001</v>
      </c>
      <c r="Z1238">
        <v>25.974609569999998</v>
      </c>
      <c r="AA1238">
        <v>26.339884999999999</v>
      </c>
      <c r="AB1238">
        <v>25.64422875</v>
      </c>
    </row>
    <row r="1239" spans="1:28" hidden="1" x14ac:dyDescent="0.25">
      <c r="A1239" t="s">
        <v>74</v>
      </c>
      <c r="B1239" t="s">
        <v>103</v>
      </c>
      <c r="C1239">
        <v>110</v>
      </c>
      <c r="D1239" t="s">
        <v>3</v>
      </c>
      <c r="E1239">
        <v>9.5451920373999997</v>
      </c>
      <c r="F1239">
        <v>9.1692380447000001</v>
      </c>
      <c r="G1239">
        <v>8.7654541781000006</v>
      </c>
      <c r="H1239">
        <v>8.4459324603999999</v>
      </c>
      <c r="I1239">
        <v>8.1092394630999998</v>
      </c>
      <c r="J1239">
        <v>7.5898167940999999</v>
      </c>
      <c r="K1239">
        <v>7.2037409482000001</v>
      </c>
      <c r="L1239">
        <v>7.2623667668999996</v>
      </c>
      <c r="M1239">
        <v>7.4697215024999997</v>
      </c>
      <c r="N1239">
        <v>7.4781098342999996</v>
      </c>
      <c r="O1239">
        <v>7.5134688049999996</v>
      </c>
      <c r="P1239">
        <v>7.7005035103999999</v>
      </c>
      <c r="Q1239">
        <v>7.8790764785</v>
      </c>
      <c r="R1239">
        <v>8.1786980397000004</v>
      </c>
      <c r="S1239">
        <v>8.5750772502999997</v>
      </c>
      <c r="T1239">
        <v>8.6686589748999996</v>
      </c>
      <c r="U1239">
        <v>8.4949615333999997</v>
      </c>
      <c r="V1239">
        <v>7.98220157</v>
      </c>
      <c r="W1239">
        <v>8.4004282061000008</v>
      </c>
      <c r="X1239">
        <v>8.8052062028000009</v>
      </c>
      <c r="Y1239">
        <v>9.3979680977999998</v>
      </c>
      <c r="Z1239">
        <v>9.4378603504999994</v>
      </c>
      <c r="AA1239">
        <v>9.8919257294000005</v>
      </c>
      <c r="AB1239">
        <v>9.8118800949999994</v>
      </c>
    </row>
    <row r="1240" spans="1:28" hidden="1" x14ac:dyDescent="0.25">
      <c r="A1240" t="s">
        <v>74</v>
      </c>
      <c r="B1240" t="s">
        <v>103</v>
      </c>
      <c r="C1240">
        <v>110</v>
      </c>
      <c r="D1240" t="s">
        <v>4</v>
      </c>
      <c r="E1240">
        <v>0.37656915000000002</v>
      </c>
      <c r="F1240">
        <v>0.36197673000000002</v>
      </c>
      <c r="G1240">
        <v>0.3475338</v>
      </c>
      <c r="H1240">
        <v>0.33475379999999999</v>
      </c>
      <c r="I1240">
        <v>0.32170379999999998</v>
      </c>
      <c r="J1240">
        <v>0.30620628</v>
      </c>
      <c r="K1240">
        <v>0.28838647499999998</v>
      </c>
      <c r="L1240">
        <v>0.2897535</v>
      </c>
      <c r="M1240">
        <v>0.29638274999999997</v>
      </c>
      <c r="N1240">
        <v>0.29592621000000002</v>
      </c>
      <c r="O1240">
        <v>0.29759744999999999</v>
      </c>
      <c r="P1240">
        <v>0.30628125</v>
      </c>
      <c r="Q1240">
        <v>0.31351515000000002</v>
      </c>
      <c r="R1240">
        <v>0.32620341000000003</v>
      </c>
      <c r="S1240">
        <v>0.3377946</v>
      </c>
      <c r="T1240">
        <v>0.34142472000000001</v>
      </c>
      <c r="U1240">
        <v>0.33633306000000002</v>
      </c>
      <c r="V1240">
        <v>0.32306232000000001</v>
      </c>
      <c r="W1240">
        <v>0.35970594</v>
      </c>
      <c r="X1240">
        <v>0.38101418999999997</v>
      </c>
      <c r="Y1240">
        <v>0.40124586000000001</v>
      </c>
      <c r="Z1240">
        <v>0.39555243000000001</v>
      </c>
      <c r="AA1240">
        <v>0.401115</v>
      </c>
      <c r="AB1240">
        <v>0.39052124999999999</v>
      </c>
    </row>
    <row r="1241" spans="1:28" hidden="1" x14ac:dyDescent="0.25">
      <c r="A1241" t="s">
        <v>74</v>
      </c>
      <c r="B1241" t="s">
        <v>104</v>
      </c>
      <c r="C1241">
        <v>110</v>
      </c>
      <c r="D1241" t="s">
        <v>2</v>
      </c>
      <c r="E1241">
        <v>23.344972800000001</v>
      </c>
      <c r="F1241">
        <v>22.654441505000001</v>
      </c>
      <c r="G1241">
        <v>22.009416224999999</v>
      </c>
      <c r="H1241">
        <v>21.513865679999999</v>
      </c>
      <c r="I1241">
        <v>20.906089160000001</v>
      </c>
      <c r="J1241">
        <v>19.980957459999999</v>
      </c>
      <c r="K1241">
        <v>18.982299449999999</v>
      </c>
      <c r="L1241">
        <v>19.020585414999999</v>
      </c>
      <c r="M1241">
        <v>19.551462000000001</v>
      </c>
      <c r="N1241">
        <v>19.565252000000001</v>
      </c>
      <c r="O1241">
        <v>19.835831500000001</v>
      </c>
      <c r="P1241">
        <v>20.324563874999999</v>
      </c>
      <c r="Q1241">
        <v>20.734811449999999</v>
      </c>
      <c r="R1241">
        <v>22.129067129999999</v>
      </c>
      <c r="S1241">
        <v>22.793156100000001</v>
      </c>
      <c r="T1241">
        <v>23.011069620000001</v>
      </c>
      <c r="U1241">
        <v>22.8529062</v>
      </c>
      <c r="V1241">
        <v>22.08063074</v>
      </c>
      <c r="W1241">
        <v>24.80753429</v>
      </c>
      <c r="X1241">
        <v>25.816254075</v>
      </c>
      <c r="Y1241">
        <v>26.71600922</v>
      </c>
      <c r="Z1241">
        <v>26.234859374999999</v>
      </c>
      <c r="AA1241">
        <v>26.289650000000002</v>
      </c>
      <c r="AB1241">
        <v>25.51397235</v>
      </c>
    </row>
    <row r="1242" spans="1:28" hidden="1" x14ac:dyDescent="0.25">
      <c r="A1242" t="s">
        <v>74</v>
      </c>
      <c r="B1242" t="s">
        <v>104</v>
      </c>
      <c r="C1242">
        <v>110</v>
      </c>
      <c r="D1242" t="s">
        <v>3</v>
      </c>
      <c r="E1242">
        <v>9.8397553082999991</v>
      </c>
      <c r="F1242">
        <v>9.5404561972999993</v>
      </c>
      <c r="G1242">
        <v>9.2447642502999994</v>
      </c>
      <c r="H1242">
        <v>9.0855585225999995</v>
      </c>
      <c r="I1242">
        <v>8.8295207162999993</v>
      </c>
      <c r="J1242">
        <v>8.3337448723000005</v>
      </c>
      <c r="K1242">
        <v>7.9986142844000003</v>
      </c>
      <c r="L1242">
        <v>8.0723147703000002</v>
      </c>
      <c r="M1242">
        <v>8.3830179142999999</v>
      </c>
      <c r="N1242">
        <v>8.4259165965000005</v>
      </c>
      <c r="O1242">
        <v>8.5620502481000003</v>
      </c>
      <c r="P1242">
        <v>8.7449987198999999</v>
      </c>
      <c r="Q1242">
        <v>8.8342427925999996</v>
      </c>
      <c r="R1242">
        <v>9.5737622764000001</v>
      </c>
      <c r="S1242">
        <v>9.9589481688999992</v>
      </c>
      <c r="T1242">
        <v>10.0377265063</v>
      </c>
      <c r="U1242">
        <v>9.8794012672000004</v>
      </c>
      <c r="V1242">
        <v>9.3636559590000008</v>
      </c>
      <c r="W1242">
        <v>10.0478239784</v>
      </c>
      <c r="X1242">
        <v>10.3552399328</v>
      </c>
      <c r="Y1242">
        <v>10.8058986772</v>
      </c>
      <c r="Z1242">
        <v>10.8257917812</v>
      </c>
      <c r="AA1242">
        <v>11.1207345069</v>
      </c>
      <c r="AB1242">
        <v>10.9418439382</v>
      </c>
    </row>
    <row r="1243" spans="1:28" hidden="1" x14ac:dyDescent="0.25">
      <c r="A1243" t="s">
        <v>74</v>
      </c>
      <c r="B1243" t="s">
        <v>104</v>
      </c>
      <c r="C1243">
        <v>110</v>
      </c>
      <c r="D1243" t="s">
        <v>4</v>
      </c>
      <c r="E1243">
        <v>0.35550720000000002</v>
      </c>
      <c r="F1243">
        <v>0.34499149499999998</v>
      </c>
      <c r="G1243">
        <v>0.33516877499999997</v>
      </c>
      <c r="H1243">
        <v>0.32762232000000002</v>
      </c>
      <c r="I1243">
        <v>0.31836683999999998</v>
      </c>
      <c r="J1243">
        <v>0.30427853999999999</v>
      </c>
      <c r="K1243">
        <v>0.28907054999999998</v>
      </c>
      <c r="L1243">
        <v>0.28965358499999999</v>
      </c>
      <c r="M1243">
        <v>0.297738</v>
      </c>
      <c r="N1243">
        <v>0.29794799999999999</v>
      </c>
      <c r="O1243">
        <v>0.30206850000000002</v>
      </c>
      <c r="P1243">
        <v>0.309511125</v>
      </c>
      <c r="Q1243">
        <v>0.31575855000000003</v>
      </c>
      <c r="R1243">
        <v>0.33699087</v>
      </c>
      <c r="S1243">
        <v>0.34710390000000002</v>
      </c>
      <c r="T1243">
        <v>0.35042237999999998</v>
      </c>
      <c r="U1243">
        <v>0.34801379999999998</v>
      </c>
      <c r="V1243">
        <v>0.33625326</v>
      </c>
      <c r="W1243">
        <v>0.37777970999999999</v>
      </c>
      <c r="X1243">
        <v>0.39314092499999997</v>
      </c>
      <c r="Y1243">
        <v>0.40684278000000001</v>
      </c>
      <c r="Z1243">
        <v>0.39951562499999999</v>
      </c>
      <c r="AA1243">
        <v>0.40034999999999998</v>
      </c>
      <c r="AB1243">
        <v>0.38853765000000001</v>
      </c>
    </row>
    <row r="1244" spans="1:28" hidden="1" x14ac:dyDescent="0.25">
      <c r="A1244" t="s">
        <v>74</v>
      </c>
      <c r="B1244" t="s">
        <v>105</v>
      </c>
      <c r="C1244">
        <v>110</v>
      </c>
      <c r="D1244" t="s">
        <v>2</v>
      </c>
      <c r="E1244">
        <v>13.51151095</v>
      </c>
      <c r="F1244">
        <v>12.978106855</v>
      </c>
      <c r="G1244">
        <v>12.581941824999999</v>
      </c>
      <c r="H1244">
        <v>12.1618344</v>
      </c>
      <c r="I1244">
        <v>11.716448919999999</v>
      </c>
      <c r="J1244">
        <v>11.219717360000001</v>
      </c>
      <c r="K1244">
        <v>10.312560925</v>
      </c>
      <c r="L1244">
        <v>10.13031524</v>
      </c>
      <c r="M1244">
        <v>10.467151749999999</v>
      </c>
      <c r="N1244">
        <v>10.69800029</v>
      </c>
      <c r="O1244">
        <v>11.3859105</v>
      </c>
      <c r="P1244">
        <v>11.92120875</v>
      </c>
      <c r="Q1244">
        <v>12.46298436</v>
      </c>
      <c r="R1244">
        <v>13.05876752</v>
      </c>
      <c r="S1244">
        <v>13.472652699999999</v>
      </c>
      <c r="T1244">
        <v>13.66930992</v>
      </c>
      <c r="U1244">
        <v>13.70383614</v>
      </c>
      <c r="V1244">
        <v>13.62373397</v>
      </c>
      <c r="W1244">
        <v>15.262982790000001</v>
      </c>
      <c r="X1244">
        <v>15.917882694999999</v>
      </c>
      <c r="Y1244">
        <v>16.031355680000001</v>
      </c>
      <c r="Z1244">
        <v>15.018932295000001</v>
      </c>
      <c r="AA1244">
        <v>14.827697499999999</v>
      </c>
      <c r="AB1244">
        <v>14.31192195</v>
      </c>
    </row>
    <row r="1245" spans="1:28" hidden="1" x14ac:dyDescent="0.25">
      <c r="A1245" t="s">
        <v>74</v>
      </c>
      <c r="B1245" t="s">
        <v>105</v>
      </c>
      <c r="C1245">
        <v>110</v>
      </c>
      <c r="D1245" t="s">
        <v>3</v>
      </c>
      <c r="E1245">
        <v>4.4563430489</v>
      </c>
      <c r="F1245">
        <v>4.3038017121000003</v>
      </c>
      <c r="G1245">
        <v>4.1897040045000002</v>
      </c>
      <c r="H1245">
        <v>4.0451052340000002</v>
      </c>
      <c r="I1245">
        <v>3.8684446533000001</v>
      </c>
      <c r="J1245">
        <v>3.6143636238000001</v>
      </c>
      <c r="K1245">
        <v>3.3321410668999998</v>
      </c>
      <c r="L1245">
        <v>3.311665133</v>
      </c>
      <c r="M1245">
        <v>3.4674260000000001</v>
      </c>
      <c r="N1245">
        <v>3.5314244994999999</v>
      </c>
      <c r="O1245">
        <v>3.7480212562999999</v>
      </c>
      <c r="P1245">
        <v>3.9204266247000001</v>
      </c>
      <c r="Q1245">
        <v>4.0693440760000001</v>
      </c>
      <c r="R1245">
        <v>4.2885009315999998</v>
      </c>
      <c r="S1245">
        <v>4.4844098106999999</v>
      </c>
      <c r="T1245">
        <v>4.5373553257000001</v>
      </c>
      <c r="U1245">
        <v>4.5134657911999998</v>
      </c>
      <c r="V1245">
        <v>4.3775129537000002</v>
      </c>
      <c r="W1245">
        <v>4.6660626657000002</v>
      </c>
      <c r="X1245">
        <v>4.8531619319999999</v>
      </c>
      <c r="Y1245">
        <v>4.8889598969000003</v>
      </c>
      <c r="Z1245">
        <v>4.6284180631999998</v>
      </c>
      <c r="AA1245">
        <v>4.6874466824000001</v>
      </c>
      <c r="AB1245">
        <v>4.6341538322</v>
      </c>
    </row>
    <row r="1246" spans="1:28" hidden="1" x14ac:dyDescent="0.25">
      <c r="A1246" t="s">
        <v>74</v>
      </c>
      <c r="B1246" t="s">
        <v>105</v>
      </c>
      <c r="C1246">
        <v>110</v>
      </c>
      <c r="D1246" t="s">
        <v>4</v>
      </c>
      <c r="E1246">
        <v>0.20575905</v>
      </c>
      <c r="F1246">
        <v>0.19763614500000001</v>
      </c>
      <c r="G1246">
        <v>0.19160317499999999</v>
      </c>
      <c r="H1246">
        <v>0.1852056</v>
      </c>
      <c r="I1246">
        <v>0.17842308000000001</v>
      </c>
      <c r="J1246">
        <v>0.17085864000000001</v>
      </c>
      <c r="K1246">
        <v>0.15704407500000001</v>
      </c>
      <c r="L1246">
        <v>0.15426876</v>
      </c>
      <c r="M1246">
        <v>0.15939824999999999</v>
      </c>
      <c r="N1246">
        <v>0.16291370999999999</v>
      </c>
      <c r="O1246">
        <v>0.1733895</v>
      </c>
      <c r="P1246">
        <v>0.18154124999999999</v>
      </c>
      <c r="Q1246">
        <v>0.18979164000000001</v>
      </c>
      <c r="R1246">
        <v>0.19886448000000001</v>
      </c>
      <c r="S1246">
        <v>0.2051673</v>
      </c>
      <c r="T1246">
        <v>0.20816208</v>
      </c>
      <c r="U1246">
        <v>0.20868786</v>
      </c>
      <c r="V1246">
        <v>0.20746803</v>
      </c>
      <c r="W1246">
        <v>0.23243121</v>
      </c>
      <c r="X1246">
        <v>0.24240430499999999</v>
      </c>
      <c r="Y1246">
        <v>0.24413232000000001</v>
      </c>
      <c r="Z1246">
        <v>0.22871470499999999</v>
      </c>
      <c r="AA1246">
        <v>0.22580249999999999</v>
      </c>
      <c r="AB1246">
        <v>0.21794805</v>
      </c>
    </row>
    <row r="1247" spans="1:28" hidden="1" x14ac:dyDescent="0.25">
      <c r="A1247" t="s">
        <v>74</v>
      </c>
      <c r="B1247" t="s">
        <v>106</v>
      </c>
      <c r="C1247">
        <v>115</v>
      </c>
      <c r="D1247" t="s">
        <v>2</v>
      </c>
      <c r="E1247">
        <v>33.672387524999998</v>
      </c>
      <c r="F1247">
        <v>32.862605234999997</v>
      </c>
      <c r="G1247">
        <v>31.968623175000001</v>
      </c>
      <c r="H1247">
        <v>31.264301880000001</v>
      </c>
      <c r="I1247">
        <v>30.492897159999998</v>
      </c>
      <c r="J1247">
        <v>28.888773440000001</v>
      </c>
      <c r="K1247">
        <v>26.689446725</v>
      </c>
      <c r="L1247">
        <v>25.86379707</v>
      </c>
      <c r="M1247">
        <v>25.445652750000001</v>
      </c>
      <c r="N1247">
        <v>25.162311590000002</v>
      </c>
      <c r="O1247">
        <v>25.621879100000001</v>
      </c>
      <c r="P1247">
        <v>26.372931749999999</v>
      </c>
      <c r="Q1247">
        <v>27.474545899999999</v>
      </c>
      <c r="R1247">
        <v>28.619952165000001</v>
      </c>
      <c r="S1247">
        <v>30.001858899999998</v>
      </c>
      <c r="T1247">
        <v>30.476492969999999</v>
      </c>
      <c r="U1247">
        <v>30.444182999999999</v>
      </c>
      <c r="V1247">
        <v>30.058835240000001</v>
      </c>
      <c r="W1247">
        <v>34.08649827</v>
      </c>
      <c r="X1247">
        <v>36.082817470000002</v>
      </c>
      <c r="Y1247">
        <v>37.750692360000002</v>
      </c>
      <c r="Z1247">
        <v>36.829544984999998</v>
      </c>
      <c r="AA1247">
        <v>36.981332500000001</v>
      </c>
      <c r="AB1247">
        <v>36.219420225</v>
      </c>
    </row>
    <row r="1248" spans="1:28" hidden="1" x14ac:dyDescent="0.25">
      <c r="A1248" t="s">
        <v>74</v>
      </c>
      <c r="B1248" t="s">
        <v>106</v>
      </c>
      <c r="C1248">
        <v>115</v>
      </c>
      <c r="D1248" t="s">
        <v>3</v>
      </c>
      <c r="E1248">
        <v>10.1776655262</v>
      </c>
      <c r="F1248">
        <v>10.1541969368</v>
      </c>
      <c r="G1248">
        <v>10.0266134328</v>
      </c>
      <c r="H1248">
        <v>9.9472534822000007</v>
      </c>
      <c r="I1248">
        <v>9.7361083648999998</v>
      </c>
      <c r="J1248">
        <v>9.1956362022999993</v>
      </c>
      <c r="K1248">
        <v>8.8488756660999996</v>
      </c>
      <c r="L1248">
        <v>8.8431404344000004</v>
      </c>
      <c r="M1248">
        <v>8.7737502143999997</v>
      </c>
      <c r="N1248">
        <v>8.6232580277000004</v>
      </c>
      <c r="O1248">
        <v>8.6064652892000009</v>
      </c>
      <c r="P1248">
        <v>8.6440068843999995</v>
      </c>
      <c r="Q1248">
        <v>8.7723758997000001</v>
      </c>
      <c r="R1248">
        <v>8.9941830948000003</v>
      </c>
      <c r="S1248">
        <v>9.3965389176999992</v>
      </c>
      <c r="T1248">
        <v>9.5373530795000008</v>
      </c>
      <c r="U1248">
        <v>9.5070809653000001</v>
      </c>
      <c r="V1248">
        <v>9.3001250313000003</v>
      </c>
      <c r="W1248">
        <v>9.8117902302999997</v>
      </c>
      <c r="X1248">
        <v>9.9819739559999991</v>
      </c>
      <c r="Y1248">
        <v>10.2266835685</v>
      </c>
      <c r="Z1248">
        <v>10.00885366</v>
      </c>
      <c r="AA1248">
        <v>10.4261718121</v>
      </c>
      <c r="AB1248">
        <v>10.614434895</v>
      </c>
    </row>
    <row r="1249" spans="1:28" hidden="1" x14ac:dyDescent="0.25">
      <c r="A1249" t="s">
        <v>74</v>
      </c>
      <c r="B1249" t="s">
        <v>106</v>
      </c>
      <c r="C1249">
        <v>115</v>
      </c>
      <c r="D1249" t="s">
        <v>4</v>
      </c>
      <c r="E1249">
        <v>0.51277747500000004</v>
      </c>
      <c r="F1249">
        <v>0.50044576500000004</v>
      </c>
      <c r="G1249">
        <v>0.486831825</v>
      </c>
      <c r="H1249">
        <v>0.47610612000000002</v>
      </c>
      <c r="I1249">
        <v>0.46435883999999999</v>
      </c>
      <c r="J1249">
        <v>0.43993056000000003</v>
      </c>
      <c r="K1249">
        <v>0.40643827500000002</v>
      </c>
      <c r="L1249">
        <v>0.39386493</v>
      </c>
      <c r="M1249">
        <v>0.38749725000000002</v>
      </c>
      <c r="N1249">
        <v>0.38318240999999997</v>
      </c>
      <c r="O1249">
        <v>0.3901809</v>
      </c>
      <c r="P1249">
        <v>0.40161825000000001</v>
      </c>
      <c r="Q1249">
        <v>0.41839409999999999</v>
      </c>
      <c r="R1249">
        <v>0.43583683499999998</v>
      </c>
      <c r="S1249">
        <v>0.45688109999999998</v>
      </c>
      <c r="T1249">
        <v>0.46410902999999998</v>
      </c>
      <c r="U1249">
        <v>0.463617</v>
      </c>
      <c r="V1249">
        <v>0.45774875999999998</v>
      </c>
      <c r="W1249">
        <v>0.51908372999999997</v>
      </c>
      <c r="X1249">
        <v>0.54948452999999997</v>
      </c>
      <c r="Y1249">
        <v>0.57488364000000003</v>
      </c>
      <c r="Z1249">
        <v>0.56085601500000004</v>
      </c>
      <c r="AA1249">
        <v>0.56316750000000004</v>
      </c>
      <c r="AB1249">
        <v>0.55156477500000001</v>
      </c>
    </row>
    <row r="1250" spans="1:28" hidden="1" x14ac:dyDescent="0.25">
      <c r="A1250" t="s">
        <v>74</v>
      </c>
      <c r="B1250" t="s">
        <v>107</v>
      </c>
      <c r="C1250">
        <v>110</v>
      </c>
      <c r="D1250" t="s">
        <v>2</v>
      </c>
      <c r="E1250">
        <v>32.828868</v>
      </c>
      <c r="F1250">
        <v>31.695535865</v>
      </c>
      <c r="G1250">
        <v>30.639291799999999</v>
      </c>
      <c r="H1250">
        <v>29.621755279999999</v>
      </c>
      <c r="I1250">
        <v>28.47966748</v>
      </c>
      <c r="J1250">
        <v>26.383658400000002</v>
      </c>
      <c r="K1250">
        <v>23.172780025000002</v>
      </c>
      <c r="L1250">
        <v>21.494114459999999</v>
      </c>
      <c r="M1250">
        <v>20.80423425</v>
      </c>
      <c r="N1250">
        <v>20.655316039999999</v>
      </c>
      <c r="O1250">
        <v>21.232216749999999</v>
      </c>
      <c r="P1250">
        <v>22.050579375000002</v>
      </c>
      <c r="Q1250">
        <v>22.841438830000001</v>
      </c>
      <c r="R1250">
        <v>24.54678706</v>
      </c>
      <c r="S1250">
        <v>25.389241800000001</v>
      </c>
      <c r="T1250">
        <v>25.749722250000001</v>
      </c>
      <c r="U1250">
        <v>25.533575819999999</v>
      </c>
      <c r="V1250">
        <v>25.431476629999999</v>
      </c>
      <c r="W1250">
        <v>30.02798898</v>
      </c>
      <c r="X1250">
        <v>32.512211184999998</v>
      </c>
      <c r="Y1250">
        <v>34.670431880000002</v>
      </c>
      <c r="Z1250">
        <v>34.781127165000001</v>
      </c>
      <c r="AA1250">
        <v>35.725457499999997</v>
      </c>
      <c r="AB1250">
        <v>34.876151100000001</v>
      </c>
    </row>
    <row r="1251" spans="1:28" hidden="1" x14ac:dyDescent="0.25">
      <c r="A1251" t="s">
        <v>74</v>
      </c>
      <c r="B1251" t="s">
        <v>107</v>
      </c>
      <c r="C1251">
        <v>110</v>
      </c>
      <c r="D1251" t="s">
        <v>3</v>
      </c>
      <c r="E1251">
        <v>9.8842632644999995</v>
      </c>
      <c r="F1251">
        <v>9.7251919092999994</v>
      </c>
      <c r="G1251">
        <v>9.4933394528000008</v>
      </c>
      <c r="H1251">
        <v>9.2382511856999994</v>
      </c>
      <c r="I1251">
        <v>8.8347390737999998</v>
      </c>
      <c r="J1251">
        <v>8.0123576868999997</v>
      </c>
      <c r="K1251">
        <v>7.2517197155000002</v>
      </c>
      <c r="L1251">
        <v>6.8893168683999999</v>
      </c>
      <c r="M1251">
        <v>6.6907171604000002</v>
      </c>
      <c r="N1251">
        <v>6.6100108446999997</v>
      </c>
      <c r="O1251">
        <v>6.7692509893999997</v>
      </c>
      <c r="P1251">
        <v>6.9377522232000004</v>
      </c>
      <c r="Q1251">
        <v>7.1008920059999996</v>
      </c>
      <c r="R1251">
        <v>7.5692005697000004</v>
      </c>
      <c r="S1251">
        <v>7.8440645655000001</v>
      </c>
      <c r="T1251">
        <v>7.9372640048000003</v>
      </c>
      <c r="U1251">
        <v>7.8943408196</v>
      </c>
      <c r="V1251">
        <v>7.6261900004000003</v>
      </c>
      <c r="W1251">
        <v>8.2315225803000001</v>
      </c>
      <c r="X1251">
        <v>8.5837479698999992</v>
      </c>
      <c r="Y1251">
        <v>9.0513934667000004</v>
      </c>
      <c r="Z1251">
        <v>9.2481788173999995</v>
      </c>
      <c r="AA1251">
        <v>9.9793895944000006</v>
      </c>
      <c r="AB1251">
        <v>10.1532757018</v>
      </c>
    </row>
    <row r="1252" spans="1:28" hidden="1" x14ac:dyDescent="0.25">
      <c r="A1252" t="s">
        <v>74</v>
      </c>
      <c r="B1252" t="s">
        <v>107</v>
      </c>
      <c r="C1252">
        <v>110</v>
      </c>
      <c r="D1252" t="s">
        <v>4</v>
      </c>
      <c r="E1252">
        <v>0.49993199999999999</v>
      </c>
      <c r="F1252">
        <v>0.48267313499999998</v>
      </c>
      <c r="G1252">
        <v>0.46658820000000001</v>
      </c>
      <c r="H1252">
        <v>0.45109272</v>
      </c>
      <c r="I1252">
        <v>0.43370051999999998</v>
      </c>
      <c r="J1252">
        <v>0.40178160000000002</v>
      </c>
      <c r="K1252">
        <v>0.35288497499999999</v>
      </c>
      <c r="L1252">
        <v>0.32732154000000002</v>
      </c>
      <c r="M1252">
        <v>0.31681575000000001</v>
      </c>
      <c r="N1252">
        <v>0.31454796000000002</v>
      </c>
      <c r="O1252">
        <v>0.32333325000000002</v>
      </c>
      <c r="P1252">
        <v>0.33579562499999999</v>
      </c>
      <c r="Q1252">
        <v>0.34783916999999998</v>
      </c>
      <c r="R1252">
        <v>0.37380893999999998</v>
      </c>
      <c r="S1252">
        <v>0.38663819999999999</v>
      </c>
      <c r="T1252">
        <v>0.39212775</v>
      </c>
      <c r="U1252">
        <v>0.38883617999999998</v>
      </c>
      <c r="V1252">
        <v>0.38728137000000001</v>
      </c>
      <c r="W1252">
        <v>0.45727901999999998</v>
      </c>
      <c r="X1252">
        <v>0.49510981500000001</v>
      </c>
      <c r="Y1252">
        <v>0.52797612000000005</v>
      </c>
      <c r="Z1252">
        <v>0.52966183499999997</v>
      </c>
      <c r="AA1252">
        <v>0.54404249999999998</v>
      </c>
      <c r="AB1252">
        <v>0.53110889999999999</v>
      </c>
    </row>
    <row r="1253" spans="1:28" hidden="1" x14ac:dyDescent="0.25">
      <c r="A1253" t="s">
        <v>74</v>
      </c>
      <c r="B1253" t="s">
        <v>108</v>
      </c>
      <c r="C1253">
        <v>110</v>
      </c>
      <c r="D1253" t="s">
        <v>2</v>
      </c>
      <c r="E1253">
        <v>31.559789075000001</v>
      </c>
      <c r="F1253">
        <v>30.439828315</v>
      </c>
      <c r="G1253">
        <v>29.41774405</v>
      </c>
      <c r="H1253">
        <v>28.629237759999999</v>
      </c>
      <c r="I1253">
        <v>27.842829519999999</v>
      </c>
      <c r="J1253">
        <v>26.503584119999999</v>
      </c>
      <c r="K1253">
        <v>24.090450350000001</v>
      </c>
      <c r="L1253">
        <v>23.108141369999998</v>
      </c>
      <c r="M1253">
        <v>22.84426775</v>
      </c>
      <c r="N1253">
        <v>22.73761786</v>
      </c>
      <c r="O1253">
        <v>23.609652149999999</v>
      </c>
      <c r="P1253">
        <v>24.551839125000001</v>
      </c>
      <c r="Q1253">
        <v>25.316357709999998</v>
      </c>
      <c r="R1253">
        <v>26.941407755</v>
      </c>
      <c r="S1253">
        <v>27.993266599999998</v>
      </c>
      <c r="T1253">
        <v>28.5043437</v>
      </c>
      <c r="U1253">
        <v>28.22215302</v>
      </c>
      <c r="V1253">
        <v>27.619784150000001</v>
      </c>
      <c r="W1253">
        <v>31.50531956</v>
      </c>
      <c r="X1253">
        <v>33.402722105000002</v>
      </c>
      <c r="Y1253">
        <v>34.512918560000003</v>
      </c>
      <c r="Z1253">
        <v>33.983587440000001</v>
      </c>
      <c r="AA1253">
        <v>34.553307500000003</v>
      </c>
      <c r="AB1253">
        <v>33.768971700000002</v>
      </c>
    </row>
    <row r="1254" spans="1:28" hidden="1" x14ac:dyDescent="0.25">
      <c r="A1254" t="s">
        <v>74</v>
      </c>
      <c r="B1254" t="s">
        <v>108</v>
      </c>
      <c r="C1254">
        <v>110</v>
      </c>
      <c r="D1254" t="s">
        <v>3</v>
      </c>
      <c r="E1254">
        <v>9.1804531533000002</v>
      </c>
      <c r="F1254">
        <v>9.0678429281999993</v>
      </c>
      <c r="G1254">
        <v>8.9094172517000008</v>
      </c>
      <c r="H1254">
        <v>8.7960956160000006</v>
      </c>
      <c r="I1254">
        <v>8.6505687877999993</v>
      </c>
      <c r="J1254">
        <v>8.1942430414</v>
      </c>
      <c r="K1254">
        <v>7.6516407647999998</v>
      </c>
      <c r="L1254">
        <v>7.5203963562</v>
      </c>
      <c r="M1254">
        <v>7.4467586293999997</v>
      </c>
      <c r="N1254">
        <v>7.3206920409</v>
      </c>
      <c r="O1254">
        <v>7.3901706095000002</v>
      </c>
      <c r="P1254">
        <v>7.5332800250999998</v>
      </c>
      <c r="Q1254">
        <v>7.6261929842000002</v>
      </c>
      <c r="R1254">
        <v>7.9586905677999997</v>
      </c>
      <c r="S1254">
        <v>8.2532906873999998</v>
      </c>
      <c r="T1254">
        <v>8.3820392915999999</v>
      </c>
      <c r="U1254">
        <v>8.2968835906000002</v>
      </c>
      <c r="V1254">
        <v>8.0375588699999998</v>
      </c>
      <c r="W1254">
        <v>8.3863385731999998</v>
      </c>
      <c r="X1254">
        <v>8.5581865131000008</v>
      </c>
      <c r="Y1254">
        <v>8.7219299532000001</v>
      </c>
      <c r="Z1254">
        <v>8.7550540460999997</v>
      </c>
      <c r="AA1254">
        <v>9.3434761411</v>
      </c>
      <c r="AB1254">
        <v>9.5164779460000002</v>
      </c>
    </row>
    <row r="1255" spans="1:28" hidden="1" x14ac:dyDescent="0.25">
      <c r="A1255" t="s">
        <v>74</v>
      </c>
      <c r="B1255" t="s">
        <v>108</v>
      </c>
      <c r="C1255">
        <v>110</v>
      </c>
      <c r="D1255" t="s">
        <v>4</v>
      </c>
      <c r="E1255">
        <v>0.48060592499999999</v>
      </c>
      <c r="F1255">
        <v>0.46355068500000002</v>
      </c>
      <c r="G1255">
        <v>0.44798595000000002</v>
      </c>
      <c r="H1255">
        <v>0.43597824000000002</v>
      </c>
      <c r="I1255">
        <v>0.42400248000000001</v>
      </c>
      <c r="J1255">
        <v>0.40360787999999997</v>
      </c>
      <c r="K1255">
        <v>0.36685964999999998</v>
      </c>
      <c r="L1255">
        <v>0.35190062999999999</v>
      </c>
      <c r="M1255">
        <v>0.34788225</v>
      </c>
      <c r="N1255">
        <v>0.34625813999999999</v>
      </c>
      <c r="O1255">
        <v>0.35953784999999999</v>
      </c>
      <c r="P1255">
        <v>0.37388587499999998</v>
      </c>
      <c r="Q1255">
        <v>0.38552829</v>
      </c>
      <c r="R1255">
        <v>0.41027524500000001</v>
      </c>
      <c r="S1255">
        <v>0.42629339999999999</v>
      </c>
      <c r="T1255">
        <v>0.43407630000000003</v>
      </c>
      <c r="U1255">
        <v>0.42977897999999998</v>
      </c>
      <c r="V1255">
        <v>0.42060585</v>
      </c>
      <c r="W1255">
        <v>0.47977644000000003</v>
      </c>
      <c r="X1255">
        <v>0.50867089499999996</v>
      </c>
      <c r="Y1255">
        <v>0.52557743999999995</v>
      </c>
      <c r="Z1255">
        <v>0.51751656000000001</v>
      </c>
      <c r="AA1255">
        <v>0.52619249999999995</v>
      </c>
      <c r="AB1255">
        <v>0.51424829999999999</v>
      </c>
    </row>
    <row r="1256" spans="1:28" hidden="1" x14ac:dyDescent="0.25">
      <c r="A1256" t="s">
        <v>109</v>
      </c>
      <c r="B1256" t="s">
        <v>110</v>
      </c>
      <c r="C1256">
        <v>115</v>
      </c>
      <c r="D1256" t="s">
        <v>2</v>
      </c>
      <c r="E1256">
        <v>3.6093985399999999</v>
      </c>
      <c r="F1256">
        <v>4.0078921100000002</v>
      </c>
      <c r="G1256">
        <v>3.7550426099999998</v>
      </c>
      <c r="H1256">
        <v>3.74311426</v>
      </c>
      <c r="I1256">
        <v>3.7213437900000002</v>
      </c>
      <c r="J1256">
        <v>4.0842857549999998</v>
      </c>
      <c r="K1256">
        <v>4.3706360899999996</v>
      </c>
      <c r="L1256">
        <v>4.6478367599999997</v>
      </c>
      <c r="M1256">
        <v>5.1063788849999998</v>
      </c>
      <c r="N1256">
        <v>5.4547881599999997</v>
      </c>
      <c r="O1256">
        <v>5.8851464800000004</v>
      </c>
      <c r="P1256">
        <v>6.1726344900000001</v>
      </c>
      <c r="Q1256">
        <v>6.0766472250000003</v>
      </c>
      <c r="R1256">
        <v>5.7937788650000002</v>
      </c>
      <c r="S1256">
        <v>6.1937745599999996</v>
      </c>
      <c r="T1256">
        <v>6.3887769800000003</v>
      </c>
      <c r="U1256">
        <v>6.4027354150000004</v>
      </c>
      <c r="V1256">
        <v>6.2109972850000004</v>
      </c>
      <c r="W1256">
        <v>7.2680066950000004</v>
      </c>
      <c r="X1256">
        <v>7.2165177900000002</v>
      </c>
      <c r="Y1256">
        <v>6.8679666749999999</v>
      </c>
      <c r="Z1256">
        <v>5.9708060200000004</v>
      </c>
      <c r="AA1256">
        <v>5.1424170800000004</v>
      </c>
      <c r="AB1256">
        <v>4.380489045</v>
      </c>
    </row>
    <row r="1257" spans="1:28" hidden="1" x14ac:dyDescent="0.25">
      <c r="A1257" t="s">
        <v>109</v>
      </c>
      <c r="B1257" t="s">
        <v>110</v>
      </c>
      <c r="C1257">
        <v>115</v>
      </c>
      <c r="D1257" t="s">
        <v>3</v>
      </c>
      <c r="E1257">
        <v>1.5736066491</v>
      </c>
      <c r="F1257">
        <v>1.748890968</v>
      </c>
      <c r="G1257">
        <v>1.5733749072000001</v>
      </c>
      <c r="H1257">
        <v>1.6985381345999999</v>
      </c>
      <c r="I1257">
        <v>1.5973768608000001</v>
      </c>
      <c r="J1257">
        <v>1.660461789</v>
      </c>
      <c r="K1257">
        <v>1.9398176447</v>
      </c>
      <c r="L1257">
        <v>2.5088892512999998</v>
      </c>
      <c r="M1257">
        <v>2.8437172224</v>
      </c>
      <c r="N1257">
        <v>2.7735473513</v>
      </c>
      <c r="O1257">
        <v>2.6760356497000002</v>
      </c>
      <c r="P1257">
        <v>2.7737320331999999</v>
      </c>
      <c r="Q1257">
        <v>2.7991402963000001</v>
      </c>
      <c r="R1257">
        <v>2.6419169082999998</v>
      </c>
      <c r="S1257">
        <v>2.82359041</v>
      </c>
      <c r="T1257">
        <v>2.7617023129999998</v>
      </c>
      <c r="U1257">
        <v>2.8106535778000001</v>
      </c>
      <c r="V1257">
        <v>2.6289933429999999</v>
      </c>
      <c r="W1257">
        <v>2.5957632257999999</v>
      </c>
      <c r="X1257">
        <v>2.5535923747</v>
      </c>
      <c r="Y1257">
        <v>2.5497304302999999</v>
      </c>
      <c r="Z1257">
        <v>2.2240695663999999</v>
      </c>
      <c r="AA1257">
        <v>2.0044753559999999</v>
      </c>
      <c r="AB1257">
        <v>1.8302380839000001</v>
      </c>
    </row>
    <row r="1258" spans="1:28" hidden="1" x14ac:dyDescent="0.25">
      <c r="A1258" t="s">
        <v>109</v>
      </c>
      <c r="B1258" t="s">
        <v>110</v>
      </c>
      <c r="C1258">
        <v>115</v>
      </c>
      <c r="D1258" t="s">
        <v>4</v>
      </c>
      <c r="E1258">
        <v>5.4965460000000001E-2</v>
      </c>
      <c r="F1258">
        <v>6.103389E-2</v>
      </c>
      <c r="G1258">
        <v>5.7183390000000001E-2</v>
      </c>
      <c r="H1258">
        <v>5.7001740000000002E-2</v>
      </c>
      <c r="I1258">
        <v>5.6670209999999999E-2</v>
      </c>
      <c r="J1258">
        <v>6.2197244999999998E-2</v>
      </c>
      <c r="K1258">
        <v>6.6557909999999998E-2</v>
      </c>
      <c r="L1258">
        <v>7.0779239999999993E-2</v>
      </c>
      <c r="M1258">
        <v>7.7762115000000007E-2</v>
      </c>
      <c r="N1258">
        <v>8.3067840000000004E-2</v>
      </c>
      <c r="O1258">
        <v>8.9621519999999996E-2</v>
      </c>
      <c r="P1258">
        <v>9.3999509999999994E-2</v>
      </c>
      <c r="Q1258">
        <v>9.2537775000000003E-2</v>
      </c>
      <c r="R1258">
        <v>8.8230135000000001E-2</v>
      </c>
      <c r="S1258">
        <v>9.4321440000000006E-2</v>
      </c>
      <c r="T1258">
        <v>9.7291020000000006E-2</v>
      </c>
      <c r="U1258">
        <v>9.7503585000000004E-2</v>
      </c>
      <c r="V1258">
        <v>9.4583714999999999E-2</v>
      </c>
      <c r="W1258">
        <v>0.11068030500000001</v>
      </c>
      <c r="X1258">
        <v>0.10989620999999999</v>
      </c>
      <c r="Y1258">
        <v>0.104588325</v>
      </c>
      <c r="Z1258">
        <v>9.0925980000000003E-2</v>
      </c>
      <c r="AA1258">
        <v>7.8310920000000006E-2</v>
      </c>
      <c r="AB1258">
        <v>6.6707954999999999E-2</v>
      </c>
    </row>
    <row r="1259" spans="1:28" hidden="1" x14ac:dyDescent="0.25">
      <c r="A1259" t="s">
        <v>109</v>
      </c>
      <c r="B1259" t="s">
        <v>111</v>
      </c>
      <c r="C1259">
        <v>115</v>
      </c>
      <c r="D1259" t="s">
        <v>2</v>
      </c>
      <c r="E1259">
        <v>3.8953282800000002</v>
      </c>
      <c r="F1259">
        <v>4.1584798950000001</v>
      </c>
      <c r="G1259">
        <v>3.9637591849999998</v>
      </c>
      <c r="H1259">
        <v>3.8447918699999999</v>
      </c>
      <c r="I1259">
        <v>3.8706008399999998</v>
      </c>
      <c r="J1259">
        <v>4.1203860050000003</v>
      </c>
      <c r="K1259">
        <v>4.4717936199999997</v>
      </c>
      <c r="L1259">
        <v>4.8963680199999997</v>
      </c>
      <c r="M1259">
        <v>5.4309285049999998</v>
      </c>
      <c r="N1259">
        <v>5.9290380799999998</v>
      </c>
      <c r="O1259">
        <v>6.2276979600000004</v>
      </c>
      <c r="P1259">
        <v>6.4951559950000002</v>
      </c>
      <c r="Q1259">
        <v>6.5268434449999999</v>
      </c>
      <c r="R1259">
        <v>6.1364140699999998</v>
      </c>
      <c r="S1259">
        <v>6.447097845</v>
      </c>
      <c r="T1259">
        <v>6.4915627149999997</v>
      </c>
      <c r="U1259">
        <v>6.5622039599999997</v>
      </c>
      <c r="V1259">
        <v>6.4521026299999997</v>
      </c>
      <c r="W1259">
        <v>8.183345525</v>
      </c>
      <c r="X1259">
        <v>8.1971335550000006</v>
      </c>
      <c r="Y1259">
        <v>7.7329237400000004</v>
      </c>
      <c r="Z1259">
        <v>6.52564864</v>
      </c>
      <c r="AA1259">
        <v>5.5236209450000002</v>
      </c>
      <c r="AB1259">
        <v>4.6553601899999997</v>
      </c>
    </row>
    <row r="1260" spans="1:28" hidden="1" x14ac:dyDescent="0.25">
      <c r="A1260" t="s">
        <v>109</v>
      </c>
      <c r="B1260" t="s">
        <v>111</v>
      </c>
      <c r="C1260">
        <v>115</v>
      </c>
      <c r="D1260" t="s">
        <v>3</v>
      </c>
      <c r="E1260">
        <v>2.5888741772000001</v>
      </c>
      <c r="F1260">
        <v>3.3246967815000001</v>
      </c>
      <c r="G1260">
        <v>2.9389767279000001</v>
      </c>
      <c r="H1260">
        <v>3.3617880072999999</v>
      </c>
      <c r="I1260">
        <v>3.0865131153999998</v>
      </c>
      <c r="J1260">
        <v>2.8024679361999998</v>
      </c>
      <c r="K1260">
        <v>3.1188910848</v>
      </c>
      <c r="L1260">
        <v>3.3744229406000001</v>
      </c>
      <c r="M1260">
        <v>3.6692491421</v>
      </c>
      <c r="N1260">
        <v>3.4845874289999998</v>
      </c>
      <c r="O1260">
        <v>3.5635648159</v>
      </c>
      <c r="P1260">
        <v>3.6382654945000001</v>
      </c>
      <c r="Q1260">
        <v>3.7497340960000001</v>
      </c>
      <c r="R1260">
        <v>3.5715567168</v>
      </c>
      <c r="S1260">
        <v>3.6780756069999998</v>
      </c>
      <c r="T1260">
        <v>3.7485183377000002</v>
      </c>
      <c r="U1260">
        <v>3.8547919975</v>
      </c>
      <c r="V1260">
        <v>3.5042057731999998</v>
      </c>
      <c r="W1260">
        <v>3.4789325304999998</v>
      </c>
      <c r="X1260">
        <v>3.4610010831000002</v>
      </c>
      <c r="Y1260">
        <v>3.3755031481</v>
      </c>
      <c r="Z1260">
        <v>3.0431063182</v>
      </c>
      <c r="AA1260">
        <v>2.9988883007</v>
      </c>
      <c r="AB1260">
        <v>2.9276487391999999</v>
      </c>
    </row>
    <row r="1261" spans="1:28" hidden="1" x14ac:dyDescent="0.25">
      <c r="A1261" t="s">
        <v>109</v>
      </c>
      <c r="B1261" t="s">
        <v>111</v>
      </c>
      <c r="C1261">
        <v>115</v>
      </c>
      <c r="D1261" t="s">
        <v>4</v>
      </c>
      <c r="E1261">
        <v>5.9319719999999999E-2</v>
      </c>
      <c r="F1261">
        <v>6.3327104999999995E-2</v>
      </c>
      <c r="G1261">
        <v>6.0361814999999999E-2</v>
      </c>
      <c r="H1261">
        <v>5.8550129999999999E-2</v>
      </c>
      <c r="I1261">
        <v>5.8943160000000001E-2</v>
      </c>
      <c r="J1261">
        <v>6.2746995E-2</v>
      </c>
      <c r="K1261">
        <v>6.809838E-2</v>
      </c>
      <c r="L1261">
        <v>7.4563980000000002E-2</v>
      </c>
      <c r="M1261">
        <v>8.2704495000000003E-2</v>
      </c>
      <c r="N1261">
        <v>9.0289919999999996E-2</v>
      </c>
      <c r="O1261">
        <v>9.4838039999999998E-2</v>
      </c>
      <c r="P1261">
        <v>9.8911004999999996E-2</v>
      </c>
      <c r="Q1261">
        <v>9.9393554999999995E-2</v>
      </c>
      <c r="R1261">
        <v>9.3447929999999998E-2</v>
      </c>
      <c r="S1261">
        <v>9.8179155000000004E-2</v>
      </c>
      <c r="T1261">
        <v>9.8856285000000002E-2</v>
      </c>
      <c r="U1261">
        <v>9.993204E-2</v>
      </c>
      <c r="V1261">
        <v>9.8255369999999995E-2</v>
      </c>
      <c r="W1261">
        <v>0.12461947499999999</v>
      </c>
      <c r="X1261">
        <v>0.124829445</v>
      </c>
      <c r="Y1261">
        <v>0.11776026000000001</v>
      </c>
      <c r="Z1261">
        <v>9.9375359999999996E-2</v>
      </c>
      <c r="AA1261">
        <v>8.4116054999999995E-2</v>
      </c>
      <c r="AB1261">
        <v>7.0893810000000002E-2</v>
      </c>
    </row>
    <row r="1262" spans="1:28" x14ac:dyDescent="0.25">
      <c r="A1262" t="s">
        <v>112</v>
      </c>
      <c r="B1262" t="s">
        <v>113</v>
      </c>
      <c r="C1262">
        <v>115</v>
      </c>
      <c r="D1262" t="s">
        <v>2</v>
      </c>
      <c r="E1262">
        <v>26.649827070000001</v>
      </c>
      <c r="F1262">
        <v>24.536329315</v>
      </c>
      <c r="G1262">
        <v>23.659680300000002</v>
      </c>
      <c r="H1262">
        <v>22.588388389999999</v>
      </c>
      <c r="I1262">
        <v>23.70803986</v>
      </c>
      <c r="J1262">
        <v>24.971805695</v>
      </c>
      <c r="K1262">
        <v>25.162257414999999</v>
      </c>
      <c r="L1262">
        <v>25.445933475</v>
      </c>
      <c r="M1262">
        <v>26.365364979999999</v>
      </c>
      <c r="N1262">
        <v>28.318699765000002</v>
      </c>
      <c r="O1262">
        <v>30.59159219</v>
      </c>
      <c r="P1262">
        <v>31.953135034999999</v>
      </c>
      <c r="Q1262">
        <v>32.86666048</v>
      </c>
      <c r="R1262">
        <v>33.547873674999998</v>
      </c>
      <c r="S1262">
        <v>32.823935120000002</v>
      </c>
      <c r="T1262">
        <v>32.858056505</v>
      </c>
      <c r="U1262">
        <v>32.964136080000003</v>
      </c>
      <c r="V1262">
        <v>34.13420773</v>
      </c>
      <c r="W1262">
        <v>39.0252075</v>
      </c>
      <c r="X1262">
        <v>42.696322199999997</v>
      </c>
      <c r="Y1262">
        <v>41.516213399999998</v>
      </c>
      <c r="Z1262">
        <v>37.586007254999998</v>
      </c>
      <c r="AA1262">
        <v>33.000292475000002</v>
      </c>
      <c r="AB1262">
        <v>29.216256390000002</v>
      </c>
    </row>
    <row r="1263" spans="1:28" x14ac:dyDescent="0.25">
      <c r="A1263" t="s">
        <v>112</v>
      </c>
      <c r="B1263" t="s">
        <v>113</v>
      </c>
      <c r="C1263">
        <v>115</v>
      </c>
      <c r="D1263" t="s">
        <v>3</v>
      </c>
      <c r="E1263">
        <v>12.740576751900001</v>
      </c>
      <c r="F1263">
        <v>11.278917421699999</v>
      </c>
      <c r="G1263">
        <v>10.869074595300001</v>
      </c>
      <c r="H1263">
        <v>10.3703773721</v>
      </c>
      <c r="I1263">
        <v>10.877530825199999</v>
      </c>
      <c r="J1263">
        <v>11.486339395</v>
      </c>
      <c r="K1263">
        <v>11.250753378700001</v>
      </c>
      <c r="L1263">
        <v>11.637936828300001</v>
      </c>
      <c r="M1263">
        <v>12.1807910116</v>
      </c>
      <c r="N1263">
        <v>12.9682841881</v>
      </c>
      <c r="O1263">
        <v>13.848701390800001</v>
      </c>
      <c r="P1263">
        <v>14.079735380400001</v>
      </c>
      <c r="Q1263">
        <v>14.4042926418</v>
      </c>
      <c r="R1263">
        <v>14.6729399028</v>
      </c>
      <c r="S1263">
        <v>14.550795209</v>
      </c>
      <c r="T1263">
        <v>14.478477313799999</v>
      </c>
      <c r="U1263">
        <v>14.4470127431</v>
      </c>
      <c r="V1263">
        <v>14.4483407056</v>
      </c>
      <c r="W1263">
        <v>14.852648734000001</v>
      </c>
      <c r="X1263">
        <v>15.425774327599999</v>
      </c>
      <c r="Y1263">
        <v>15.027021467899999</v>
      </c>
      <c r="Z1263">
        <v>13.7414069106</v>
      </c>
      <c r="AA1263">
        <v>12.7604375832</v>
      </c>
      <c r="AB1263">
        <v>12.3047169313</v>
      </c>
    </row>
    <row r="1264" spans="1:28" x14ac:dyDescent="0.25">
      <c r="A1264" t="s">
        <v>112</v>
      </c>
      <c r="B1264" t="s">
        <v>113</v>
      </c>
      <c r="C1264">
        <v>115</v>
      </c>
      <c r="D1264" t="s">
        <v>4</v>
      </c>
      <c r="E1264">
        <v>0.40583492999999998</v>
      </c>
      <c r="F1264">
        <v>0.37364968500000001</v>
      </c>
      <c r="G1264">
        <v>0.3602997</v>
      </c>
      <c r="H1264">
        <v>0.34398561</v>
      </c>
      <c r="I1264">
        <v>0.36103614000000001</v>
      </c>
      <c r="J1264">
        <v>0.38028130500000001</v>
      </c>
      <c r="K1264">
        <v>0.38318158499999999</v>
      </c>
      <c r="L1264">
        <v>0.38750152500000001</v>
      </c>
      <c r="M1264">
        <v>0.40150301999999999</v>
      </c>
      <c r="N1264">
        <v>0.43124923500000001</v>
      </c>
      <c r="O1264">
        <v>0.46586180999999999</v>
      </c>
      <c r="P1264">
        <v>0.48659596500000002</v>
      </c>
      <c r="Q1264">
        <v>0.50050751999999998</v>
      </c>
      <c r="R1264">
        <v>0.51088132500000005</v>
      </c>
      <c r="S1264">
        <v>0.49985688</v>
      </c>
      <c r="T1264">
        <v>0.50037649500000003</v>
      </c>
      <c r="U1264">
        <v>0.50199192000000004</v>
      </c>
      <c r="V1264">
        <v>0.51981027000000002</v>
      </c>
      <c r="W1264">
        <v>0.5942925</v>
      </c>
      <c r="X1264">
        <v>0.65019780000000005</v>
      </c>
      <c r="Y1264">
        <v>0.63222659999999997</v>
      </c>
      <c r="Z1264">
        <v>0.57237574499999999</v>
      </c>
      <c r="AA1264">
        <v>0.50254252499999996</v>
      </c>
      <c r="AB1264">
        <v>0.44491761000000002</v>
      </c>
    </row>
    <row r="1265" spans="1:28" x14ac:dyDescent="0.25">
      <c r="A1265" t="s">
        <v>112</v>
      </c>
      <c r="B1265" t="s">
        <v>114</v>
      </c>
      <c r="C1265">
        <v>115</v>
      </c>
      <c r="D1265" t="s">
        <v>2</v>
      </c>
      <c r="E1265">
        <v>16.400501174999999</v>
      </c>
      <c r="F1265">
        <v>15.31980744</v>
      </c>
      <c r="G1265">
        <v>14.670539764999999</v>
      </c>
      <c r="H1265">
        <v>13.969276895</v>
      </c>
      <c r="I1265">
        <v>14.519161025000001</v>
      </c>
      <c r="J1265">
        <v>15.342714600000001</v>
      </c>
      <c r="K1265">
        <v>16.310320484999998</v>
      </c>
      <c r="L1265">
        <v>18.358398480000002</v>
      </c>
      <c r="M1265">
        <v>19.946371155000001</v>
      </c>
      <c r="N1265">
        <v>21.914198245000001</v>
      </c>
      <c r="O1265">
        <v>24.005820135</v>
      </c>
      <c r="P1265">
        <v>24.907965874999999</v>
      </c>
      <c r="Q1265">
        <v>24.5198611</v>
      </c>
      <c r="R1265">
        <v>24.179811520000001</v>
      </c>
      <c r="S1265">
        <v>24.638105424999999</v>
      </c>
      <c r="T1265">
        <v>24.663718379999999</v>
      </c>
      <c r="U1265">
        <v>24.184681359999999</v>
      </c>
      <c r="V1265">
        <v>23.239316774999999</v>
      </c>
      <c r="W1265">
        <v>24.550730999999999</v>
      </c>
      <c r="X1265">
        <v>25.810151999999999</v>
      </c>
      <c r="Y1265">
        <v>24.679273500000001</v>
      </c>
      <c r="Z1265">
        <v>21.783266135000002</v>
      </c>
      <c r="AA1265">
        <v>19.245972129999998</v>
      </c>
      <c r="AB1265">
        <v>17.480750674999999</v>
      </c>
    </row>
    <row r="1266" spans="1:28" x14ac:dyDescent="0.25">
      <c r="A1266" t="s">
        <v>112</v>
      </c>
      <c r="B1266" t="s">
        <v>114</v>
      </c>
      <c r="C1266">
        <v>115</v>
      </c>
      <c r="D1266" t="s">
        <v>3</v>
      </c>
      <c r="E1266">
        <v>3.8526775839999998</v>
      </c>
      <c r="F1266">
        <v>3.7242149548999999</v>
      </c>
      <c r="G1266">
        <v>3.6639379651000001</v>
      </c>
      <c r="H1266">
        <v>3.5796994532999999</v>
      </c>
      <c r="I1266">
        <v>3.5425789481000001</v>
      </c>
      <c r="J1266">
        <v>3.4381163221</v>
      </c>
      <c r="K1266">
        <v>3.9430174636999999</v>
      </c>
      <c r="L1266">
        <v>4.9362624222999996</v>
      </c>
      <c r="M1266">
        <v>5.8254173775</v>
      </c>
      <c r="N1266">
        <v>6.5514765524999996</v>
      </c>
      <c r="O1266">
        <v>7.3397427363999999</v>
      </c>
      <c r="P1266">
        <v>7.6248833710000001</v>
      </c>
      <c r="Q1266">
        <v>7.3769828651999996</v>
      </c>
      <c r="R1266">
        <v>7.4739968237000003</v>
      </c>
      <c r="S1266">
        <v>7.5053823550000001</v>
      </c>
      <c r="T1266">
        <v>7.5131847008000001</v>
      </c>
      <c r="U1266">
        <v>7.3944292820999999</v>
      </c>
      <c r="V1266">
        <v>6.6053274557000003</v>
      </c>
      <c r="W1266">
        <v>6.1207240452000002</v>
      </c>
      <c r="X1266">
        <v>5.9913056384000001</v>
      </c>
      <c r="Y1266">
        <v>5.4227492734</v>
      </c>
      <c r="Z1266">
        <v>4.5582476636000004</v>
      </c>
      <c r="AA1266">
        <v>4.1051164547000001</v>
      </c>
      <c r="AB1266">
        <v>3.9004018324</v>
      </c>
    </row>
    <row r="1267" spans="1:28" x14ac:dyDescent="0.25">
      <c r="A1267" t="s">
        <v>112</v>
      </c>
      <c r="B1267" t="s">
        <v>114</v>
      </c>
      <c r="C1267">
        <v>115</v>
      </c>
      <c r="D1267" t="s">
        <v>4</v>
      </c>
      <c r="E1267">
        <v>0.24975382500000001</v>
      </c>
      <c r="F1267">
        <v>0.23329655999999999</v>
      </c>
      <c r="G1267">
        <v>0.22340923500000001</v>
      </c>
      <c r="H1267">
        <v>0.212730105</v>
      </c>
      <c r="I1267">
        <v>0.22110397500000001</v>
      </c>
      <c r="J1267">
        <v>0.2336454</v>
      </c>
      <c r="K1267">
        <v>0.248380515</v>
      </c>
      <c r="L1267">
        <v>0.27956952000000002</v>
      </c>
      <c r="M1267">
        <v>0.30375184500000002</v>
      </c>
      <c r="N1267">
        <v>0.33371875499999998</v>
      </c>
      <c r="O1267">
        <v>0.36557086500000002</v>
      </c>
      <c r="P1267">
        <v>0.37930912500000002</v>
      </c>
      <c r="Q1267">
        <v>0.37339889999999998</v>
      </c>
      <c r="R1267">
        <v>0.36822048000000002</v>
      </c>
      <c r="S1267">
        <v>0.37519957500000001</v>
      </c>
      <c r="T1267">
        <v>0.37558962000000001</v>
      </c>
      <c r="U1267">
        <v>0.36829464000000001</v>
      </c>
      <c r="V1267">
        <v>0.35389822500000001</v>
      </c>
      <c r="W1267">
        <v>0.37386900000000001</v>
      </c>
      <c r="X1267">
        <v>0.39304800000000001</v>
      </c>
      <c r="Y1267">
        <v>0.37582650000000001</v>
      </c>
      <c r="Z1267">
        <v>0.33172486499999998</v>
      </c>
      <c r="AA1267">
        <v>0.29308587000000003</v>
      </c>
      <c r="AB1267">
        <v>0.26620432500000002</v>
      </c>
    </row>
    <row r="1268" spans="1:28" hidden="1" x14ac:dyDescent="0.25">
      <c r="A1268" t="s">
        <v>112</v>
      </c>
      <c r="B1268" t="s">
        <v>115</v>
      </c>
      <c r="C1268">
        <v>115</v>
      </c>
      <c r="D1268" t="s">
        <v>2</v>
      </c>
      <c r="E1268">
        <v>31.221752835</v>
      </c>
      <c r="F1268">
        <v>30.550025189999999</v>
      </c>
      <c r="G1268">
        <v>30.227540130000001</v>
      </c>
      <c r="H1268">
        <v>29.689646405000001</v>
      </c>
      <c r="I1268">
        <v>30.689391855</v>
      </c>
      <c r="J1268">
        <v>31.195296720000002</v>
      </c>
      <c r="K1268">
        <v>35.461342555000002</v>
      </c>
      <c r="L1268">
        <v>40.595139899999999</v>
      </c>
      <c r="M1268">
        <v>43.130326005000001</v>
      </c>
      <c r="N1268">
        <v>45.536997190000001</v>
      </c>
      <c r="O1268">
        <v>47.490931840000002</v>
      </c>
      <c r="P1268">
        <v>47.189229294999997</v>
      </c>
      <c r="Q1268">
        <v>46.691237919999999</v>
      </c>
      <c r="R1268">
        <v>46.606571260000003</v>
      </c>
      <c r="S1268">
        <v>46.876275094999997</v>
      </c>
      <c r="T1268">
        <v>46.925005015000004</v>
      </c>
      <c r="U1268">
        <v>45.623877145000002</v>
      </c>
      <c r="V1268">
        <v>42.854796880000002</v>
      </c>
      <c r="W1268">
        <v>41.224318500000003</v>
      </c>
      <c r="X1268">
        <v>40.797084599999998</v>
      </c>
      <c r="Y1268">
        <v>39.022488899999999</v>
      </c>
      <c r="Z1268">
        <v>35.221495054999998</v>
      </c>
      <c r="AA1268">
        <v>32.047612295</v>
      </c>
      <c r="AB1268">
        <v>31.683331715000001</v>
      </c>
    </row>
    <row r="1269" spans="1:28" hidden="1" x14ac:dyDescent="0.25">
      <c r="A1269" t="s">
        <v>112</v>
      </c>
      <c r="B1269" t="s">
        <v>115</v>
      </c>
      <c r="C1269">
        <v>115</v>
      </c>
      <c r="D1269" t="s">
        <v>3</v>
      </c>
      <c r="E1269">
        <v>12.369068971500001</v>
      </c>
      <c r="F1269">
        <v>12.7549774082</v>
      </c>
      <c r="G1269">
        <v>12.657159460900001</v>
      </c>
      <c r="H1269">
        <v>12.620870336099999</v>
      </c>
      <c r="I1269">
        <v>12.359624721199999</v>
      </c>
      <c r="J1269">
        <v>12.1121407231</v>
      </c>
      <c r="K1269">
        <v>13.723367659099999</v>
      </c>
      <c r="L1269">
        <v>16.4372604643</v>
      </c>
      <c r="M1269">
        <v>17.2220323395</v>
      </c>
      <c r="N1269">
        <v>18.831292377600001</v>
      </c>
      <c r="O1269">
        <v>18.649878583700001</v>
      </c>
      <c r="P1269">
        <v>20.625271617700001</v>
      </c>
      <c r="Q1269">
        <v>21.4224956067</v>
      </c>
      <c r="R1269">
        <v>20.619312793900001</v>
      </c>
      <c r="S1269">
        <v>19.125596131399998</v>
      </c>
      <c r="T1269">
        <v>18.663813323900001</v>
      </c>
      <c r="U1269">
        <v>19.173406699200001</v>
      </c>
      <c r="V1269">
        <v>19.6747288111</v>
      </c>
      <c r="W1269">
        <v>18.432552890699998</v>
      </c>
      <c r="X1269">
        <v>17.782854282100001</v>
      </c>
      <c r="Y1269">
        <v>16.434709274900001</v>
      </c>
      <c r="Z1269">
        <v>15.0042940617</v>
      </c>
      <c r="AA1269">
        <v>12.8267201255</v>
      </c>
      <c r="AB1269">
        <v>13.0439461711</v>
      </c>
    </row>
    <row r="1270" spans="1:28" hidden="1" x14ac:dyDescent="0.25">
      <c r="A1270" t="s">
        <v>112</v>
      </c>
      <c r="B1270" t="s">
        <v>115</v>
      </c>
      <c r="C1270">
        <v>115</v>
      </c>
      <c r="D1270" t="s">
        <v>4</v>
      </c>
      <c r="E1270">
        <v>0.47545816499999999</v>
      </c>
      <c r="F1270">
        <v>0.46522880999999999</v>
      </c>
      <c r="G1270">
        <v>0.46031787000000002</v>
      </c>
      <c r="H1270">
        <v>0.45212659500000002</v>
      </c>
      <c r="I1270">
        <v>0.46735114500000002</v>
      </c>
      <c r="J1270">
        <v>0.47505528000000002</v>
      </c>
      <c r="K1270">
        <v>0.54002044500000002</v>
      </c>
      <c r="L1270">
        <v>0.61820010000000003</v>
      </c>
      <c r="M1270">
        <v>0.65680699499999995</v>
      </c>
      <c r="N1270">
        <v>0.69345681000000003</v>
      </c>
      <c r="O1270">
        <v>0.72321215999999999</v>
      </c>
      <c r="P1270">
        <v>0.718617705</v>
      </c>
      <c r="Q1270">
        <v>0.71103408000000001</v>
      </c>
      <c r="R1270">
        <v>0.70974473999999999</v>
      </c>
      <c r="S1270">
        <v>0.71385190499999995</v>
      </c>
      <c r="T1270">
        <v>0.71459398500000004</v>
      </c>
      <c r="U1270">
        <v>0.69477985499999995</v>
      </c>
      <c r="V1270">
        <v>0.65261111999999999</v>
      </c>
      <c r="W1270">
        <v>0.62778149999999999</v>
      </c>
      <c r="X1270">
        <v>0.62127540000000003</v>
      </c>
      <c r="Y1270">
        <v>0.59425110000000003</v>
      </c>
      <c r="Z1270">
        <v>0.53636794499999996</v>
      </c>
      <c r="AA1270">
        <v>0.48803470500000001</v>
      </c>
      <c r="AB1270">
        <v>0.48248728499999999</v>
      </c>
    </row>
    <row r="1271" spans="1:28" x14ac:dyDescent="0.25">
      <c r="A1271" t="s">
        <v>112</v>
      </c>
      <c r="B1271" t="s">
        <v>116</v>
      </c>
      <c r="C1271">
        <v>115</v>
      </c>
      <c r="D1271" t="s">
        <v>2</v>
      </c>
      <c r="E1271">
        <v>2.9255583500000002</v>
      </c>
      <c r="F1271">
        <v>2.73248062</v>
      </c>
      <c r="G1271">
        <v>2.652052415</v>
      </c>
      <c r="H1271">
        <v>2.540520865</v>
      </c>
      <c r="I1271">
        <v>2.6138885900000002</v>
      </c>
      <c r="J1271">
        <v>2.7906458550000002</v>
      </c>
      <c r="K1271">
        <v>2.9066670349999999</v>
      </c>
      <c r="L1271">
        <v>3.081735025</v>
      </c>
      <c r="M1271">
        <v>3.278435585</v>
      </c>
      <c r="N1271">
        <v>3.5329477649999999</v>
      </c>
      <c r="O1271">
        <v>3.8520552600000002</v>
      </c>
      <c r="P1271">
        <v>3.9918563100000002</v>
      </c>
      <c r="Q1271">
        <v>4.0311597800000003</v>
      </c>
      <c r="R1271">
        <v>4.0473965200000004</v>
      </c>
      <c r="S1271">
        <v>4.0371022849999996</v>
      </c>
      <c r="T1271">
        <v>4.0412983850000002</v>
      </c>
      <c r="U1271">
        <v>3.92299496</v>
      </c>
      <c r="V1271">
        <v>3.7874944199999998</v>
      </c>
      <c r="W1271">
        <v>4.0677545000000004</v>
      </c>
      <c r="X1271">
        <v>4.3158956999999996</v>
      </c>
      <c r="Y1271">
        <v>4.1504747999999996</v>
      </c>
      <c r="Z1271">
        <v>3.8314342849999998</v>
      </c>
      <c r="AA1271">
        <v>3.4717861600000002</v>
      </c>
      <c r="AB1271">
        <v>3.1260885900000002</v>
      </c>
    </row>
    <row r="1272" spans="1:28" x14ac:dyDescent="0.25">
      <c r="A1272" t="s">
        <v>112</v>
      </c>
      <c r="B1272" t="s">
        <v>116</v>
      </c>
      <c r="C1272">
        <v>115</v>
      </c>
      <c r="D1272" t="s">
        <v>3</v>
      </c>
      <c r="E1272">
        <v>0.79385555839999999</v>
      </c>
      <c r="F1272">
        <v>0.78204133850000002</v>
      </c>
      <c r="G1272">
        <v>0.76939594219999996</v>
      </c>
      <c r="H1272">
        <v>0.75467226040000002</v>
      </c>
      <c r="I1272">
        <v>0.75117852919999994</v>
      </c>
      <c r="J1272">
        <v>0.72346396609999997</v>
      </c>
      <c r="K1272">
        <v>0.77914990110000004</v>
      </c>
      <c r="L1272">
        <v>0.82224351529999995</v>
      </c>
      <c r="M1272">
        <v>0.93312737140000002</v>
      </c>
      <c r="N1272">
        <v>1.0013759932999999</v>
      </c>
      <c r="O1272">
        <v>1.0963943338</v>
      </c>
      <c r="P1272">
        <v>1.0962276439</v>
      </c>
      <c r="Q1272">
        <v>1.1313667869999999</v>
      </c>
      <c r="R1272">
        <v>1.1551865873</v>
      </c>
      <c r="S1272">
        <v>1.1070124694000001</v>
      </c>
      <c r="T1272">
        <v>1.0966136383</v>
      </c>
      <c r="U1272">
        <v>1.0915811919</v>
      </c>
      <c r="V1272">
        <v>1.0246342289999999</v>
      </c>
      <c r="W1272">
        <v>0.955565102</v>
      </c>
      <c r="X1272">
        <v>0.91840419890000002</v>
      </c>
      <c r="Y1272">
        <v>0.84712342409999997</v>
      </c>
      <c r="Z1272">
        <v>0.81145654950000001</v>
      </c>
      <c r="AA1272">
        <v>0.80103823439999999</v>
      </c>
      <c r="AB1272">
        <v>0.78483734459999999</v>
      </c>
    </row>
    <row r="1273" spans="1:28" x14ac:dyDescent="0.25">
      <c r="A1273" t="s">
        <v>112</v>
      </c>
      <c r="B1273" t="s">
        <v>116</v>
      </c>
      <c r="C1273">
        <v>115</v>
      </c>
      <c r="D1273" t="s">
        <v>4</v>
      </c>
      <c r="E1273">
        <v>4.4551649999999998E-2</v>
      </c>
      <c r="F1273">
        <v>4.1611380000000003E-2</v>
      </c>
      <c r="G1273">
        <v>4.0386585000000003E-2</v>
      </c>
      <c r="H1273">
        <v>3.8688134999999998E-2</v>
      </c>
      <c r="I1273">
        <v>3.9805409999999999E-2</v>
      </c>
      <c r="J1273">
        <v>4.2497145E-2</v>
      </c>
      <c r="K1273">
        <v>4.4263965000000002E-2</v>
      </c>
      <c r="L1273">
        <v>4.6929974999999999E-2</v>
      </c>
      <c r="M1273">
        <v>4.9925415000000001E-2</v>
      </c>
      <c r="N1273">
        <v>5.3801235000000003E-2</v>
      </c>
      <c r="O1273">
        <v>5.8660740000000003E-2</v>
      </c>
      <c r="P1273">
        <v>6.078969E-2</v>
      </c>
      <c r="Q1273">
        <v>6.138822E-2</v>
      </c>
      <c r="R1273">
        <v>6.1635479999999999E-2</v>
      </c>
      <c r="S1273">
        <v>6.1478715000000003E-2</v>
      </c>
      <c r="T1273">
        <v>6.1542615000000002E-2</v>
      </c>
      <c r="U1273">
        <v>5.9741040000000002E-2</v>
      </c>
      <c r="V1273">
        <v>5.7677579999999999E-2</v>
      </c>
      <c r="W1273">
        <v>6.1945500000000001E-2</v>
      </c>
      <c r="X1273">
        <v>6.5724299999999999E-2</v>
      </c>
      <c r="Y1273">
        <v>6.3205200000000003E-2</v>
      </c>
      <c r="Z1273">
        <v>5.8346715E-2</v>
      </c>
      <c r="AA1273">
        <v>5.2869840000000001E-2</v>
      </c>
      <c r="AB1273">
        <v>4.7605410000000001E-2</v>
      </c>
    </row>
    <row r="1274" spans="1:28" x14ac:dyDescent="0.25">
      <c r="A1274" t="s">
        <v>112</v>
      </c>
      <c r="B1274" t="s">
        <v>117</v>
      </c>
      <c r="C1274">
        <v>115</v>
      </c>
      <c r="D1274" t="s">
        <v>2</v>
      </c>
      <c r="E1274">
        <v>19.480036694999999</v>
      </c>
      <c r="F1274">
        <v>18.436775914999998</v>
      </c>
      <c r="G1274">
        <v>18.549717000000001</v>
      </c>
      <c r="H1274">
        <v>17.95947348</v>
      </c>
      <c r="I1274">
        <v>18.604734175000001</v>
      </c>
      <c r="J1274">
        <v>19.048007814999998</v>
      </c>
      <c r="K1274">
        <v>21.220733620000001</v>
      </c>
      <c r="L1274">
        <v>25.514213675000001</v>
      </c>
      <c r="M1274">
        <v>29.597841450000001</v>
      </c>
      <c r="N1274">
        <v>32.281553735000003</v>
      </c>
      <c r="O1274">
        <v>35.029443694999998</v>
      </c>
      <c r="P1274">
        <v>35.975464289999998</v>
      </c>
      <c r="Q1274">
        <v>35.203039109999999</v>
      </c>
      <c r="R1274">
        <v>35.83606709</v>
      </c>
      <c r="S1274">
        <v>37.121495045000003</v>
      </c>
      <c r="T1274">
        <v>37.160084390000002</v>
      </c>
      <c r="U1274">
        <v>36.771209345000003</v>
      </c>
      <c r="V1274">
        <v>33.210714084999999</v>
      </c>
      <c r="W1274">
        <v>30.895707000000002</v>
      </c>
      <c r="X1274">
        <v>28.914674999999999</v>
      </c>
      <c r="Y1274">
        <v>26.886362999999999</v>
      </c>
      <c r="Z1274">
        <v>24.106746189999999</v>
      </c>
      <c r="AA1274">
        <v>21.806300360000002</v>
      </c>
      <c r="AB1274">
        <v>20.323801485000001</v>
      </c>
    </row>
    <row r="1275" spans="1:28" x14ac:dyDescent="0.25">
      <c r="A1275" t="s">
        <v>112</v>
      </c>
      <c r="B1275" t="s">
        <v>117</v>
      </c>
      <c r="C1275">
        <v>115</v>
      </c>
      <c r="D1275" t="s">
        <v>3</v>
      </c>
      <c r="E1275">
        <v>8.8412927432000004</v>
      </c>
      <c r="F1275">
        <v>8.8561023220999999</v>
      </c>
      <c r="G1275">
        <v>8.9103535540000003</v>
      </c>
      <c r="H1275">
        <v>8.3180438939000005</v>
      </c>
      <c r="I1275">
        <v>8.8254205481000003</v>
      </c>
      <c r="J1275">
        <v>8.5336905066999993</v>
      </c>
      <c r="K1275">
        <v>7.4314638134999997</v>
      </c>
      <c r="L1275">
        <v>5.2867319598</v>
      </c>
      <c r="M1275">
        <v>6.6182889341999998</v>
      </c>
      <c r="N1275">
        <v>7.3875551925999998</v>
      </c>
      <c r="O1275">
        <v>8.3093265097</v>
      </c>
      <c r="P1275">
        <v>8.7777745715000002</v>
      </c>
      <c r="Q1275">
        <v>10.972419239200001</v>
      </c>
      <c r="R1275">
        <v>11.1432786795</v>
      </c>
      <c r="S1275">
        <v>13.262891935800001</v>
      </c>
      <c r="T1275">
        <v>12.9121562663</v>
      </c>
      <c r="U1275">
        <v>13.321757032500001</v>
      </c>
      <c r="V1275">
        <v>14.376982157600001</v>
      </c>
      <c r="W1275">
        <v>14.3095423842</v>
      </c>
      <c r="X1275">
        <v>13.4003695617</v>
      </c>
      <c r="Y1275">
        <v>12.622982136399999</v>
      </c>
      <c r="Z1275">
        <v>11.359470533</v>
      </c>
      <c r="AA1275">
        <v>9.0444463620000004</v>
      </c>
      <c r="AB1275">
        <v>8.0132873708000005</v>
      </c>
    </row>
    <row r="1276" spans="1:28" x14ac:dyDescent="0.25">
      <c r="A1276" t="s">
        <v>112</v>
      </c>
      <c r="B1276" t="s">
        <v>117</v>
      </c>
      <c r="C1276">
        <v>115</v>
      </c>
      <c r="D1276" t="s">
        <v>4</v>
      </c>
      <c r="E1276">
        <v>0.296650305</v>
      </c>
      <c r="F1276">
        <v>0.28076308500000002</v>
      </c>
      <c r="G1276">
        <v>0.28248299999999998</v>
      </c>
      <c r="H1276">
        <v>0.27349452000000002</v>
      </c>
      <c r="I1276">
        <v>0.283320825</v>
      </c>
      <c r="J1276">
        <v>0.29007118500000001</v>
      </c>
      <c r="K1276">
        <v>0.32315838000000002</v>
      </c>
      <c r="L1276">
        <v>0.38854132499999999</v>
      </c>
      <c r="M1276">
        <v>0.45072855000000001</v>
      </c>
      <c r="N1276">
        <v>0.49159726500000001</v>
      </c>
      <c r="O1276">
        <v>0.53344330500000003</v>
      </c>
      <c r="P1276">
        <v>0.54784971000000005</v>
      </c>
      <c r="Q1276">
        <v>0.53608688999999998</v>
      </c>
      <c r="R1276">
        <v>0.54572690999999995</v>
      </c>
      <c r="S1276">
        <v>0.56530195500000002</v>
      </c>
      <c r="T1276">
        <v>0.56588961000000004</v>
      </c>
      <c r="U1276">
        <v>0.55996765500000001</v>
      </c>
      <c r="V1276">
        <v>0.50574691500000002</v>
      </c>
      <c r="W1276">
        <v>0.47049299999999999</v>
      </c>
      <c r="X1276">
        <v>0.44032500000000002</v>
      </c>
      <c r="Y1276">
        <v>0.409437</v>
      </c>
      <c r="Z1276">
        <v>0.36710780999999998</v>
      </c>
      <c r="AA1276">
        <v>0.33207564000000001</v>
      </c>
      <c r="AB1276">
        <v>0.309499515</v>
      </c>
    </row>
    <row r="1277" spans="1:28" x14ac:dyDescent="0.25">
      <c r="A1277" t="s">
        <v>112</v>
      </c>
      <c r="B1277" t="s">
        <v>118</v>
      </c>
      <c r="C1277">
        <v>115</v>
      </c>
      <c r="D1277" t="s">
        <v>2</v>
      </c>
      <c r="E1277">
        <v>20.360467125</v>
      </c>
      <c r="F1277">
        <v>19.183355679999998</v>
      </c>
      <c r="G1277">
        <v>18.780489695</v>
      </c>
      <c r="H1277">
        <v>18.010507820000001</v>
      </c>
      <c r="I1277">
        <v>18.817937929999999</v>
      </c>
      <c r="J1277">
        <v>20.298478625000001</v>
      </c>
      <c r="K1277">
        <v>23.889603444999999</v>
      </c>
      <c r="L1277">
        <v>29.893281365</v>
      </c>
      <c r="M1277">
        <v>36.267058765000002</v>
      </c>
      <c r="N1277">
        <v>40.785981679999999</v>
      </c>
      <c r="O1277">
        <v>45.31342583</v>
      </c>
      <c r="P1277">
        <v>46.713862384999999</v>
      </c>
      <c r="Q1277">
        <v>45.420151564999998</v>
      </c>
      <c r="R1277">
        <v>45.99761668</v>
      </c>
      <c r="S1277">
        <v>46.882476654999998</v>
      </c>
      <c r="T1277">
        <v>46.931212485000003</v>
      </c>
      <c r="U1277">
        <v>45.093083300000004</v>
      </c>
      <c r="V1277">
        <v>40.259661704999999</v>
      </c>
      <c r="W1277">
        <v>36.988326000000001</v>
      </c>
      <c r="X1277">
        <v>34.594125900000002</v>
      </c>
      <c r="Y1277">
        <v>30.371844599999999</v>
      </c>
      <c r="Z1277">
        <v>26.158383975</v>
      </c>
      <c r="AA1277">
        <v>23.020051835</v>
      </c>
      <c r="AB1277">
        <v>21.379912574999999</v>
      </c>
    </row>
    <row r="1278" spans="1:28" x14ac:dyDescent="0.25">
      <c r="A1278" t="s">
        <v>112</v>
      </c>
      <c r="B1278" t="s">
        <v>118</v>
      </c>
      <c r="C1278">
        <v>115</v>
      </c>
      <c r="D1278" t="s">
        <v>3</v>
      </c>
      <c r="E1278">
        <v>6.4950112239999997</v>
      </c>
      <c r="F1278">
        <v>5.8149004206999999</v>
      </c>
      <c r="G1278">
        <v>5.7350791553000002</v>
      </c>
      <c r="H1278">
        <v>5.5536859352999999</v>
      </c>
      <c r="I1278">
        <v>5.6757492440000004</v>
      </c>
      <c r="J1278">
        <v>5.7533851475000004</v>
      </c>
      <c r="K1278">
        <v>6.6569262527999999</v>
      </c>
      <c r="L1278">
        <v>8.2576200362000005</v>
      </c>
      <c r="M1278">
        <v>10.2507402122</v>
      </c>
      <c r="N1278">
        <v>11.5764965739</v>
      </c>
      <c r="O1278">
        <v>13.198846856399999</v>
      </c>
      <c r="P1278">
        <v>13.876546581099999</v>
      </c>
      <c r="Q1278">
        <v>14.2572057896</v>
      </c>
      <c r="R1278">
        <v>14.7564963592</v>
      </c>
      <c r="S1278">
        <v>14.140400633900001</v>
      </c>
      <c r="T1278">
        <v>14.1728225995</v>
      </c>
      <c r="U1278">
        <v>13.549513389199999</v>
      </c>
      <c r="V1278">
        <v>12.2942665709</v>
      </c>
      <c r="W1278">
        <v>10.987535658400001</v>
      </c>
      <c r="X1278">
        <v>10.0227515176</v>
      </c>
      <c r="Y1278">
        <v>8.7639089550999998</v>
      </c>
      <c r="Z1278">
        <v>7.6092339551999997</v>
      </c>
      <c r="AA1278">
        <v>6.8995763516000004</v>
      </c>
      <c r="AB1278">
        <v>6.4323059614</v>
      </c>
    </row>
    <row r="1279" spans="1:28" x14ac:dyDescent="0.25">
      <c r="A1279" t="s">
        <v>112</v>
      </c>
      <c r="B1279" t="s">
        <v>118</v>
      </c>
      <c r="C1279">
        <v>115</v>
      </c>
      <c r="D1279" t="s">
        <v>4</v>
      </c>
      <c r="E1279">
        <v>0.31005787499999998</v>
      </c>
      <c r="F1279">
        <v>0.29213232</v>
      </c>
      <c r="G1279">
        <v>0.28599730499999998</v>
      </c>
      <c r="H1279">
        <v>0.27427169260000001</v>
      </c>
      <c r="I1279">
        <v>0.28656758259999998</v>
      </c>
      <c r="J1279">
        <v>0.30911388760000003</v>
      </c>
      <c r="K1279">
        <v>0.36380106760000003</v>
      </c>
      <c r="L1279">
        <v>0.45522763500000002</v>
      </c>
      <c r="M1279">
        <v>0.55229023499999996</v>
      </c>
      <c r="N1279">
        <v>0.62110631999999999</v>
      </c>
      <c r="O1279">
        <v>0.69005216999999996</v>
      </c>
      <c r="P1279">
        <v>0.71137861499999999</v>
      </c>
      <c r="Q1279">
        <v>0.69167743500000001</v>
      </c>
      <c r="R1279">
        <v>0.70047132000000001</v>
      </c>
      <c r="S1279">
        <v>0.71394634499999998</v>
      </c>
      <c r="T1279">
        <v>0.71468851499999997</v>
      </c>
      <c r="U1279">
        <v>0.68669670000000005</v>
      </c>
      <c r="V1279">
        <v>0.61309129500000004</v>
      </c>
      <c r="W1279">
        <v>0.56327400000000005</v>
      </c>
      <c r="X1279">
        <v>0.52681409999999995</v>
      </c>
      <c r="Y1279">
        <v>0.46251540000000002</v>
      </c>
      <c r="Z1279">
        <v>0.39835102500000003</v>
      </c>
      <c r="AA1279">
        <v>0.35055916500000001</v>
      </c>
      <c r="AB1279">
        <v>0.32558242500000001</v>
      </c>
    </row>
    <row r="1280" spans="1:28" hidden="1" x14ac:dyDescent="0.25">
      <c r="A1280" t="s">
        <v>112</v>
      </c>
      <c r="B1280" t="s">
        <v>119</v>
      </c>
      <c r="C1280">
        <v>115</v>
      </c>
      <c r="D1280" t="s">
        <v>2</v>
      </c>
      <c r="E1280">
        <v>38.371801840000003</v>
      </c>
      <c r="F1280">
        <v>36.306151444999998</v>
      </c>
      <c r="G1280">
        <v>35.725787474999997</v>
      </c>
      <c r="H1280">
        <v>34.157088295000001</v>
      </c>
      <c r="I1280">
        <v>35.466876284999998</v>
      </c>
      <c r="J1280">
        <v>36.959518690000003</v>
      </c>
      <c r="K1280">
        <v>40.610885125000003</v>
      </c>
      <c r="L1280">
        <v>48.146983210000002</v>
      </c>
      <c r="M1280">
        <v>57.101977734999998</v>
      </c>
      <c r="N1280">
        <v>62.457667999999998</v>
      </c>
      <c r="O1280">
        <v>68.260077434999999</v>
      </c>
      <c r="P1280">
        <v>70.823457195000003</v>
      </c>
      <c r="Q1280">
        <v>68.614450884999997</v>
      </c>
      <c r="R1280">
        <v>70.294297465</v>
      </c>
      <c r="S1280">
        <v>71.880262709999997</v>
      </c>
      <c r="T1280">
        <v>71.954984809999999</v>
      </c>
      <c r="U1280">
        <v>69.491301824999994</v>
      </c>
      <c r="V1280">
        <v>62.949558285000002</v>
      </c>
      <c r="W1280">
        <v>60.631773500000001</v>
      </c>
      <c r="X1280">
        <v>58.036318199999997</v>
      </c>
      <c r="Y1280">
        <v>54.386124899999999</v>
      </c>
      <c r="Z1280">
        <v>48.628948635</v>
      </c>
      <c r="AA1280">
        <v>43.571378469999999</v>
      </c>
      <c r="AB1280">
        <v>40.59690896</v>
      </c>
    </row>
    <row r="1281" spans="1:28" hidden="1" x14ac:dyDescent="0.25">
      <c r="A1281" t="s">
        <v>112</v>
      </c>
      <c r="B1281" t="s">
        <v>119</v>
      </c>
      <c r="C1281">
        <v>115</v>
      </c>
      <c r="D1281" t="s">
        <v>3</v>
      </c>
      <c r="E1281">
        <v>9.3108918767999995</v>
      </c>
      <c r="F1281">
        <v>8.9392955476000004</v>
      </c>
      <c r="G1281">
        <v>8.7487444484000001</v>
      </c>
      <c r="H1281">
        <v>8.4252952805000003</v>
      </c>
      <c r="I1281">
        <v>8.5741118762999999</v>
      </c>
      <c r="J1281">
        <v>8.5275953736000005</v>
      </c>
      <c r="K1281">
        <v>10.2665033646</v>
      </c>
      <c r="L1281">
        <v>17.5547591393</v>
      </c>
      <c r="M1281">
        <v>22.961294499600001</v>
      </c>
      <c r="N1281">
        <v>27.2429842373</v>
      </c>
      <c r="O1281">
        <v>31.555882589100001</v>
      </c>
      <c r="P1281">
        <v>33.027109174800003</v>
      </c>
      <c r="Q1281">
        <v>27.718597503600002</v>
      </c>
      <c r="R1281">
        <v>30.472541868899999</v>
      </c>
      <c r="S1281">
        <v>31.009585592400001</v>
      </c>
      <c r="T1281">
        <v>29.8442647243</v>
      </c>
      <c r="U1281">
        <v>25.816794199499999</v>
      </c>
      <c r="V1281">
        <v>16.479412978700001</v>
      </c>
      <c r="W1281">
        <v>13.2334463318</v>
      </c>
      <c r="X1281">
        <v>12.3789977044</v>
      </c>
      <c r="Y1281">
        <v>11.5731354382</v>
      </c>
      <c r="Z1281">
        <v>10.6137185964</v>
      </c>
      <c r="AA1281">
        <v>9.9506315398999998</v>
      </c>
      <c r="AB1281">
        <v>9.6855859094000003</v>
      </c>
    </row>
    <row r="1282" spans="1:28" hidden="1" x14ac:dyDescent="0.25">
      <c r="A1282" t="s">
        <v>112</v>
      </c>
      <c r="B1282" t="s">
        <v>119</v>
      </c>
      <c r="C1282">
        <v>115</v>
      </c>
      <c r="D1282" t="s">
        <v>4</v>
      </c>
      <c r="E1282">
        <v>0.58434216000000005</v>
      </c>
      <c r="F1282">
        <v>0.55288555500000003</v>
      </c>
      <c r="G1282">
        <v>0.54404752499999998</v>
      </c>
      <c r="H1282">
        <v>0.52015870500000005</v>
      </c>
      <c r="I1282">
        <v>0.54010471500000001</v>
      </c>
      <c r="J1282">
        <v>0.56283530999999998</v>
      </c>
      <c r="K1282">
        <v>0.61843987499999997</v>
      </c>
      <c r="L1282">
        <v>0.73320278999999999</v>
      </c>
      <c r="M1282">
        <v>0.86957326499999998</v>
      </c>
      <c r="N1282">
        <v>0.95113199999999998</v>
      </c>
      <c r="O1282">
        <v>1.0394935649999999</v>
      </c>
      <c r="P1282">
        <v>1.0785298050000001</v>
      </c>
      <c r="Q1282">
        <v>1.0448901150000001</v>
      </c>
      <c r="R1282">
        <v>1.070471535</v>
      </c>
      <c r="S1282">
        <v>1.0946232899999999</v>
      </c>
      <c r="T1282">
        <v>1.0957611899999999</v>
      </c>
      <c r="U1282">
        <v>1.0582431750000001</v>
      </c>
      <c r="V1282">
        <v>0.95862271499999996</v>
      </c>
      <c r="W1282">
        <v>0.92332650000000005</v>
      </c>
      <c r="X1282">
        <v>0.88380179999999997</v>
      </c>
      <c r="Y1282">
        <v>0.82821509999999998</v>
      </c>
      <c r="Z1282">
        <v>0.74054236500000004</v>
      </c>
      <c r="AA1282">
        <v>0.66352352999999997</v>
      </c>
      <c r="AB1282">
        <v>0.61822703999999995</v>
      </c>
    </row>
    <row r="1283" spans="1:28" hidden="1" x14ac:dyDescent="0.25">
      <c r="A1283" t="s">
        <v>112</v>
      </c>
      <c r="B1283" t="s">
        <v>120</v>
      </c>
      <c r="C1283">
        <v>115</v>
      </c>
      <c r="D1283" t="s">
        <v>2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</row>
    <row r="1284" spans="1:28" hidden="1" x14ac:dyDescent="0.25">
      <c r="A1284" t="s">
        <v>112</v>
      </c>
      <c r="B1284" t="s">
        <v>120</v>
      </c>
      <c r="C1284">
        <v>115</v>
      </c>
      <c r="D1284" t="s">
        <v>3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</row>
    <row r="1285" spans="1:28" hidden="1" x14ac:dyDescent="0.25">
      <c r="A1285" t="s">
        <v>112</v>
      </c>
      <c r="B1285" t="s">
        <v>120</v>
      </c>
      <c r="C1285">
        <v>115</v>
      </c>
      <c r="D1285" t="s">
        <v>4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</row>
    <row r="1286" spans="1:28" x14ac:dyDescent="0.25">
      <c r="A1286" t="s">
        <v>112</v>
      </c>
      <c r="B1286" t="s">
        <v>121</v>
      </c>
      <c r="C1286">
        <v>115</v>
      </c>
      <c r="D1286" t="s">
        <v>2</v>
      </c>
      <c r="E1286">
        <v>27.099912969999998</v>
      </c>
      <c r="F1286">
        <v>26.466236859999999</v>
      </c>
      <c r="G1286">
        <v>26.190852530000001</v>
      </c>
      <c r="H1286">
        <v>25.24373563</v>
      </c>
      <c r="I1286">
        <v>26.428094704999999</v>
      </c>
      <c r="J1286">
        <v>27.754668079999998</v>
      </c>
      <c r="K1286">
        <v>28.872896225000002</v>
      </c>
      <c r="L1286">
        <v>29.94335384</v>
      </c>
      <c r="M1286">
        <v>30.511922434999999</v>
      </c>
      <c r="N1286">
        <v>31.179229400000001</v>
      </c>
      <c r="O1286">
        <v>32.248389770000003</v>
      </c>
      <c r="P1286">
        <v>32.684467984999998</v>
      </c>
      <c r="Q1286">
        <v>32.170589544999999</v>
      </c>
      <c r="R1286">
        <v>32.889710465</v>
      </c>
      <c r="S1286">
        <v>33.295239889999998</v>
      </c>
      <c r="T1286">
        <v>33.329851804999997</v>
      </c>
      <c r="U1286">
        <v>33.409514665000003</v>
      </c>
      <c r="V1286">
        <v>33.649081440000003</v>
      </c>
      <c r="W1286">
        <v>35.3720395</v>
      </c>
      <c r="X1286">
        <v>36.170736599999998</v>
      </c>
      <c r="Y1286">
        <v>34.636973400000002</v>
      </c>
      <c r="Z1286">
        <v>31.328512060000001</v>
      </c>
      <c r="AA1286">
        <v>28.369716855</v>
      </c>
      <c r="AB1286">
        <v>27.636314420000001</v>
      </c>
    </row>
    <row r="1287" spans="1:28" x14ac:dyDescent="0.25">
      <c r="A1287" t="s">
        <v>112</v>
      </c>
      <c r="B1287" t="s">
        <v>121</v>
      </c>
      <c r="C1287">
        <v>115</v>
      </c>
      <c r="D1287" t="s">
        <v>3</v>
      </c>
      <c r="E1287">
        <v>10.2265329833</v>
      </c>
      <c r="F1287">
        <v>10.013076845900001</v>
      </c>
      <c r="G1287">
        <v>10.060468921</v>
      </c>
      <c r="H1287">
        <v>9.5831485441000002</v>
      </c>
      <c r="I1287">
        <v>9.8786674419999994</v>
      </c>
      <c r="J1287">
        <v>10.128741552599999</v>
      </c>
      <c r="K1287">
        <v>11.237945337099999</v>
      </c>
      <c r="L1287">
        <v>12.235420532799999</v>
      </c>
      <c r="M1287">
        <v>12.683201495200001</v>
      </c>
      <c r="N1287">
        <v>13.3386274864</v>
      </c>
      <c r="O1287">
        <v>13.9024948075</v>
      </c>
      <c r="P1287">
        <v>14.0611033913</v>
      </c>
      <c r="Q1287">
        <v>13.8689546142</v>
      </c>
      <c r="R1287">
        <v>14.345938496500001</v>
      </c>
      <c r="S1287">
        <v>14.483146216</v>
      </c>
      <c r="T1287">
        <v>14.418593403699999</v>
      </c>
      <c r="U1287">
        <v>14.3028013101</v>
      </c>
      <c r="V1287">
        <v>14.0591221006</v>
      </c>
      <c r="W1287">
        <v>13.6888078099</v>
      </c>
      <c r="X1287">
        <v>13.4732621021</v>
      </c>
      <c r="Y1287">
        <v>12.811349573299999</v>
      </c>
      <c r="Z1287">
        <v>11.494998111399999</v>
      </c>
      <c r="AA1287">
        <v>10.595197256000001</v>
      </c>
      <c r="AB1287">
        <v>10.580287914099999</v>
      </c>
    </row>
    <row r="1288" spans="1:28" x14ac:dyDescent="0.25">
      <c r="A1288" t="s">
        <v>112</v>
      </c>
      <c r="B1288" t="s">
        <v>121</v>
      </c>
      <c r="C1288">
        <v>115</v>
      </c>
      <c r="D1288" t="s">
        <v>4</v>
      </c>
      <c r="E1288">
        <v>0.41268903000000001</v>
      </c>
      <c r="F1288">
        <v>0.40303914000000002</v>
      </c>
      <c r="G1288">
        <v>0.39884546999999998</v>
      </c>
      <c r="H1288">
        <v>0.38442237000000001</v>
      </c>
      <c r="I1288">
        <v>0.40245829500000002</v>
      </c>
      <c r="J1288">
        <v>0.42265992000000002</v>
      </c>
      <c r="K1288">
        <v>0.43968877499999998</v>
      </c>
      <c r="L1288">
        <v>0.45599015999999998</v>
      </c>
      <c r="M1288">
        <v>0.46464856500000001</v>
      </c>
      <c r="N1288">
        <v>0.47481060000000003</v>
      </c>
      <c r="O1288">
        <v>0.49109223000000002</v>
      </c>
      <c r="P1288">
        <v>0.497733015</v>
      </c>
      <c r="Q1288">
        <v>0.48990745499999999</v>
      </c>
      <c r="R1288">
        <v>0.50085853499999999</v>
      </c>
      <c r="S1288">
        <v>0.50703410999999998</v>
      </c>
      <c r="T1288">
        <v>0.50756119499999997</v>
      </c>
      <c r="U1288">
        <v>0.50877433500000002</v>
      </c>
      <c r="V1288">
        <v>0.51242255999999997</v>
      </c>
      <c r="W1288">
        <v>0.53866049999999999</v>
      </c>
      <c r="X1288">
        <v>0.55082339999999996</v>
      </c>
      <c r="Y1288">
        <v>0.52746660000000001</v>
      </c>
      <c r="Z1288">
        <v>0.47708393999999998</v>
      </c>
      <c r="AA1288">
        <v>0.43202614499999997</v>
      </c>
      <c r="AB1288">
        <v>0.42085758000000001</v>
      </c>
    </row>
    <row r="1289" spans="1:28" x14ac:dyDescent="0.25">
      <c r="A1289" t="s">
        <v>112</v>
      </c>
      <c r="B1289" t="s">
        <v>122</v>
      </c>
      <c r="C1289">
        <v>115</v>
      </c>
      <c r="D1289" t="s">
        <v>2</v>
      </c>
      <c r="E1289">
        <v>33.061577204999999</v>
      </c>
      <c r="F1289">
        <v>30.938246195000001</v>
      </c>
      <c r="G1289">
        <v>30.201898610000001</v>
      </c>
      <c r="H1289">
        <v>28.971985255</v>
      </c>
      <c r="I1289">
        <v>30.740644360000001</v>
      </c>
      <c r="J1289">
        <v>31.650674039999998</v>
      </c>
      <c r="K1289">
        <v>31.87026797</v>
      </c>
      <c r="L1289">
        <v>33.020536194999998</v>
      </c>
      <c r="M1289">
        <v>34.132500725</v>
      </c>
      <c r="N1289">
        <v>36.343616904999998</v>
      </c>
      <c r="O1289">
        <v>39.023510344999998</v>
      </c>
      <c r="P1289">
        <v>40.631614450000001</v>
      </c>
      <c r="Q1289">
        <v>41.050035555000001</v>
      </c>
      <c r="R1289">
        <v>42.165506684999997</v>
      </c>
      <c r="S1289">
        <v>41.369444459999997</v>
      </c>
      <c r="T1289">
        <v>41.412449559999999</v>
      </c>
      <c r="U1289">
        <v>41.560557115000002</v>
      </c>
      <c r="V1289">
        <v>42.258617749999999</v>
      </c>
      <c r="W1289">
        <v>47.1847505</v>
      </c>
      <c r="X1289">
        <v>51.1759311</v>
      </c>
      <c r="Y1289">
        <v>49.278289200000003</v>
      </c>
      <c r="Z1289">
        <v>44.669287050000001</v>
      </c>
      <c r="AA1289">
        <v>39.925544780000003</v>
      </c>
      <c r="AB1289">
        <v>35.426188889999999</v>
      </c>
    </row>
    <row r="1290" spans="1:28" x14ac:dyDescent="0.25">
      <c r="A1290" t="s">
        <v>112</v>
      </c>
      <c r="B1290" t="s">
        <v>122</v>
      </c>
      <c r="C1290">
        <v>115</v>
      </c>
      <c r="D1290" t="s">
        <v>3</v>
      </c>
      <c r="E1290">
        <v>7.8273865815999999</v>
      </c>
      <c r="F1290">
        <v>7.4932411987999998</v>
      </c>
      <c r="G1290">
        <v>7.4897420833000004</v>
      </c>
      <c r="H1290">
        <v>7.2737209214999998</v>
      </c>
      <c r="I1290">
        <v>7.4315460368000004</v>
      </c>
      <c r="J1290">
        <v>7.2132652366999999</v>
      </c>
      <c r="K1290">
        <v>7.2027450378999998</v>
      </c>
      <c r="L1290">
        <v>7.2394209255000002</v>
      </c>
      <c r="M1290">
        <v>7.5331775046000002</v>
      </c>
      <c r="N1290">
        <v>8.2483262798000005</v>
      </c>
      <c r="O1290">
        <v>8.6883124438999992</v>
      </c>
      <c r="P1290">
        <v>8.7477451416999994</v>
      </c>
      <c r="Q1290">
        <v>9.1790814043999998</v>
      </c>
      <c r="R1290">
        <v>9.3878560180000008</v>
      </c>
      <c r="S1290">
        <v>9.2505035189000004</v>
      </c>
      <c r="T1290">
        <v>9.2401749305000003</v>
      </c>
      <c r="U1290">
        <v>9.4323313045999999</v>
      </c>
      <c r="V1290">
        <v>9.4289766599</v>
      </c>
      <c r="W1290">
        <v>9.5069512535000005</v>
      </c>
      <c r="X1290">
        <v>9.8433367418</v>
      </c>
      <c r="Y1290">
        <v>9.3421897749999996</v>
      </c>
      <c r="Z1290">
        <v>8.6407531646999995</v>
      </c>
      <c r="AA1290">
        <v>8.0653510602999994</v>
      </c>
      <c r="AB1290">
        <v>7.6622017589000002</v>
      </c>
    </row>
    <row r="1291" spans="1:28" x14ac:dyDescent="0.25">
      <c r="A1291" t="s">
        <v>112</v>
      </c>
      <c r="B1291" t="s">
        <v>122</v>
      </c>
      <c r="C1291">
        <v>115</v>
      </c>
      <c r="D1291" t="s">
        <v>4</v>
      </c>
      <c r="E1291">
        <v>0.50347579499999995</v>
      </c>
      <c r="F1291">
        <v>0.471140805</v>
      </c>
      <c r="G1291">
        <v>0.45992738999999999</v>
      </c>
      <c r="H1291">
        <v>0.44119774499999997</v>
      </c>
      <c r="I1291">
        <v>0.46813164000000002</v>
      </c>
      <c r="J1291">
        <v>0.48198996</v>
      </c>
      <c r="K1291">
        <v>0.48533403000000003</v>
      </c>
      <c r="L1291">
        <v>0.50285080500000001</v>
      </c>
      <c r="M1291">
        <v>0.51978427500000002</v>
      </c>
      <c r="N1291">
        <v>0.55345609500000004</v>
      </c>
      <c r="O1291">
        <v>0.59426665499999998</v>
      </c>
      <c r="P1291">
        <v>0.61875555000000004</v>
      </c>
      <c r="Q1291">
        <v>0.62512744499999995</v>
      </c>
      <c r="R1291">
        <v>0.64211431500000005</v>
      </c>
      <c r="S1291">
        <v>0.62999154000000002</v>
      </c>
      <c r="T1291">
        <v>0.63064644000000003</v>
      </c>
      <c r="U1291">
        <v>0.632901885</v>
      </c>
      <c r="V1291">
        <v>0.64353225000000003</v>
      </c>
      <c r="W1291">
        <v>0.71854949999999995</v>
      </c>
      <c r="X1291">
        <v>0.77932889999999999</v>
      </c>
      <c r="Y1291">
        <v>0.75043079999999995</v>
      </c>
      <c r="Z1291">
        <v>0.68024295000000001</v>
      </c>
      <c r="AA1291">
        <v>0.60800321999999996</v>
      </c>
      <c r="AB1291">
        <v>0.53948510999999999</v>
      </c>
    </row>
    <row r="1292" spans="1:28" x14ac:dyDescent="0.25">
      <c r="A1292" t="s">
        <v>112</v>
      </c>
      <c r="B1292" t="s">
        <v>123</v>
      </c>
      <c r="C1292">
        <v>115</v>
      </c>
      <c r="D1292" t="s">
        <v>2</v>
      </c>
      <c r="E1292">
        <v>8.6069073449999998</v>
      </c>
      <c r="F1292">
        <v>7.9510697199999996</v>
      </c>
      <c r="G1292">
        <v>7.732711965</v>
      </c>
      <c r="H1292">
        <v>7.456500235</v>
      </c>
      <c r="I1292">
        <v>8.0393542849999999</v>
      </c>
      <c r="J1292">
        <v>8.8156386950000005</v>
      </c>
      <c r="K1292">
        <v>9.2106315750000007</v>
      </c>
      <c r="L1292">
        <v>9.8096573550000006</v>
      </c>
      <c r="M1292">
        <v>10.504271474999999</v>
      </c>
      <c r="N1292">
        <v>11.96572484</v>
      </c>
      <c r="O1292">
        <v>13.62716374</v>
      </c>
      <c r="P1292">
        <v>14.443816405</v>
      </c>
      <c r="Q1292">
        <v>14.75065474</v>
      </c>
      <c r="R1292">
        <v>14.811749365000001</v>
      </c>
      <c r="S1292">
        <v>14.287992360000001</v>
      </c>
      <c r="T1292">
        <v>14.30284616</v>
      </c>
      <c r="U1292">
        <v>14.34974004</v>
      </c>
      <c r="V1292">
        <v>14.688230365000001</v>
      </c>
      <c r="W1292">
        <v>16.228958500000001</v>
      </c>
      <c r="X1292">
        <v>16.934868600000001</v>
      </c>
      <c r="Y1292">
        <v>15.5012208</v>
      </c>
      <c r="Z1292">
        <v>13.130483399999999</v>
      </c>
      <c r="AA1292">
        <v>10.859637805</v>
      </c>
      <c r="AB1292">
        <v>9.4205104500000001</v>
      </c>
    </row>
    <row r="1293" spans="1:28" x14ac:dyDescent="0.25">
      <c r="A1293" t="s">
        <v>112</v>
      </c>
      <c r="B1293" t="s">
        <v>123</v>
      </c>
      <c r="C1293">
        <v>115</v>
      </c>
      <c r="D1293" t="s">
        <v>3</v>
      </c>
      <c r="E1293">
        <v>4.0606411048000002</v>
      </c>
      <c r="F1293">
        <v>3.6457370243999998</v>
      </c>
      <c r="G1293">
        <v>3.5433696100000001</v>
      </c>
      <c r="H1293">
        <v>3.4146346724000001</v>
      </c>
      <c r="I1293">
        <v>3.8502694539000002</v>
      </c>
      <c r="J1293">
        <v>3.6779402973000002</v>
      </c>
      <c r="K1293">
        <v>3.700821344</v>
      </c>
      <c r="L1293">
        <v>3.9567716202000001</v>
      </c>
      <c r="M1293">
        <v>4.2565111116000001</v>
      </c>
      <c r="N1293">
        <v>4.7854187414</v>
      </c>
      <c r="O1293">
        <v>5.3299006041999997</v>
      </c>
      <c r="P1293">
        <v>5.4459022454000001</v>
      </c>
      <c r="Q1293">
        <v>5.6896163420999999</v>
      </c>
      <c r="R1293">
        <v>5.8119549478000003</v>
      </c>
      <c r="S1293">
        <v>5.6918151002000004</v>
      </c>
      <c r="T1293">
        <v>5.6032259217</v>
      </c>
      <c r="U1293">
        <v>5.5120433186</v>
      </c>
      <c r="V1293">
        <v>5.5807505238999999</v>
      </c>
      <c r="W1293">
        <v>5.6169426369000002</v>
      </c>
      <c r="X1293">
        <v>5.5481731542999997</v>
      </c>
      <c r="Y1293">
        <v>5.1005034687000004</v>
      </c>
      <c r="Z1293">
        <v>4.5265351175999999</v>
      </c>
      <c r="AA1293">
        <v>4.1015498465000002</v>
      </c>
      <c r="AB1293">
        <v>4.0527742870000001</v>
      </c>
    </row>
    <row r="1294" spans="1:28" x14ac:dyDescent="0.25">
      <c r="A1294" t="s">
        <v>112</v>
      </c>
      <c r="B1294" t="s">
        <v>123</v>
      </c>
      <c r="C1294">
        <v>115</v>
      </c>
      <c r="D1294" t="s">
        <v>4</v>
      </c>
      <c r="E1294">
        <v>0.13106965500000001</v>
      </c>
      <c r="F1294">
        <v>0.12108228</v>
      </c>
      <c r="G1294">
        <v>0.117757035</v>
      </c>
      <c r="H1294">
        <v>0.113550765</v>
      </c>
      <c r="I1294">
        <v>0.12242671500000001</v>
      </c>
      <c r="J1294">
        <v>0.13424830500000001</v>
      </c>
      <c r="K1294">
        <v>0.140263425</v>
      </c>
      <c r="L1294">
        <v>0.14938564500000001</v>
      </c>
      <c r="M1294">
        <v>0.159963525</v>
      </c>
      <c r="N1294">
        <v>0.18221915999999999</v>
      </c>
      <c r="O1294">
        <v>0.20752026000000001</v>
      </c>
      <c r="P1294">
        <v>0.219956595</v>
      </c>
      <c r="Q1294">
        <v>0.22462926</v>
      </c>
      <c r="R1294">
        <v>0.22555963500000001</v>
      </c>
      <c r="S1294">
        <v>0.21758363999999999</v>
      </c>
      <c r="T1294">
        <v>0.21780984</v>
      </c>
      <c r="U1294">
        <v>0.21852395999999999</v>
      </c>
      <c r="V1294">
        <v>0.22367863499999999</v>
      </c>
      <c r="W1294">
        <v>0.24714149999999999</v>
      </c>
      <c r="X1294">
        <v>0.25789139999999999</v>
      </c>
      <c r="Y1294">
        <v>0.2360592</v>
      </c>
      <c r="Z1294">
        <v>0.19995660000000001</v>
      </c>
      <c r="AA1294">
        <v>0.165375195</v>
      </c>
      <c r="AB1294">
        <v>0.14345954999999999</v>
      </c>
    </row>
    <row r="1295" spans="1:28" x14ac:dyDescent="0.25">
      <c r="A1295" t="s">
        <v>112</v>
      </c>
      <c r="B1295" t="s">
        <v>124</v>
      </c>
      <c r="C1295">
        <v>115</v>
      </c>
      <c r="D1295" t="s">
        <v>2</v>
      </c>
      <c r="E1295">
        <v>37.424252525</v>
      </c>
      <c r="F1295">
        <v>34.887650975</v>
      </c>
      <c r="G1295">
        <v>33.659823850000002</v>
      </c>
      <c r="H1295">
        <v>32.06869425</v>
      </c>
      <c r="I1295">
        <v>32.970137684999997</v>
      </c>
      <c r="J1295">
        <v>34.417967515000001</v>
      </c>
      <c r="K1295">
        <v>36.158117765</v>
      </c>
      <c r="L1295">
        <v>38.264492984999997</v>
      </c>
      <c r="M1295">
        <v>41.031514600000001</v>
      </c>
      <c r="N1295">
        <v>44.346487775</v>
      </c>
      <c r="O1295">
        <v>48.591518635</v>
      </c>
      <c r="P1295">
        <v>50.236447949999999</v>
      </c>
      <c r="Q1295">
        <v>51.442679935000001</v>
      </c>
      <c r="R1295">
        <v>52.702270355000003</v>
      </c>
      <c r="S1295">
        <v>52.978438744999998</v>
      </c>
      <c r="T1295">
        <v>53.033512064999996</v>
      </c>
      <c r="U1295">
        <v>52.536400295</v>
      </c>
      <c r="V1295">
        <v>52.791124250000003</v>
      </c>
      <c r="W1295">
        <v>56.353721499999999</v>
      </c>
      <c r="X1295">
        <v>58.900714800000003</v>
      </c>
      <c r="Y1295">
        <v>54.936464100000002</v>
      </c>
      <c r="Z1295">
        <v>49.070051335000002</v>
      </c>
      <c r="AA1295">
        <v>43.759166749999999</v>
      </c>
      <c r="AB1295">
        <v>39.730897945000002</v>
      </c>
    </row>
    <row r="1296" spans="1:28" x14ac:dyDescent="0.25">
      <c r="A1296" t="s">
        <v>112</v>
      </c>
      <c r="B1296" t="s">
        <v>124</v>
      </c>
      <c r="C1296">
        <v>115</v>
      </c>
      <c r="D1296" t="s">
        <v>3</v>
      </c>
      <c r="E1296">
        <v>12.0600361716</v>
      </c>
      <c r="F1296">
        <v>11.565756824199999</v>
      </c>
      <c r="G1296">
        <v>11.4178089107</v>
      </c>
      <c r="H1296">
        <v>10.9890067073</v>
      </c>
      <c r="I1296">
        <v>11.0112657711</v>
      </c>
      <c r="J1296">
        <v>10.6130589998</v>
      </c>
      <c r="K1296">
        <v>11.3896279324</v>
      </c>
      <c r="L1296">
        <v>12.039120005099999</v>
      </c>
      <c r="M1296">
        <v>13.17812949</v>
      </c>
      <c r="N1296">
        <v>14.2907395757</v>
      </c>
      <c r="O1296">
        <v>15.4478350064</v>
      </c>
      <c r="P1296">
        <v>15.7505874187</v>
      </c>
      <c r="Q1296">
        <v>17.4142244459</v>
      </c>
      <c r="R1296">
        <v>17.582843585999999</v>
      </c>
      <c r="S1296">
        <v>17.413170728400001</v>
      </c>
      <c r="T1296">
        <v>17.0328221153</v>
      </c>
      <c r="U1296">
        <v>16.5294762441</v>
      </c>
      <c r="V1296">
        <v>16.3764485134</v>
      </c>
      <c r="W1296">
        <v>16.128546155199999</v>
      </c>
      <c r="X1296">
        <v>16.294331827299999</v>
      </c>
      <c r="Y1296">
        <v>15.131000390800001</v>
      </c>
      <c r="Z1296">
        <v>13.455482392</v>
      </c>
      <c r="AA1296">
        <v>12.575496387799999</v>
      </c>
      <c r="AB1296">
        <v>12.1030239639</v>
      </c>
    </row>
    <row r="1297" spans="1:28" x14ac:dyDescent="0.25">
      <c r="A1297" t="s">
        <v>112</v>
      </c>
      <c r="B1297" t="s">
        <v>124</v>
      </c>
      <c r="C1297">
        <v>115</v>
      </c>
      <c r="D1297" t="s">
        <v>4</v>
      </c>
      <c r="E1297">
        <v>0.56991247499999997</v>
      </c>
      <c r="F1297">
        <v>0.53128402500000005</v>
      </c>
      <c r="G1297">
        <v>0.51258614999999996</v>
      </c>
      <c r="H1297">
        <v>0.48835574999999998</v>
      </c>
      <c r="I1297">
        <v>0.50208331500000003</v>
      </c>
      <c r="J1297">
        <v>0.52413148499999995</v>
      </c>
      <c r="K1297">
        <v>0.550631235</v>
      </c>
      <c r="L1297">
        <v>0.58270801500000002</v>
      </c>
      <c r="M1297">
        <v>0.6248454</v>
      </c>
      <c r="N1297">
        <v>0.67532722499999998</v>
      </c>
      <c r="O1297">
        <v>0.73997236499999997</v>
      </c>
      <c r="P1297">
        <v>0.76502205000000001</v>
      </c>
      <c r="Q1297">
        <v>0.783391065</v>
      </c>
      <c r="R1297">
        <v>0.80257264500000003</v>
      </c>
      <c r="S1297">
        <v>0.806778255</v>
      </c>
      <c r="T1297">
        <v>0.80761693499999998</v>
      </c>
      <c r="U1297">
        <v>0.80004670499999997</v>
      </c>
      <c r="V1297">
        <v>0.80392574999999999</v>
      </c>
      <c r="W1297">
        <v>0.85817849999999996</v>
      </c>
      <c r="X1297">
        <v>0.89696520000000002</v>
      </c>
      <c r="Y1297">
        <v>0.83659589999999995</v>
      </c>
      <c r="Z1297">
        <v>0.74725966499999996</v>
      </c>
      <c r="AA1297">
        <v>0.66638324999999998</v>
      </c>
      <c r="AB1297">
        <v>0.60503905499999999</v>
      </c>
    </row>
    <row r="1298" spans="1:28" x14ac:dyDescent="0.25">
      <c r="A1298" t="s">
        <v>112</v>
      </c>
      <c r="B1298" t="s">
        <v>125</v>
      </c>
      <c r="C1298">
        <v>115</v>
      </c>
      <c r="D1298" t="s">
        <v>2</v>
      </c>
      <c r="E1298">
        <v>18.453524855000001</v>
      </c>
      <c r="F1298">
        <v>17.335571524999999</v>
      </c>
      <c r="G1298">
        <v>16.868374204999999</v>
      </c>
      <c r="H1298">
        <v>16.107906925000002</v>
      </c>
      <c r="I1298">
        <v>16.774280109999999</v>
      </c>
      <c r="J1298">
        <v>17.631278375000001</v>
      </c>
      <c r="K1298">
        <v>18.627408875</v>
      </c>
      <c r="L1298">
        <v>20.907544004999998</v>
      </c>
      <c r="M1298">
        <v>23.362686055000001</v>
      </c>
      <c r="N1298">
        <v>25.551866284999999</v>
      </c>
      <c r="O1298">
        <v>28.248406225</v>
      </c>
      <c r="P1298">
        <v>29.064372344999999</v>
      </c>
      <c r="Q1298">
        <v>29.234985179999999</v>
      </c>
      <c r="R1298">
        <v>29.949504180000002</v>
      </c>
      <c r="S1298">
        <v>30.98212302</v>
      </c>
      <c r="T1298">
        <v>31.01433055</v>
      </c>
      <c r="U1298">
        <v>30.456592029999999</v>
      </c>
      <c r="V1298">
        <v>29.586877415</v>
      </c>
      <c r="W1298">
        <v>31.292268</v>
      </c>
      <c r="X1298">
        <v>30.7469523</v>
      </c>
      <c r="Y1298">
        <v>28.468588199999999</v>
      </c>
      <c r="Z1298">
        <v>24.532461219999998</v>
      </c>
      <c r="AA1298">
        <v>21.572710565000001</v>
      </c>
      <c r="AB1298">
        <v>19.626768205000001</v>
      </c>
    </row>
    <row r="1299" spans="1:28" x14ac:dyDescent="0.25">
      <c r="A1299" t="s">
        <v>112</v>
      </c>
      <c r="B1299" t="s">
        <v>125</v>
      </c>
      <c r="C1299">
        <v>115</v>
      </c>
      <c r="D1299" t="s">
        <v>3</v>
      </c>
      <c r="E1299">
        <v>6.2916247303999997</v>
      </c>
      <c r="F1299">
        <v>6.0473031039</v>
      </c>
      <c r="G1299">
        <v>6.1279961619999996</v>
      </c>
      <c r="H1299">
        <v>5.6464302946</v>
      </c>
      <c r="I1299">
        <v>5.7422726203999996</v>
      </c>
      <c r="J1299">
        <v>5.6371701560999998</v>
      </c>
      <c r="K1299">
        <v>5.8947562267000002</v>
      </c>
      <c r="L1299">
        <v>6.8124412693999998</v>
      </c>
      <c r="M1299">
        <v>8.0699616273999997</v>
      </c>
      <c r="N1299">
        <v>8.7998437639000002</v>
      </c>
      <c r="O1299">
        <v>9.8733401529000009</v>
      </c>
      <c r="P1299">
        <v>10.257064440000001</v>
      </c>
      <c r="Q1299">
        <v>10.649627732200001</v>
      </c>
      <c r="R1299">
        <v>10.919818795899999</v>
      </c>
      <c r="S1299">
        <v>11.296319540300001</v>
      </c>
      <c r="T1299">
        <v>10.7660742002</v>
      </c>
      <c r="U1299">
        <v>10.912228024899999</v>
      </c>
      <c r="V1299">
        <v>10.551053677200001</v>
      </c>
      <c r="W1299">
        <v>9.8225190608999995</v>
      </c>
      <c r="X1299">
        <v>9.2853151953000008</v>
      </c>
      <c r="Y1299">
        <v>8.4567122068000007</v>
      </c>
      <c r="Z1299">
        <v>7.3155548733</v>
      </c>
      <c r="AA1299">
        <v>6.4984724834999996</v>
      </c>
      <c r="AB1299">
        <v>6.2038498797999999</v>
      </c>
    </row>
    <row r="1300" spans="1:28" x14ac:dyDescent="0.25">
      <c r="A1300" t="s">
        <v>112</v>
      </c>
      <c r="B1300" t="s">
        <v>125</v>
      </c>
      <c r="C1300">
        <v>115</v>
      </c>
      <c r="D1300" t="s">
        <v>4</v>
      </c>
      <c r="E1300">
        <v>0.281018145</v>
      </c>
      <c r="F1300">
        <v>0.26399347499999998</v>
      </c>
      <c r="G1300">
        <v>0.25687879499999999</v>
      </c>
      <c r="H1300">
        <v>0.245298075</v>
      </c>
      <c r="I1300">
        <v>0.25544589000000001</v>
      </c>
      <c r="J1300">
        <v>0.26849662499999999</v>
      </c>
      <c r="K1300">
        <v>0.28366612499999999</v>
      </c>
      <c r="L1300">
        <v>0.31838899500000001</v>
      </c>
      <c r="M1300">
        <v>0.35577694500000001</v>
      </c>
      <c r="N1300">
        <v>0.389114715</v>
      </c>
      <c r="O1300">
        <v>0.43017877500000001</v>
      </c>
      <c r="P1300">
        <v>0.44260465500000001</v>
      </c>
      <c r="Q1300">
        <v>0.44520282</v>
      </c>
      <c r="R1300">
        <v>0.45608381999999997</v>
      </c>
      <c r="S1300">
        <v>0.47180897999999999</v>
      </c>
      <c r="T1300">
        <v>0.47229945000000001</v>
      </c>
      <c r="U1300">
        <v>0.46380597000000001</v>
      </c>
      <c r="V1300">
        <v>0.45056158499999999</v>
      </c>
      <c r="W1300">
        <v>0.47653200000000001</v>
      </c>
      <c r="X1300">
        <v>0.46822770000000002</v>
      </c>
      <c r="Y1300">
        <v>0.43353180000000002</v>
      </c>
      <c r="Z1300">
        <v>0.37359078000000001</v>
      </c>
      <c r="AA1300">
        <v>0.328518435</v>
      </c>
      <c r="AB1300">
        <v>0.29888479499999998</v>
      </c>
    </row>
    <row r="1301" spans="1:28" x14ac:dyDescent="0.25">
      <c r="A1301" t="s">
        <v>112</v>
      </c>
      <c r="B1301" t="s">
        <v>126</v>
      </c>
      <c r="C1301">
        <v>115</v>
      </c>
      <c r="D1301" t="s">
        <v>2</v>
      </c>
      <c r="E1301">
        <v>32.512788395000001</v>
      </c>
      <c r="F1301">
        <v>30.829992725</v>
      </c>
      <c r="G1301">
        <v>30.070028780000001</v>
      </c>
      <c r="H1301">
        <v>28.763863619999999</v>
      </c>
      <c r="I1301">
        <v>29.836400569999999</v>
      </c>
      <c r="J1301">
        <v>31.226433555</v>
      </c>
      <c r="K1301">
        <v>33.548302149999998</v>
      </c>
      <c r="L1301">
        <v>36.753213395000003</v>
      </c>
      <c r="M1301">
        <v>40.347230175</v>
      </c>
      <c r="N1301">
        <v>43.448093900000003</v>
      </c>
      <c r="O1301">
        <v>46.473183544999998</v>
      </c>
      <c r="P1301">
        <v>47.469573099999998</v>
      </c>
      <c r="Q1301">
        <v>47.338886254999998</v>
      </c>
      <c r="R1301">
        <v>48.519550594999998</v>
      </c>
      <c r="S1301">
        <v>48.494836945000003</v>
      </c>
      <c r="T1301">
        <v>48.545249245000001</v>
      </c>
      <c r="U1301">
        <v>47.606727454999998</v>
      </c>
      <c r="V1301">
        <v>46.209768935</v>
      </c>
      <c r="W1301">
        <v>48.007914999999997</v>
      </c>
      <c r="X1301">
        <v>48.856669799999999</v>
      </c>
      <c r="Y1301">
        <v>46.297285199999997</v>
      </c>
      <c r="Z1301">
        <v>41.627734115000003</v>
      </c>
      <c r="AA1301">
        <v>36.962159475</v>
      </c>
      <c r="AB1301">
        <v>34.391200140000002</v>
      </c>
    </row>
    <row r="1302" spans="1:28" x14ac:dyDescent="0.25">
      <c r="A1302" t="s">
        <v>112</v>
      </c>
      <c r="B1302" t="s">
        <v>126</v>
      </c>
      <c r="C1302">
        <v>115</v>
      </c>
      <c r="D1302" t="s">
        <v>3</v>
      </c>
      <c r="E1302">
        <v>8.2474773766999991</v>
      </c>
      <c r="F1302">
        <v>8.0448596989999999</v>
      </c>
      <c r="G1302">
        <v>7.8846392608000002</v>
      </c>
      <c r="H1302">
        <v>7.6984148344000003</v>
      </c>
      <c r="I1302">
        <v>7.7476495536999996</v>
      </c>
      <c r="J1302">
        <v>7.0274055213000004</v>
      </c>
      <c r="K1302">
        <v>8.5680819931999999</v>
      </c>
      <c r="L1302">
        <v>11.0435596892</v>
      </c>
      <c r="M1302">
        <v>12.4263940359</v>
      </c>
      <c r="N1302">
        <v>12.8898240283</v>
      </c>
      <c r="O1302">
        <v>13.858255856</v>
      </c>
      <c r="P1302">
        <v>14.4247818064</v>
      </c>
      <c r="Q1302">
        <v>13.5670863878</v>
      </c>
      <c r="R1302">
        <v>14.3943821917</v>
      </c>
      <c r="S1302">
        <v>13.8983760338</v>
      </c>
      <c r="T1302">
        <v>14.290254539199999</v>
      </c>
      <c r="U1302">
        <v>13.550103182300001</v>
      </c>
      <c r="V1302">
        <v>12.2136732375</v>
      </c>
      <c r="W1302">
        <v>11.299777265299999</v>
      </c>
      <c r="X1302">
        <v>11.656194639400001</v>
      </c>
      <c r="Y1302">
        <v>11.171491269600001</v>
      </c>
      <c r="Z1302">
        <v>10.341569614799999</v>
      </c>
      <c r="AA1302">
        <v>8.8352301483000009</v>
      </c>
      <c r="AB1302">
        <v>9.3743365924000006</v>
      </c>
    </row>
    <row r="1303" spans="1:28" x14ac:dyDescent="0.25">
      <c r="A1303" t="s">
        <v>112</v>
      </c>
      <c r="B1303" t="s">
        <v>126</v>
      </c>
      <c r="C1303">
        <v>115</v>
      </c>
      <c r="D1303" t="s">
        <v>4</v>
      </c>
      <c r="E1303">
        <v>0.49511860499999999</v>
      </c>
      <c r="F1303">
        <v>0.46949227500000001</v>
      </c>
      <c r="G1303">
        <v>0.45791922000000002</v>
      </c>
      <c r="H1303">
        <v>0.43802837999999999</v>
      </c>
      <c r="I1303">
        <v>0.45436143000000001</v>
      </c>
      <c r="J1303">
        <v>0.475529445</v>
      </c>
      <c r="K1303">
        <v>0.51088785000000003</v>
      </c>
      <c r="L1303">
        <v>0.55969360499999998</v>
      </c>
      <c r="M1303">
        <v>0.61442482499999995</v>
      </c>
      <c r="N1303">
        <v>0.66164610000000001</v>
      </c>
      <c r="O1303">
        <v>0.70771345500000005</v>
      </c>
      <c r="P1303">
        <v>0.7228869</v>
      </c>
      <c r="Q1303">
        <v>0.72089674500000001</v>
      </c>
      <c r="R1303">
        <v>0.73887640499999996</v>
      </c>
      <c r="S1303">
        <v>0.73850005500000004</v>
      </c>
      <c r="T1303">
        <v>0.73926775499999997</v>
      </c>
      <c r="U1303">
        <v>0.72497554500000005</v>
      </c>
      <c r="V1303">
        <v>0.70370206499999999</v>
      </c>
      <c r="W1303">
        <v>0.73108499999999998</v>
      </c>
      <c r="X1303">
        <v>0.74401019999999995</v>
      </c>
      <c r="Y1303">
        <v>0.70503479999999996</v>
      </c>
      <c r="Z1303">
        <v>0.63392488499999999</v>
      </c>
      <c r="AA1303">
        <v>0.56287552500000004</v>
      </c>
      <c r="AB1303">
        <v>0.52372386000000004</v>
      </c>
    </row>
    <row r="1304" spans="1:28" x14ac:dyDescent="0.25">
      <c r="A1304" t="s">
        <v>112</v>
      </c>
      <c r="B1304" t="s">
        <v>127</v>
      </c>
      <c r="C1304">
        <v>115</v>
      </c>
      <c r="D1304" t="s">
        <v>2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</row>
    <row r="1305" spans="1:28" x14ac:dyDescent="0.25">
      <c r="A1305" t="s">
        <v>112</v>
      </c>
      <c r="B1305" t="s">
        <v>127</v>
      </c>
      <c r="C1305">
        <v>115</v>
      </c>
      <c r="D1305" t="s">
        <v>3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</row>
    <row r="1306" spans="1:28" x14ac:dyDescent="0.25">
      <c r="A1306" t="s">
        <v>112</v>
      </c>
      <c r="B1306" t="s">
        <v>127</v>
      </c>
      <c r="C1306">
        <v>115</v>
      </c>
      <c r="D1306" t="s">
        <v>4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</row>
    <row r="1307" spans="1:28" hidden="1" x14ac:dyDescent="0.25">
      <c r="A1307" t="s">
        <v>112</v>
      </c>
      <c r="B1307" t="s">
        <v>128</v>
      </c>
      <c r="C1307">
        <v>115</v>
      </c>
      <c r="D1307" t="s">
        <v>2</v>
      </c>
      <c r="E1307">
        <v>16.28995364</v>
      </c>
      <c r="F1307">
        <v>15.681898365</v>
      </c>
      <c r="G1307">
        <v>16.531373200000001</v>
      </c>
      <c r="H1307">
        <v>22.983102514999999</v>
      </c>
      <c r="I1307">
        <v>16.507033849999999</v>
      </c>
      <c r="J1307">
        <v>22.671566715000001</v>
      </c>
      <c r="K1307">
        <v>17.864666244999999</v>
      </c>
      <c r="L1307">
        <v>14.329838114999999</v>
      </c>
      <c r="M1307">
        <v>22.90309195</v>
      </c>
      <c r="N1307">
        <v>23.093684525</v>
      </c>
      <c r="O1307">
        <v>20.15376389</v>
      </c>
      <c r="P1307">
        <v>22.598174364999998</v>
      </c>
      <c r="Q1307">
        <v>22.401383185</v>
      </c>
      <c r="R1307">
        <v>22.488270034999999</v>
      </c>
      <c r="S1307">
        <v>23.069155070000001</v>
      </c>
      <c r="T1307">
        <v>23.093136865000002</v>
      </c>
      <c r="U1307">
        <v>23.275620920000001</v>
      </c>
      <c r="V1307">
        <v>21.520917295</v>
      </c>
      <c r="W1307">
        <v>24.106102</v>
      </c>
      <c r="X1307">
        <v>24.2396286</v>
      </c>
      <c r="Y1307">
        <v>23.9454879</v>
      </c>
      <c r="Z1307">
        <v>23.578449320000001</v>
      </c>
      <c r="AA1307">
        <v>23.18493788</v>
      </c>
      <c r="AB1307">
        <v>22.773979135000001</v>
      </c>
    </row>
    <row r="1308" spans="1:28" hidden="1" x14ac:dyDescent="0.25">
      <c r="A1308" t="s">
        <v>112</v>
      </c>
      <c r="B1308" t="s">
        <v>128</v>
      </c>
      <c r="C1308">
        <v>115</v>
      </c>
      <c r="D1308" t="s">
        <v>3</v>
      </c>
      <c r="E1308">
        <v>6.8705547785999999</v>
      </c>
      <c r="F1308">
        <v>6.2274386000000002</v>
      </c>
      <c r="G1308">
        <v>7.6757083372999997</v>
      </c>
      <c r="H1308">
        <v>9.2274232365</v>
      </c>
      <c r="I1308">
        <v>6.6991631388000004</v>
      </c>
      <c r="J1308">
        <v>9.2220097105000001</v>
      </c>
      <c r="K1308">
        <v>6.8564832954000003</v>
      </c>
      <c r="L1308">
        <v>5.9653828792999999</v>
      </c>
      <c r="M1308">
        <v>8.7019633559000003</v>
      </c>
      <c r="N1308">
        <v>9.5642702094000001</v>
      </c>
      <c r="O1308">
        <v>9.0763680751999996</v>
      </c>
      <c r="P1308">
        <v>9.1361382757000005</v>
      </c>
      <c r="Q1308">
        <v>9.4005557854999999</v>
      </c>
      <c r="R1308">
        <v>9.9490836058000003</v>
      </c>
      <c r="S1308">
        <v>9.9037583557000008</v>
      </c>
      <c r="T1308">
        <v>8.8927242096000008</v>
      </c>
      <c r="U1308">
        <v>9.6823245837999998</v>
      </c>
      <c r="V1308">
        <v>9.1548920544999994</v>
      </c>
      <c r="W1308">
        <v>9.7457731585000005</v>
      </c>
      <c r="X1308">
        <v>10.340647499899999</v>
      </c>
      <c r="Y1308">
        <v>9.8214767217999999</v>
      </c>
      <c r="Z1308">
        <v>9.7650359852000008</v>
      </c>
      <c r="AA1308">
        <v>9.3373349570999995</v>
      </c>
      <c r="AB1308">
        <v>9.2072137822000002</v>
      </c>
    </row>
    <row r="1309" spans="1:28" hidden="1" x14ac:dyDescent="0.25">
      <c r="A1309" t="s">
        <v>112</v>
      </c>
      <c r="B1309" t="s">
        <v>128</v>
      </c>
      <c r="C1309">
        <v>115</v>
      </c>
      <c r="D1309" t="s">
        <v>4</v>
      </c>
      <c r="E1309">
        <v>0.24807035999999999</v>
      </c>
      <c r="F1309">
        <v>0.23881063499999999</v>
      </c>
      <c r="G1309">
        <v>0.25174679999999999</v>
      </c>
      <c r="H1309">
        <v>0.34999648500000002</v>
      </c>
      <c r="I1309">
        <v>0.25137615000000002</v>
      </c>
      <c r="J1309">
        <v>0.34525228499999999</v>
      </c>
      <c r="K1309">
        <v>0.27205075499999998</v>
      </c>
      <c r="L1309">
        <v>0.218220885</v>
      </c>
      <c r="M1309">
        <v>0.34877805000000001</v>
      </c>
      <c r="N1309">
        <v>0.35168047499999999</v>
      </c>
      <c r="O1309">
        <v>0.30691011000000001</v>
      </c>
      <c r="P1309">
        <v>0.34413463500000002</v>
      </c>
      <c r="Q1309">
        <v>0.34113781500000001</v>
      </c>
      <c r="R1309">
        <v>0.34246096500000001</v>
      </c>
      <c r="S1309">
        <v>0.35130693000000002</v>
      </c>
      <c r="T1309">
        <v>0.351672135</v>
      </c>
      <c r="U1309">
        <v>0.35445107999999997</v>
      </c>
      <c r="V1309">
        <v>0.32772970499999998</v>
      </c>
      <c r="W1309">
        <v>0.36709799999999998</v>
      </c>
      <c r="X1309">
        <v>0.3691314</v>
      </c>
      <c r="Y1309">
        <v>0.36465209999999998</v>
      </c>
      <c r="Z1309">
        <v>0.35906268000000002</v>
      </c>
      <c r="AA1309">
        <v>0.35307011999999999</v>
      </c>
      <c r="AB1309">
        <v>0.346811865</v>
      </c>
    </row>
    <row r="1310" spans="1:28" x14ac:dyDescent="0.25">
      <c r="A1310" t="s">
        <v>112</v>
      </c>
      <c r="B1310" t="s">
        <v>129</v>
      </c>
      <c r="C1310">
        <v>115</v>
      </c>
      <c r="D1310" t="s">
        <v>2</v>
      </c>
      <c r="E1310">
        <v>4.350830695</v>
      </c>
      <c r="F1310">
        <v>4.1248510100000004</v>
      </c>
      <c r="G1310">
        <v>4.0623291200000002</v>
      </c>
      <c r="H1310">
        <v>3.9291955349999999</v>
      </c>
      <c r="I1310">
        <v>4.2210273950000001</v>
      </c>
      <c r="J1310">
        <v>4.6355085000000003</v>
      </c>
      <c r="K1310">
        <v>5.1907717150000003</v>
      </c>
      <c r="L1310">
        <v>5.2621645150000003</v>
      </c>
      <c r="M1310">
        <v>5.4487402600000001</v>
      </c>
      <c r="N1310">
        <v>5.8753861150000004</v>
      </c>
      <c r="O1310">
        <v>6.3017492749999997</v>
      </c>
      <c r="P1310">
        <v>6.4722921749999998</v>
      </c>
      <c r="Q1310">
        <v>6.4522759900000004</v>
      </c>
      <c r="R1310">
        <v>6.4032515549999998</v>
      </c>
      <c r="S1310">
        <v>6.2447955899999998</v>
      </c>
      <c r="T1310">
        <v>6.2512867400000003</v>
      </c>
      <c r="U1310">
        <v>6.2780117600000001</v>
      </c>
      <c r="V1310">
        <v>6.4644574849999996</v>
      </c>
      <c r="W1310">
        <v>7.0900299999999996</v>
      </c>
      <c r="X1310">
        <v>7.3838948999999996</v>
      </c>
      <c r="Y1310">
        <v>6.7301897999999998</v>
      </c>
      <c r="Z1310">
        <v>5.8574266100000001</v>
      </c>
      <c r="AA1310">
        <v>5.0885947099999997</v>
      </c>
      <c r="AB1310">
        <v>4.5961951799999996</v>
      </c>
    </row>
    <row r="1311" spans="1:28" x14ac:dyDescent="0.25">
      <c r="A1311" t="s">
        <v>112</v>
      </c>
      <c r="B1311" t="s">
        <v>129</v>
      </c>
      <c r="C1311">
        <v>115</v>
      </c>
      <c r="D1311" t="s">
        <v>3</v>
      </c>
      <c r="E1311">
        <v>1.4818855787</v>
      </c>
      <c r="F1311">
        <v>1.5025876509</v>
      </c>
      <c r="G1311">
        <v>1.503884716</v>
      </c>
      <c r="H1311">
        <v>1.4584556580000001</v>
      </c>
      <c r="I1311">
        <v>1.5165753732</v>
      </c>
      <c r="J1311">
        <v>1.4414183035999999</v>
      </c>
      <c r="K1311">
        <v>1.3999925444000001</v>
      </c>
      <c r="L1311">
        <v>1.1171207239000001</v>
      </c>
      <c r="M1311">
        <v>0.84089389069999998</v>
      </c>
      <c r="N1311">
        <v>0.71383983719999999</v>
      </c>
      <c r="O1311">
        <v>0.6875915306</v>
      </c>
      <c r="P1311">
        <v>1.3006465876</v>
      </c>
      <c r="Q1311">
        <v>1.7295720972999999</v>
      </c>
      <c r="R1311">
        <v>1.7427778907</v>
      </c>
      <c r="S1311">
        <v>1.709842817</v>
      </c>
      <c r="T1311">
        <v>1.3112925993</v>
      </c>
      <c r="U1311">
        <v>1.7342169653999999</v>
      </c>
      <c r="V1311">
        <v>1.7113212395999999</v>
      </c>
      <c r="W1311">
        <v>1.5887897611999999</v>
      </c>
      <c r="X1311">
        <v>1.6581844497</v>
      </c>
      <c r="Y1311">
        <v>1.5810035987</v>
      </c>
      <c r="Z1311">
        <v>1.4577368179000001</v>
      </c>
      <c r="AA1311">
        <v>1.3974095649</v>
      </c>
      <c r="AB1311">
        <v>1.3081957583999999</v>
      </c>
    </row>
    <row r="1312" spans="1:28" x14ac:dyDescent="0.25">
      <c r="A1312" t="s">
        <v>112</v>
      </c>
      <c r="B1312" t="s">
        <v>129</v>
      </c>
      <c r="C1312">
        <v>115</v>
      </c>
      <c r="D1312" t="s">
        <v>4</v>
      </c>
      <c r="E1312">
        <v>6.6256305000000001E-2</v>
      </c>
      <c r="F1312">
        <v>6.2814990000000001E-2</v>
      </c>
      <c r="G1312">
        <v>6.1862880000000002E-2</v>
      </c>
      <c r="H1312">
        <v>5.9835464999999997E-2</v>
      </c>
      <c r="I1312">
        <v>6.4279605000000004E-2</v>
      </c>
      <c r="J1312">
        <v>7.0591500000000001E-2</v>
      </c>
      <c r="K1312">
        <v>7.9047284999999995E-2</v>
      </c>
      <c r="L1312">
        <v>8.0134485000000005E-2</v>
      </c>
      <c r="M1312">
        <v>8.2975740000000006E-2</v>
      </c>
      <c r="N1312">
        <v>8.9472885000000002E-2</v>
      </c>
      <c r="O1312">
        <v>9.5965725000000002E-2</v>
      </c>
      <c r="P1312">
        <v>9.8562825000000007E-2</v>
      </c>
      <c r="Q1312">
        <v>9.8258010000000007E-2</v>
      </c>
      <c r="R1312">
        <v>9.7511445000000002E-2</v>
      </c>
      <c r="S1312">
        <v>9.5098409999999994E-2</v>
      </c>
      <c r="T1312">
        <v>9.5197260000000006E-2</v>
      </c>
      <c r="U1312">
        <v>9.5604239999999993E-2</v>
      </c>
      <c r="V1312">
        <v>9.8443514999999995E-2</v>
      </c>
      <c r="W1312">
        <v>0.10797</v>
      </c>
      <c r="X1312">
        <v>0.11244510000000001</v>
      </c>
      <c r="Y1312">
        <v>0.1024902</v>
      </c>
      <c r="Z1312">
        <v>8.9199390000000003E-2</v>
      </c>
      <c r="AA1312">
        <v>7.7491290000000004E-2</v>
      </c>
      <c r="AB1312">
        <v>6.9992819999999997E-2</v>
      </c>
    </row>
    <row r="1313" spans="1:28" x14ac:dyDescent="0.25">
      <c r="A1313" t="s">
        <v>112</v>
      </c>
      <c r="B1313" t="s">
        <v>130</v>
      </c>
      <c r="C1313">
        <v>115</v>
      </c>
      <c r="D1313" t="s">
        <v>2</v>
      </c>
      <c r="E1313">
        <v>24.60075127</v>
      </c>
      <c r="F1313">
        <v>23.058102385000002</v>
      </c>
      <c r="G1313">
        <v>22.465523430000001</v>
      </c>
      <c r="H1313">
        <v>21.572897715</v>
      </c>
      <c r="I1313">
        <v>22.360825810000001</v>
      </c>
      <c r="J1313">
        <v>24.368528654999999</v>
      </c>
      <c r="K1313">
        <v>26.638267110000001</v>
      </c>
      <c r="L1313">
        <v>29.32427543</v>
      </c>
      <c r="M1313">
        <v>32.769039100000001</v>
      </c>
      <c r="N1313">
        <v>35.527897035000002</v>
      </c>
      <c r="O1313">
        <v>38.514636690000003</v>
      </c>
      <c r="P1313">
        <v>39.309120944999997</v>
      </c>
      <c r="Q1313">
        <v>38.949717100000001</v>
      </c>
      <c r="R1313">
        <v>39.372926290000002</v>
      </c>
      <c r="S1313">
        <v>39.26717472</v>
      </c>
      <c r="T1313">
        <v>39.307994104999999</v>
      </c>
      <c r="U1313">
        <v>37.826696929999997</v>
      </c>
      <c r="V1313">
        <v>36.06302488</v>
      </c>
      <c r="W1313">
        <v>38.172000500000003</v>
      </c>
      <c r="X1313">
        <v>39.457878600000001</v>
      </c>
      <c r="Y1313">
        <v>36.958716899999999</v>
      </c>
      <c r="Z1313">
        <v>32.923660460000001</v>
      </c>
      <c r="AA1313">
        <v>29.180411254999999</v>
      </c>
      <c r="AB1313">
        <v>26.305613895</v>
      </c>
    </row>
    <row r="1314" spans="1:28" x14ac:dyDescent="0.25">
      <c r="A1314" t="s">
        <v>112</v>
      </c>
      <c r="B1314" t="s">
        <v>130</v>
      </c>
      <c r="C1314">
        <v>115</v>
      </c>
      <c r="D1314" t="s">
        <v>3</v>
      </c>
      <c r="E1314">
        <v>8.2849399674999997</v>
      </c>
      <c r="F1314">
        <v>8.0749071427000008</v>
      </c>
      <c r="G1314">
        <v>7.9586012301000002</v>
      </c>
      <c r="H1314">
        <v>7.6859258638999997</v>
      </c>
      <c r="I1314">
        <v>7.4601511476000004</v>
      </c>
      <c r="J1314">
        <v>7.3590861039000002</v>
      </c>
      <c r="K1314">
        <v>8.0746493579000003</v>
      </c>
      <c r="L1314">
        <v>9.0205624858999993</v>
      </c>
      <c r="M1314">
        <v>10.189581737099999</v>
      </c>
      <c r="N1314">
        <v>11.563595846</v>
      </c>
      <c r="O1314">
        <v>12.808863177999999</v>
      </c>
      <c r="P1314">
        <v>13.0315375533</v>
      </c>
      <c r="Q1314">
        <v>12.9123900224</v>
      </c>
      <c r="R1314">
        <v>13.4239761079</v>
      </c>
      <c r="S1314">
        <v>13.4692471158</v>
      </c>
      <c r="T1314">
        <v>13.3200854232</v>
      </c>
      <c r="U1314">
        <v>12.6862590492</v>
      </c>
      <c r="V1314">
        <v>12.220480412600001</v>
      </c>
      <c r="W1314">
        <v>11.642453205000001</v>
      </c>
      <c r="X1314">
        <v>11.447259305499999</v>
      </c>
      <c r="Y1314">
        <v>10.5631176676</v>
      </c>
      <c r="Z1314">
        <v>9.6154865607000009</v>
      </c>
      <c r="AA1314">
        <v>8.7901842018000007</v>
      </c>
      <c r="AB1314">
        <v>8.1991848231999995</v>
      </c>
    </row>
    <row r="1315" spans="1:28" x14ac:dyDescent="0.25">
      <c r="A1315" t="s">
        <v>112</v>
      </c>
      <c r="B1315" t="s">
        <v>130</v>
      </c>
      <c r="C1315">
        <v>115</v>
      </c>
      <c r="D1315" t="s">
        <v>4</v>
      </c>
      <c r="E1315">
        <v>0.37463073000000002</v>
      </c>
      <c r="F1315">
        <v>0.35113861499999999</v>
      </c>
      <c r="G1315">
        <v>0.34211457000000001</v>
      </c>
      <c r="H1315">
        <v>0.328521285</v>
      </c>
      <c r="I1315">
        <v>0.34052019</v>
      </c>
      <c r="J1315">
        <v>0.37109434499999999</v>
      </c>
      <c r="K1315">
        <v>0.40565888999999999</v>
      </c>
      <c r="L1315">
        <v>0.44656256999999999</v>
      </c>
      <c r="M1315">
        <v>0.49902089999999999</v>
      </c>
      <c r="N1315">
        <v>0.54103396500000001</v>
      </c>
      <c r="O1315">
        <v>0.58651730999999996</v>
      </c>
      <c r="P1315">
        <v>0.59861605500000004</v>
      </c>
      <c r="Q1315">
        <v>0.59314290000000003</v>
      </c>
      <c r="R1315">
        <v>0.59958771</v>
      </c>
      <c r="S1315">
        <v>0.59797728000000006</v>
      </c>
      <c r="T1315">
        <v>0.59859889499999996</v>
      </c>
      <c r="U1315">
        <v>0.57604107000000004</v>
      </c>
      <c r="V1315">
        <v>0.54918312000000002</v>
      </c>
      <c r="W1315">
        <v>0.58129949999999997</v>
      </c>
      <c r="X1315">
        <v>0.60088140000000001</v>
      </c>
      <c r="Y1315">
        <v>0.56282310000000002</v>
      </c>
      <c r="Z1315">
        <v>0.50137553999999995</v>
      </c>
      <c r="AA1315">
        <v>0.44437174499999998</v>
      </c>
      <c r="AB1315">
        <v>0.400593105</v>
      </c>
    </row>
    <row r="1316" spans="1:28" hidden="1" x14ac:dyDescent="0.25">
      <c r="A1316" t="s">
        <v>112</v>
      </c>
      <c r="B1316" t="s">
        <v>131</v>
      </c>
      <c r="C1316">
        <v>115</v>
      </c>
      <c r="D1316" t="s">
        <v>2</v>
      </c>
      <c r="E1316">
        <v>26.294495215000001</v>
      </c>
      <c r="F1316">
        <v>24.443006475000001</v>
      </c>
      <c r="G1316">
        <v>23.890452995</v>
      </c>
      <c r="H1316">
        <v>22.678096279999998</v>
      </c>
      <c r="I1316">
        <v>23.415167839999999</v>
      </c>
      <c r="J1316">
        <v>24.91731648</v>
      </c>
      <c r="K1316">
        <v>28.027695305000002</v>
      </c>
      <c r="L1316">
        <v>33.493948865</v>
      </c>
      <c r="M1316">
        <v>39.443362655000001</v>
      </c>
      <c r="N1316">
        <v>43.6961169</v>
      </c>
      <c r="O1316">
        <v>47.899213355000001</v>
      </c>
      <c r="P1316">
        <v>49.371037784999999</v>
      </c>
      <c r="Q1316">
        <v>48.603919785000002</v>
      </c>
      <c r="R1316">
        <v>49.552927885000003</v>
      </c>
      <c r="S1316">
        <v>50.590905124999999</v>
      </c>
      <c r="T1316">
        <v>50.643496245000001</v>
      </c>
      <c r="U1316">
        <v>49.131997984999998</v>
      </c>
      <c r="V1316">
        <v>45.22782539</v>
      </c>
      <c r="W1316">
        <v>43.856041500000003</v>
      </c>
      <c r="X1316">
        <v>42.842417400000002</v>
      </c>
      <c r="Y1316">
        <v>39.171539099999997</v>
      </c>
      <c r="Z1316">
        <v>34.380322784999997</v>
      </c>
      <c r="AA1316">
        <v>30.385002230000001</v>
      </c>
      <c r="AB1316">
        <v>27.877107519999999</v>
      </c>
    </row>
    <row r="1317" spans="1:28" hidden="1" x14ac:dyDescent="0.25">
      <c r="A1317" t="s">
        <v>112</v>
      </c>
      <c r="B1317" t="s">
        <v>131</v>
      </c>
      <c r="C1317">
        <v>115</v>
      </c>
      <c r="D1317" t="s">
        <v>3</v>
      </c>
      <c r="E1317">
        <v>7.9803370635000004</v>
      </c>
      <c r="F1317">
        <v>7.6276378704000001</v>
      </c>
      <c r="G1317">
        <v>7.5689860848999997</v>
      </c>
      <c r="H1317">
        <v>7.1931455029000002</v>
      </c>
      <c r="I1317">
        <v>7.3241291324000004</v>
      </c>
      <c r="J1317">
        <v>7.2772018176</v>
      </c>
      <c r="K1317">
        <v>8.4958158488999995</v>
      </c>
      <c r="L1317">
        <v>10.5504279299</v>
      </c>
      <c r="M1317">
        <v>12.682285030599999</v>
      </c>
      <c r="N1317">
        <v>14.253386188</v>
      </c>
      <c r="O1317">
        <v>15.743710076499999</v>
      </c>
      <c r="P1317">
        <v>16.192409464200001</v>
      </c>
      <c r="Q1317">
        <v>16.215527594699999</v>
      </c>
      <c r="R1317">
        <v>16.4624366016</v>
      </c>
      <c r="S1317">
        <v>16.5745072076</v>
      </c>
      <c r="T1317">
        <v>16.447189357199999</v>
      </c>
      <c r="U1317">
        <v>15.903494503399999</v>
      </c>
      <c r="V1317">
        <v>14.0636599748</v>
      </c>
      <c r="W1317">
        <v>12.5689206216</v>
      </c>
      <c r="X1317">
        <v>11.782601984199999</v>
      </c>
      <c r="Y1317">
        <v>10.418838014</v>
      </c>
      <c r="Z1317">
        <v>9.0148381569999998</v>
      </c>
      <c r="AA1317">
        <v>8.2699093802999997</v>
      </c>
      <c r="AB1317">
        <v>7.9675159654999996</v>
      </c>
    </row>
    <row r="1318" spans="1:28" hidden="1" x14ac:dyDescent="0.25">
      <c r="A1318" t="s">
        <v>112</v>
      </c>
      <c r="B1318" t="s">
        <v>131</v>
      </c>
      <c r="C1318">
        <v>115</v>
      </c>
      <c r="D1318" t="s">
        <v>4</v>
      </c>
      <c r="E1318">
        <v>0.40042378499999998</v>
      </c>
      <c r="F1318">
        <v>0.37222852499999998</v>
      </c>
      <c r="G1318">
        <v>0.363814005</v>
      </c>
      <c r="H1318">
        <v>0.34535171999999997</v>
      </c>
      <c r="I1318">
        <v>0.35657615999999998</v>
      </c>
      <c r="J1318">
        <v>0.37945151999999999</v>
      </c>
      <c r="K1318">
        <v>0.426817695</v>
      </c>
      <c r="L1318">
        <v>0.51006013500000003</v>
      </c>
      <c r="M1318">
        <v>0.60066034499999998</v>
      </c>
      <c r="N1318">
        <v>0.66542310000000005</v>
      </c>
      <c r="O1318">
        <v>0.72942964499999996</v>
      </c>
      <c r="P1318">
        <v>0.75184321499999995</v>
      </c>
      <c r="Q1318">
        <v>0.74016121499999998</v>
      </c>
      <c r="R1318">
        <v>0.75461311499999995</v>
      </c>
      <c r="S1318">
        <v>0.77041987499999998</v>
      </c>
      <c r="T1318">
        <v>0.77122075499999998</v>
      </c>
      <c r="U1318">
        <v>0.74820301499999997</v>
      </c>
      <c r="V1318">
        <v>0.68874860999999998</v>
      </c>
      <c r="W1318">
        <v>0.66785850000000002</v>
      </c>
      <c r="X1318">
        <v>0.65242259999999996</v>
      </c>
      <c r="Y1318">
        <v>0.59652090000000002</v>
      </c>
      <c r="Z1318">
        <v>0.52355821499999999</v>
      </c>
      <c r="AA1318">
        <v>0.46271577000000003</v>
      </c>
      <c r="AB1318">
        <v>0.42452447999999998</v>
      </c>
    </row>
    <row r="1319" spans="1:28" x14ac:dyDescent="0.25">
      <c r="A1319" t="s">
        <v>112</v>
      </c>
      <c r="B1319" t="s">
        <v>132</v>
      </c>
      <c r="C1319">
        <v>115</v>
      </c>
      <c r="D1319" t="s">
        <v>2</v>
      </c>
      <c r="E1319">
        <v>2.8781808350000002</v>
      </c>
      <c r="F1319">
        <v>2.7698091649999999</v>
      </c>
      <c r="G1319">
        <v>2.7839232300000001</v>
      </c>
      <c r="H1319">
        <v>2.6876414500000001</v>
      </c>
      <c r="I1319">
        <v>2.7603246000000001</v>
      </c>
      <c r="J1319">
        <v>2.7867541199999999</v>
      </c>
      <c r="K1319">
        <v>2.7293808249999998</v>
      </c>
      <c r="L1319">
        <v>3.1135987900000002</v>
      </c>
      <c r="M1319">
        <v>3.2835428100000001</v>
      </c>
      <c r="N1319">
        <v>3.3841339650000002</v>
      </c>
      <c r="O1319">
        <v>3.3609332749999998</v>
      </c>
      <c r="P1319">
        <v>3.5347739549999999</v>
      </c>
      <c r="Q1319">
        <v>3.3532463350000001</v>
      </c>
      <c r="R1319">
        <v>3.3953846350000001</v>
      </c>
      <c r="S1319">
        <v>3.472776085</v>
      </c>
      <c r="T1319">
        <v>3.47638611</v>
      </c>
      <c r="U1319">
        <v>3.3860990399999999</v>
      </c>
      <c r="V1319">
        <v>3.4192659600000002</v>
      </c>
      <c r="W1319">
        <v>3.9235505000000002</v>
      </c>
      <c r="X1319">
        <v>4.3767687000000004</v>
      </c>
      <c r="Y1319">
        <v>4.1218113000000001</v>
      </c>
      <c r="Z1319">
        <v>3.5595920150000002</v>
      </c>
      <c r="AA1319">
        <v>3.1007908350000002</v>
      </c>
      <c r="AB1319">
        <v>2.9021931649999999</v>
      </c>
    </row>
    <row r="1320" spans="1:28" x14ac:dyDescent="0.25">
      <c r="A1320" t="s">
        <v>112</v>
      </c>
      <c r="B1320" t="s">
        <v>132</v>
      </c>
      <c r="C1320">
        <v>115</v>
      </c>
      <c r="D1320" t="s">
        <v>3</v>
      </c>
      <c r="E1320">
        <v>1.3222140703</v>
      </c>
      <c r="F1320">
        <v>1.2716253055</v>
      </c>
      <c r="G1320">
        <v>1.2772971079</v>
      </c>
      <c r="H1320">
        <v>1.2323415952000001</v>
      </c>
      <c r="I1320">
        <v>1.2648667563</v>
      </c>
      <c r="J1320">
        <v>1.2761680334000001</v>
      </c>
      <c r="K1320">
        <v>1.2538564937000001</v>
      </c>
      <c r="L1320">
        <v>1.4294598569000001</v>
      </c>
      <c r="M1320">
        <v>1.5065285169</v>
      </c>
      <c r="N1320">
        <v>1.5516984411999999</v>
      </c>
      <c r="O1320">
        <v>1.5400843689999999</v>
      </c>
      <c r="P1320">
        <v>1.6187167336999999</v>
      </c>
      <c r="Q1320">
        <v>1.5346134391999999</v>
      </c>
      <c r="R1320">
        <v>1.5529110743000001</v>
      </c>
      <c r="S1320">
        <v>1.5872970153999999</v>
      </c>
      <c r="T1320">
        <v>1.5818626195000001</v>
      </c>
      <c r="U1320">
        <v>1.5040496611</v>
      </c>
      <c r="V1320">
        <v>1.5856303438999999</v>
      </c>
      <c r="W1320">
        <v>1.829669658</v>
      </c>
      <c r="X1320">
        <v>1.9363355941</v>
      </c>
      <c r="Y1320">
        <v>1.693138056</v>
      </c>
      <c r="Z1320">
        <v>1.4850843332000001</v>
      </c>
      <c r="AA1320">
        <v>1.3274660126</v>
      </c>
      <c r="AB1320">
        <v>1.3104182788000001</v>
      </c>
    </row>
    <row r="1321" spans="1:28" x14ac:dyDescent="0.25">
      <c r="A1321" t="s">
        <v>112</v>
      </c>
      <c r="B1321" t="s">
        <v>132</v>
      </c>
      <c r="C1321">
        <v>115</v>
      </c>
      <c r="D1321" t="s">
        <v>4</v>
      </c>
      <c r="E1321">
        <v>4.3830164999999997E-2</v>
      </c>
      <c r="F1321">
        <v>4.2179834999999999E-2</v>
      </c>
      <c r="G1321">
        <v>4.2394769999999998E-2</v>
      </c>
      <c r="H1321">
        <v>4.0928550000000001E-2</v>
      </c>
      <c r="I1321">
        <v>4.2035400000000001E-2</v>
      </c>
      <c r="J1321">
        <v>4.2437879999999997E-2</v>
      </c>
      <c r="K1321">
        <v>4.1564175000000002E-2</v>
      </c>
      <c r="L1321">
        <v>4.7415209999999999E-2</v>
      </c>
      <c r="M1321">
        <v>5.0003190000000003E-2</v>
      </c>
      <c r="N1321">
        <v>5.1535035E-2</v>
      </c>
      <c r="O1321">
        <v>5.1181724999999997E-2</v>
      </c>
      <c r="P1321">
        <v>5.3829044999999999E-2</v>
      </c>
      <c r="Q1321">
        <v>5.1064665000000002E-2</v>
      </c>
      <c r="R1321">
        <v>5.1706364999999997E-2</v>
      </c>
      <c r="S1321">
        <v>5.2884914999999998E-2</v>
      </c>
      <c r="T1321">
        <v>5.2939890000000003E-2</v>
      </c>
      <c r="U1321">
        <v>5.156496E-2</v>
      </c>
      <c r="V1321">
        <v>5.2070039999999998E-2</v>
      </c>
      <c r="W1321">
        <v>5.9749499999999997E-2</v>
      </c>
      <c r="X1321">
        <v>6.6651299999999997E-2</v>
      </c>
      <c r="Y1321">
        <v>6.2768699999999997E-2</v>
      </c>
      <c r="Z1321">
        <v>5.4206984999999999E-2</v>
      </c>
      <c r="AA1321">
        <v>4.7220165000000001E-2</v>
      </c>
      <c r="AB1321">
        <v>4.4195835000000003E-2</v>
      </c>
    </row>
    <row r="1322" spans="1:28" x14ac:dyDescent="0.25">
      <c r="A1322" t="s">
        <v>112</v>
      </c>
      <c r="B1322" t="s">
        <v>133</v>
      </c>
      <c r="C1322">
        <v>115</v>
      </c>
      <c r="D1322" t="s">
        <v>2</v>
      </c>
      <c r="E1322">
        <v>7.8291267199999997</v>
      </c>
      <c r="F1322">
        <v>7.7382949449999998</v>
      </c>
      <c r="G1322">
        <v>7.5825260600000002</v>
      </c>
      <c r="H1322">
        <v>7.4493235249999996</v>
      </c>
      <c r="I1322">
        <v>7.6146882800000002</v>
      </c>
      <c r="J1322">
        <v>7.7258475000000004</v>
      </c>
      <c r="K1322">
        <v>7.9902431700000003</v>
      </c>
      <c r="L1322">
        <v>9.9462187400000008</v>
      </c>
      <c r="M1322">
        <v>11.234515014999999</v>
      </c>
      <c r="N1322">
        <v>11.921632300000001</v>
      </c>
      <c r="O1322">
        <v>12.727759255</v>
      </c>
      <c r="P1322">
        <v>12.073080975</v>
      </c>
      <c r="Q1322">
        <v>12.18427073</v>
      </c>
      <c r="R1322">
        <v>12.345174419999999</v>
      </c>
      <c r="S1322">
        <v>11.826042975</v>
      </c>
      <c r="T1322">
        <v>11.838336760000001</v>
      </c>
      <c r="U1322">
        <v>12.23876684</v>
      </c>
      <c r="V1322">
        <v>12.174924065000001</v>
      </c>
      <c r="W1322">
        <v>11.878804499999999</v>
      </c>
      <c r="X1322">
        <v>12.478965000000001</v>
      </c>
      <c r="Y1322">
        <v>12.210651</v>
      </c>
      <c r="Z1322">
        <v>10.935230645000001</v>
      </c>
      <c r="AA1322">
        <v>9.4672595350000002</v>
      </c>
      <c r="AB1322">
        <v>7.9504038599999998</v>
      </c>
    </row>
    <row r="1323" spans="1:28" x14ac:dyDescent="0.25">
      <c r="A1323" t="s">
        <v>112</v>
      </c>
      <c r="B1323" t="s">
        <v>133</v>
      </c>
      <c r="C1323">
        <v>115</v>
      </c>
      <c r="D1323" t="s">
        <v>3</v>
      </c>
      <c r="E1323">
        <v>2.5342033473000001</v>
      </c>
      <c r="F1323">
        <v>2.4825225613000002</v>
      </c>
      <c r="G1323">
        <v>2.3940018556</v>
      </c>
      <c r="H1323">
        <v>2.4458297987000002</v>
      </c>
      <c r="I1323">
        <v>2.4235682741</v>
      </c>
      <c r="J1323">
        <v>2.4336036808000001</v>
      </c>
      <c r="K1323">
        <v>2.5051736076000002</v>
      </c>
      <c r="L1323">
        <v>3.1402814750000001</v>
      </c>
      <c r="M1323">
        <v>4.0251906539000002</v>
      </c>
      <c r="N1323">
        <v>3.9857319559</v>
      </c>
      <c r="O1323">
        <v>4.1517114296999997</v>
      </c>
      <c r="P1323">
        <v>3.6868088192999999</v>
      </c>
      <c r="Q1323">
        <v>3.3804923108999998</v>
      </c>
      <c r="R1323">
        <v>3.6766119183999999</v>
      </c>
      <c r="S1323">
        <v>3.4948616809000002</v>
      </c>
      <c r="T1323">
        <v>3.5795422097</v>
      </c>
      <c r="U1323">
        <v>4.1642654234999998</v>
      </c>
      <c r="V1323">
        <v>4.1383240681000002</v>
      </c>
      <c r="W1323">
        <v>3.3148390234999998</v>
      </c>
      <c r="X1323">
        <v>3.4370472759999999</v>
      </c>
      <c r="Y1323">
        <v>3.5614398741</v>
      </c>
      <c r="Z1323">
        <v>3.0864555248999999</v>
      </c>
      <c r="AA1323">
        <v>2.4341517204000001</v>
      </c>
      <c r="AB1323">
        <v>2.5043378216000001</v>
      </c>
    </row>
    <row r="1324" spans="1:28" x14ac:dyDescent="0.25">
      <c r="A1324" t="s">
        <v>112</v>
      </c>
      <c r="B1324" t="s">
        <v>133</v>
      </c>
      <c r="C1324">
        <v>115</v>
      </c>
      <c r="D1324" t="s">
        <v>4</v>
      </c>
      <c r="E1324">
        <v>0.11922528</v>
      </c>
      <c r="F1324">
        <v>0.117842055</v>
      </c>
      <c r="G1324">
        <v>0.11546993999999999</v>
      </c>
      <c r="H1324">
        <v>0.113441475</v>
      </c>
      <c r="I1324">
        <v>0.11595972</v>
      </c>
      <c r="J1324">
        <v>0.11765249999999999</v>
      </c>
      <c r="K1324">
        <v>0.12167883</v>
      </c>
      <c r="L1324">
        <v>0.15146525999999999</v>
      </c>
      <c r="M1324">
        <v>0.17108398499999999</v>
      </c>
      <c r="N1324">
        <v>0.18154770000000001</v>
      </c>
      <c r="O1324">
        <v>0.19382374499999999</v>
      </c>
      <c r="P1324">
        <v>0.183854025</v>
      </c>
      <c r="Q1324">
        <v>0.18554726999999999</v>
      </c>
      <c r="R1324">
        <v>0.18799758</v>
      </c>
      <c r="S1324">
        <v>0.18009202499999999</v>
      </c>
      <c r="T1324">
        <v>0.18027924000000001</v>
      </c>
      <c r="U1324">
        <v>0.18637715999999999</v>
      </c>
      <c r="V1324">
        <v>0.18540493499999999</v>
      </c>
      <c r="W1324">
        <v>0.18089549999999999</v>
      </c>
      <c r="X1324">
        <v>0.19003500000000001</v>
      </c>
      <c r="Y1324">
        <v>0.185949</v>
      </c>
      <c r="Z1324">
        <v>0.16652635499999999</v>
      </c>
      <c r="AA1324">
        <v>0.144171465</v>
      </c>
      <c r="AB1324">
        <v>0.12107213999999999</v>
      </c>
    </row>
    <row r="1325" spans="1:28" hidden="1" x14ac:dyDescent="0.25">
      <c r="A1325" t="s">
        <v>134</v>
      </c>
      <c r="B1325" t="s">
        <v>135</v>
      </c>
      <c r="C1325">
        <v>110</v>
      </c>
      <c r="D1325" t="s">
        <v>2</v>
      </c>
      <c r="E1325">
        <v>3.8830512399999999</v>
      </c>
      <c r="F1325">
        <v>4.2430037299999999</v>
      </c>
      <c r="G1325">
        <v>5.1626243550000002</v>
      </c>
      <c r="H1325">
        <v>5.0652768049999999</v>
      </c>
      <c r="I1325">
        <v>5.4258577250000002</v>
      </c>
      <c r="J1325">
        <v>3.7937265149999999</v>
      </c>
      <c r="K1325">
        <v>1.99756227</v>
      </c>
      <c r="L1325">
        <v>1.5101911649999999</v>
      </c>
      <c r="M1325">
        <v>3.2929564550000001</v>
      </c>
      <c r="N1325">
        <v>3.3911540599999999</v>
      </c>
      <c r="O1325">
        <v>3.3115365099999998</v>
      </c>
      <c r="P1325">
        <v>4.0820606399999999</v>
      </c>
      <c r="Q1325">
        <v>4.3650137100000004</v>
      </c>
      <c r="R1325">
        <v>5.26014625</v>
      </c>
      <c r="S1325">
        <v>5.7881840650000003</v>
      </c>
      <c r="T1325">
        <v>5.3914989550000003</v>
      </c>
      <c r="U1325">
        <v>5.57545263</v>
      </c>
      <c r="V1325">
        <v>5.66032023</v>
      </c>
      <c r="W1325">
        <v>5.0652984749999996</v>
      </c>
      <c r="X1325">
        <v>5.0639204600000003</v>
      </c>
      <c r="Y1325">
        <v>4.925487575</v>
      </c>
      <c r="Z1325">
        <v>5.0325019150000001</v>
      </c>
      <c r="AA1325">
        <v>5.2900971449999998</v>
      </c>
      <c r="AB1325">
        <v>3.263581785</v>
      </c>
    </row>
    <row r="1326" spans="1:28" hidden="1" x14ac:dyDescent="0.25">
      <c r="A1326" t="s">
        <v>134</v>
      </c>
      <c r="B1326" t="s">
        <v>135</v>
      </c>
      <c r="C1326">
        <v>110</v>
      </c>
      <c r="D1326" t="s">
        <v>3</v>
      </c>
      <c r="E1326">
        <v>1.2443192035999999</v>
      </c>
      <c r="F1326">
        <v>1.3532151413</v>
      </c>
      <c r="G1326">
        <v>1.6466956714000001</v>
      </c>
      <c r="H1326">
        <v>1.5583395009000001</v>
      </c>
      <c r="I1326">
        <v>1.6051276747000001</v>
      </c>
      <c r="J1326">
        <v>1.1353276742</v>
      </c>
      <c r="K1326">
        <v>0.51930267740000002</v>
      </c>
      <c r="L1326">
        <v>0.37444437050000001</v>
      </c>
      <c r="M1326">
        <v>1.0130826637999999</v>
      </c>
      <c r="N1326">
        <v>1.0544844286999999</v>
      </c>
      <c r="O1326">
        <v>1.141260956</v>
      </c>
      <c r="P1326">
        <v>1.3506682979</v>
      </c>
      <c r="Q1326">
        <v>1.4171309975999999</v>
      </c>
      <c r="R1326">
        <v>2.1401337828</v>
      </c>
      <c r="S1326">
        <v>2.1306460827999998</v>
      </c>
      <c r="T1326">
        <v>1.9978885521</v>
      </c>
      <c r="U1326">
        <v>2.0100884358000002</v>
      </c>
      <c r="V1326">
        <v>1.837255721</v>
      </c>
      <c r="W1326">
        <v>1.5743137009999999</v>
      </c>
      <c r="X1326">
        <v>1.2733386709000001</v>
      </c>
      <c r="Y1326">
        <v>1.5622893721</v>
      </c>
      <c r="Z1326">
        <v>1.6323939116999999</v>
      </c>
      <c r="AA1326">
        <v>1.6412481488999999</v>
      </c>
      <c r="AB1326">
        <v>1.0223888860999999</v>
      </c>
    </row>
    <row r="1327" spans="1:28" hidden="1" x14ac:dyDescent="0.25">
      <c r="A1327" t="s">
        <v>134</v>
      </c>
      <c r="B1327" t="s">
        <v>135</v>
      </c>
      <c r="C1327">
        <v>110</v>
      </c>
      <c r="D1327" t="s">
        <v>4</v>
      </c>
      <c r="E1327">
        <v>5.9132759999999999E-2</v>
      </c>
      <c r="F1327">
        <v>6.4614270000000001E-2</v>
      </c>
      <c r="G1327">
        <v>7.8618645000000001E-2</v>
      </c>
      <c r="H1327">
        <v>7.7136195000000005E-2</v>
      </c>
      <c r="I1327">
        <v>8.2627275E-2</v>
      </c>
      <c r="J1327">
        <v>5.7772484999999998E-2</v>
      </c>
      <c r="K1327">
        <v>3.0419729999999999E-2</v>
      </c>
      <c r="L1327">
        <v>2.2997835000000001E-2</v>
      </c>
      <c r="M1327">
        <v>5.0146545000000001E-2</v>
      </c>
      <c r="N1327">
        <v>5.1641939999999997E-2</v>
      </c>
      <c r="O1327">
        <v>5.042949E-2</v>
      </c>
      <c r="P1327">
        <v>6.2163360000000001E-2</v>
      </c>
      <c r="Q1327">
        <v>6.6472290000000003E-2</v>
      </c>
      <c r="R1327">
        <v>8.0103750000000001E-2</v>
      </c>
      <c r="S1327">
        <v>8.8144934999999994E-2</v>
      </c>
      <c r="T1327">
        <v>8.2104045E-2</v>
      </c>
      <c r="U1327">
        <v>8.4905369999999994E-2</v>
      </c>
      <c r="V1327">
        <v>8.6197770000000007E-2</v>
      </c>
      <c r="W1327">
        <v>7.7136524999999997E-2</v>
      </c>
      <c r="X1327">
        <v>7.7115539999999996E-2</v>
      </c>
      <c r="Y1327">
        <v>7.5007425000000003E-2</v>
      </c>
      <c r="Z1327">
        <v>7.6637084999999994E-2</v>
      </c>
      <c r="AA1327">
        <v>8.0559855E-2</v>
      </c>
      <c r="AB1327">
        <v>4.9699214999999998E-2</v>
      </c>
    </row>
    <row r="1328" spans="1:28" hidden="1" x14ac:dyDescent="0.25">
      <c r="A1328" t="s">
        <v>134</v>
      </c>
      <c r="B1328" t="s">
        <v>136</v>
      </c>
      <c r="C1328">
        <v>14</v>
      </c>
      <c r="D1328" t="s">
        <v>2</v>
      </c>
      <c r="E1328">
        <v>16.2090748</v>
      </c>
      <c r="F1328">
        <v>16.2067853</v>
      </c>
      <c r="G1328">
        <v>16.062621849999999</v>
      </c>
      <c r="H1328">
        <v>15.8082812</v>
      </c>
      <c r="I1328">
        <v>15.449152700000001</v>
      </c>
      <c r="J1328">
        <v>15.26184595</v>
      </c>
      <c r="K1328">
        <v>13.626346849999999</v>
      </c>
      <c r="L1328">
        <v>13.918908849999999</v>
      </c>
      <c r="M1328">
        <v>14.09186395</v>
      </c>
      <c r="N1328">
        <v>14.44500745</v>
      </c>
      <c r="O1328">
        <v>14.774058950000001</v>
      </c>
      <c r="P1328">
        <v>15.074419499999999</v>
      </c>
      <c r="Q1328">
        <v>14.724714049999999</v>
      </c>
      <c r="R1328">
        <v>15.285401200000001</v>
      </c>
      <c r="S1328">
        <v>15.21106655</v>
      </c>
      <c r="T1328">
        <v>14.713476500000001</v>
      </c>
      <c r="U1328">
        <v>14.429196599999999</v>
      </c>
      <c r="V1328">
        <v>14.598139850000001</v>
      </c>
      <c r="W1328">
        <v>17.408228449999999</v>
      </c>
      <c r="X1328">
        <v>18.692191449999999</v>
      </c>
      <c r="Y1328">
        <v>18.753885400000001</v>
      </c>
      <c r="Z1328">
        <v>18.443989699999999</v>
      </c>
      <c r="AA1328">
        <v>18.026101799999999</v>
      </c>
      <c r="AB1328">
        <v>17.001238000000001</v>
      </c>
    </row>
    <row r="1329" spans="1:28" hidden="1" x14ac:dyDescent="0.25">
      <c r="A1329" t="s">
        <v>134</v>
      </c>
      <c r="B1329" t="s">
        <v>136</v>
      </c>
      <c r="C1329">
        <v>14</v>
      </c>
      <c r="D1329" t="s">
        <v>3</v>
      </c>
      <c r="E1329">
        <v>7.0841127006000004</v>
      </c>
      <c r="F1329">
        <v>7.1518655258999999</v>
      </c>
      <c r="G1329">
        <v>7.3986035113000002</v>
      </c>
      <c r="H1329">
        <v>7.3148515598000001</v>
      </c>
      <c r="I1329">
        <v>7.2506200379000001</v>
      </c>
      <c r="J1329">
        <v>7.0271046921</v>
      </c>
      <c r="K1329">
        <v>6.5945229171999999</v>
      </c>
      <c r="L1329">
        <v>6.8598493839000003</v>
      </c>
      <c r="M1329">
        <v>6.6774244693</v>
      </c>
      <c r="N1329">
        <v>6.7747886016000001</v>
      </c>
      <c r="O1329">
        <v>7.1600056206999998</v>
      </c>
      <c r="P1329">
        <v>6.8276572596999996</v>
      </c>
      <c r="Q1329">
        <v>6.9304896019999997</v>
      </c>
      <c r="R1329">
        <v>7.1121827409999998</v>
      </c>
      <c r="S1329">
        <v>7.0411450955000001</v>
      </c>
      <c r="T1329">
        <v>6.6120720424000003</v>
      </c>
      <c r="U1329">
        <v>6.5067253824</v>
      </c>
      <c r="V1329">
        <v>6.6272780483</v>
      </c>
      <c r="W1329">
        <v>7.1669228753000001</v>
      </c>
      <c r="X1329">
        <v>7.1633103972000001</v>
      </c>
      <c r="Y1329">
        <v>7.3481332201000003</v>
      </c>
      <c r="Z1329">
        <v>7.2021913171999996</v>
      </c>
      <c r="AA1329">
        <v>7.2888297075999997</v>
      </c>
      <c r="AB1329">
        <v>7.4171725100000003</v>
      </c>
    </row>
    <row r="1330" spans="1:28" hidden="1" x14ac:dyDescent="0.25">
      <c r="A1330" t="s">
        <v>134</v>
      </c>
      <c r="B1330" t="s">
        <v>136</v>
      </c>
      <c r="C1330">
        <v>14</v>
      </c>
      <c r="D1330" t="s">
        <v>4</v>
      </c>
      <c r="E1330">
        <v>0.85310920000000001</v>
      </c>
      <c r="F1330">
        <v>0.85298870000000004</v>
      </c>
      <c r="G1330">
        <v>0.84540115000000005</v>
      </c>
      <c r="H1330">
        <v>0.83201480000000005</v>
      </c>
      <c r="I1330">
        <v>0.81311330000000004</v>
      </c>
      <c r="J1330">
        <v>0.80325504999999997</v>
      </c>
      <c r="K1330">
        <v>0.71717615000000001</v>
      </c>
      <c r="L1330">
        <v>0.73257415000000004</v>
      </c>
      <c r="M1330">
        <v>0.74167704999999995</v>
      </c>
      <c r="N1330">
        <v>0.76026355000000001</v>
      </c>
      <c r="O1330">
        <v>0.77758205000000002</v>
      </c>
      <c r="P1330">
        <v>0.7933905</v>
      </c>
      <c r="Q1330">
        <v>0.77498495000000001</v>
      </c>
      <c r="R1330">
        <v>0.80449479999999995</v>
      </c>
      <c r="S1330">
        <v>0.80058244999999995</v>
      </c>
      <c r="T1330">
        <v>0.77439349999999996</v>
      </c>
      <c r="U1330">
        <v>0.75943139999999998</v>
      </c>
      <c r="V1330">
        <v>0.76832314999999995</v>
      </c>
      <c r="W1330">
        <v>0.91622254999999997</v>
      </c>
      <c r="X1330">
        <v>0.98379954999999997</v>
      </c>
      <c r="Y1330">
        <v>0.9870466</v>
      </c>
      <c r="Z1330">
        <v>0.9707363</v>
      </c>
      <c r="AA1330">
        <v>0.94874219999999998</v>
      </c>
      <c r="AB1330">
        <v>0.89480199999999999</v>
      </c>
    </row>
    <row r="1331" spans="1:28" hidden="1" x14ac:dyDescent="0.25">
      <c r="A1331" t="s">
        <v>134</v>
      </c>
      <c r="B1331" t="s">
        <v>137</v>
      </c>
      <c r="C1331">
        <v>66</v>
      </c>
      <c r="D1331" t="s">
        <v>2</v>
      </c>
      <c r="E1331">
        <v>25.211914220000001</v>
      </c>
      <c r="F1331">
        <v>24.518429895000001</v>
      </c>
      <c r="G1331">
        <v>24.068143055</v>
      </c>
      <c r="H1331">
        <v>23.477348305</v>
      </c>
      <c r="I1331">
        <v>23.091460765000001</v>
      </c>
      <c r="J1331">
        <v>22.793220495</v>
      </c>
      <c r="K1331">
        <v>24.654112045000002</v>
      </c>
      <c r="L1331">
        <v>27.893861385000001</v>
      </c>
      <c r="M1331">
        <v>28.295204559999998</v>
      </c>
      <c r="N1331">
        <v>29.61091437</v>
      </c>
      <c r="O1331">
        <v>30.60160964</v>
      </c>
      <c r="P1331">
        <v>31.0112475</v>
      </c>
      <c r="Q1331">
        <v>30.93263662</v>
      </c>
      <c r="R1331">
        <v>30.6335394</v>
      </c>
      <c r="S1331">
        <v>30.571170185</v>
      </c>
      <c r="T1331">
        <v>30.930737539999999</v>
      </c>
      <c r="U1331">
        <v>32.673186780000002</v>
      </c>
      <c r="V1331">
        <v>31.179387985000002</v>
      </c>
      <c r="W1331">
        <v>32.746083675000001</v>
      </c>
      <c r="X1331">
        <v>32.525733265</v>
      </c>
      <c r="Y1331">
        <v>32.067093624999998</v>
      </c>
      <c r="Z1331">
        <v>29.527655275000001</v>
      </c>
      <c r="AA1331">
        <v>28.423345179999998</v>
      </c>
      <c r="AB1331">
        <v>27.471584005</v>
      </c>
    </row>
    <row r="1332" spans="1:28" hidden="1" x14ac:dyDescent="0.25">
      <c r="A1332" t="s">
        <v>134</v>
      </c>
      <c r="B1332" t="s">
        <v>137</v>
      </c>
      <c r="C1332">
        <v>66</v>
      </c>
      <c r="D1332" t="s">
        <v>3</v>
      </c>
      <c r="E1332">
        <v>7.9120705538999996</v>
      </c>
      <c r="F1332">
        <v>7.9574393427999999</v>
      </c>
      <c r="G1332">
        <v>7.8706024039000004</v>
      </c>
      <c r="H1332">
        <v>7.8285293167000001</v>
      </c>
      <c r="I1332">
        <v>7.9738996531000002</v>
      </c>
      <c r="J1332">
        <v>8.0808351491000003</v>
      </c>
      <c r="K1332">
        <v>8.9605097058999998</v>
      </c>
      <c r="L1332">
        <v>9.3745041478999998</v>
      </c>
      <c r="M1332">
        <v>8.8151455725000005</v>
      </c>
      <c r="N1332">
        <v>8.8659959130000008</v>
      </c>
      <c r="O1332">
        <v>8.9136045619999997</v>
      </c>
      <c r="P1332">
        <v>8.9241518143</v>
      </c>
      <c r="Q1332">
        <v>9.2699641110000002</v>
      </c>
      <c r="R1332">
        <v>8.9951699433000005</v>
      </c>
      <c r="S1332">
        <v>8.7579404073999996</v>
      </c>
      <c r="T1332">
        <v>8.9360516913999994</v>
      </c>
      <c r="U1332">
        <v>9.7804080671999998</v>
      </c>
      <c r="V1332">
        <v>9.4217901706999996</v>
      </c>
      <c r="W1332">
        <v>9.6255888421000009</v>
      </c>
      <c r="X1332">
        <v>9.7683613617000002</v>
      </c>
      <c r="Y1332">
        <v>9.5855702656999995</v>
      </c>
      <c r="Z1332">
        <v>8.6053652710000001</v>
      </c>
      <c r="AA1332">
        <v>8.2437809044999995</v>
      </c>
      <c r="AB1332">
        <v>8.1247932086999999</v>
      </c>
    </row>
    <row r="1333" spans="1:28" hidden="1" x14ac:dyDescent="0.25">
      <c r="A1333" t="s">
        <v>134</v>
      </c>
      <c r="B1333" t="s">
        <v>137</v>
      </c>
      <c r="C1333">
        <v>66</v>
      </c>
      <c r="D1333" t="s">
        <v>4</v>
      </c>
      <c r="E1333">
        <v>0.38393778000000001</v>
      </c>
      <c r="F1333">
        <v>0.37337710499999999</v>
      </c>
      <c r="G1333">
        <v>0.36651994500000001</v>
      </c>
      <c r="H1333">
        <v>0.35752307059999999</v>
      </c>
      <c r="I1333">
        <v>0.35164661060000002</v>
      </c>
      <c r="J1333">
        <v>0.3471048806</v>
      </c>
      <c r="K1333">
        <v>0.37544333060000001</v>
      </c>
      <c r="L1333">
        <v>0.424779615</v>
      </c>
      <c r="M1333">
        <v>0.43089144000000001</v>
      </c>
      <c r="N1333">
        <v>0.45092763000000002</v>
      </c>
      <c r="O1333">
        <v>0.46601436000000002</v>
      </c>
      <c r="P1333">
        <v>0.47225250000000002</v>
      </c>
      <c r="Q1333">
        <v>0.47105538000000002</v>
      </c>
      <c r="R1333">
        <v>0.46650059999999999</v>
      </c>
      <c r="S1333">
        <v>0.46555081500000001</v>
      </c>
      <c r="T1333">
        <v>0.47102645999999998</v>
      </c>
      <c r="U1333">
        <v>0.49756122000000003</v>
      </c>
      <c r="V1333">
        <v>0.474813015</v>
      </c>
      <c r="W1333">
        <v>0.498671325</v>
      </c>
      <c r="X1333">
        <v>0.49531573499999998</v>
      </c>
      <c r="Y1333">
        <v>0.48833137500000001</v>
      </c>
      <c r="Z1333">
        <v>0.44965972500000001</v>
      </c>
      <c r="AA1333">
        <v>0.43284282000000002</v>
      </c>
      <c r="AB1333">
        <v>0.418348995</v>
      </c>
    </row>
    <row r="1334" spans="1:28" hidden="1" x14ac:dyDescent="0.25">
      <c r="A1334" t="s">
        <v>134</v>
      </c>
      <c r="B1334" t="s">
        <v>138</v>
      </c>
      <c r="C1334">
        <v>66</v>
      </c>
      <c r="D1334" t="s">
        <v>2</v>
      </c>
      <c r="E1334">
        <v>63.103385735000003</v>
      </c>
      <c r="F1334">
        <v>60.885620805000002</v>
      </c>
      <c r="G1334">
        <v>59.358124175100002</v>
      </c>
      <c r="H1334">
        <v>56.964446125000002</v>
      </c>
      <c r="I1334">
        <v>55.190931955000003</v>
      </c>
      <c r="J1334">
        <v>53.531736885000001</v>
      </c>
      <c r="K1334">
        <v>53.018815865000001</v>
      </c>
      <c r="L1334">
        <v>56.846644065</v>
      </c>
      <c r="M1334">
        <v>61.331892785000001</v>
      </c>
      <c r="N1334">
        <v>64.818925759999999</v>
      </c>
      <c r="O1334">
        <v>65.979861534999998</v>
      </c>
      <c r="P1334">
        <v>69.922757434999994</v>
      </c>
      <c r="Q1334">
        <v>70.036742619999998</v>
      </c>
      <c r="R1334">
        <v>71.373473314999998</v>
      </c>
      <c r="S1334">
        <v>72.787742225000002</v>
      </c>
      <c r="T1334">
        <v>72.113291055000005</v>
      </c>
      <c r="U1334">
        <v>69.481502059999997</v>
      </c>
      <c r="V1334">
        <v>64.068402055099995</v>
      </c>
      <c r="W1334">
        <v>65.733633205000004</v>
      </c>
      <c r="X1334">
        <v>65.511312794999995</v>
      </c>
      <c r="Y1334">
        <v>67.054052299999995</v>
      </c>
      <c r="Z1334">
        <v>64.016700389999997</v>
      </c>
      <c r="AA1334">
        <v>64.743581140000003</v>
      </c>
      <c r="AB1334">
        <v>65.207743675000003</v>
      </c>
    </row>
    <row r="1335" spans="1:28" hidden="1" x14ac:dyDescent="0.25">
      <c r="A1335" t="s">
        <v>134</v>
      </c>
      <c r="B1335" t="s">
        <v>138</v>
      </c>
      <c r="C1335">
        <v>66</v>
      </c>
      <c r="D1335" t="s">
        <v>3</v>
      </c>
      <c r="E1335">
        <v>20.823815311200001</v>
      </c>
      <c r="F1335">
        <v>20.158675117200001</v>
      </c>
      <c r="G1335">
        <v>20.6030910759</v>
      </c>
      <c r="H1335">
        <v>20.076277381200001</v>
      </c>
      <c r="I1335">
        <v>19.555573220300001</v>
      </c>
      <c r="J1335">
        <v>18.600876806799999</v>
      </c>
      <c r="K1335">
        <v>18.707208170000001</v>
      </c>
      <c r="L1335">
        <v>19.934614695800001</v>
      </c>
      <c r="M1335">
        <v>20.661520933599999</v>
      </c>
      <c r="N1335">
        <v>22.025570288699999</v>
      </c>
      <c r="O1335">
        <v>22.648016763200001</v>
      </c>
      <c r="P1335">
        <v>23.6043567171</v>
      </c>
      <c r="Q1335">
        <v>23.459397063099999</v>
      </c>
      <c r="R1335">
        <v>23.701585758899999</v>
      </c>
      <c r="S1335">
        <v>24.125045563400001</v>
      </c>
      <c r="T1335">
        <v>24.154954458199999</v>
      </c>
      <c r="U1335">
        <v>24.0978972789</v>
      </c>
      <c r="V1335">
        <v>21.630288852700001</v>
      </c>
      <c r="W1335">
        <v>20.664854650399999</v>
      </c>
      <c r="X1335">
        <v>20.833985175199999</v>
      </c>
      <c r="Y1335">
        <v>20.9025187847</v>
      </c>
      <c r="Z1335">
        <v>19.118970794500001</v>
      </c>
      <c r="AA1335">
        <v>19.170417093899999</v>
      </c>
      <c r="AB1335">
        <v>20.063680332000001</v>
      </c>
    </row>
    <row r="1336" spans="1:28" hidden="1" x14ac:dyDescent="0.25">
      <c r="A1336" t="s">
        <v>134</v>
      </c>
      <c r="B1336" t="s">
        <v>138</v>
      </c>
      <c r="C1336">
        <v>66</v>
      </c>
      <c r="D1336" t="s">
        <v>4</v>
      </c>
      <c r="E1336">
        <v>0.96096526500000001</v>
      </c>
      <c r="F1336">
        <v>0.92719219500000005</v>
      </c>
      <c r="G1336">
        <v>0.90393082489999999</v>
      </c>
      <c r="H1336">
        <v>0.86747887499999998</v>
      </c>
      <c r="I1336">
        <v>0.84047104500000003</v>
      </c>
      <c r="J1336">
        <v>0.81520411500000001</v>
      </c>
      <c r="K1336">
        <v>0.80739313499999998</v>
      </c>
      <c r="L1336">
        <v>0.86568493499999999</v>
      </c>
      <c r="M1336">
        <v>0.93398821499999995</v>
      </c>
      <c r="N1336">
        <v>0.98709024000000001</v>
      </c>
      <c r="O1336">
        <v>1.0047694650000001</v>
      </c>
      <c r="P1336">
        <v>1.0648135649999999</v>
      </c>
      <c r="Q1336">
        <v>1.0665493800000001</v>
      </c>
      <c r="R1336">
        <v>1.0869056850000001</v>
      </c>
      <c r="S1336">
        <v>1.1084427750000001</v>
      </c>
      <c r="T1336">
        <v>1.098171945</v>
      </c>
      <c r="U1336">
        <v>1.05809394</v>
      </c>
      <c r="V1336">
        <v>0.97566094489999999</v>
      </c>
      <c r="W1336">
        <v>1.0010197949999999</v>
      </c>
      <c r="X1336">
        <v>0.997634205</v>
      </c>
      <c r="Y1336">
        <v>1.0211277000000001</v>
      </c>
      <c r="Z1336">
        <v>0.97487360999999995</v>
      </c>
      <c r="AA1336">
        <v>0.98594285999999998</v>
      </c>
      <c r="AB1336">
        <v>0.993011325</v>
      </c>
    </row>
    <row r="1337" spans="1:28" hidden="1" x14ac:dyDescent="0.25">
      <c r="A1337" t="s">
        <v>134</v>
      </c>
      <c r="B1337" t="s">
        <v>139</v>
      </c>
      <c r="C1337">
        <v>110</v>
      </c>
      <c r="D1337" t="s">
        <v>2</v>
      </c>
      <c r="E1337">
        <v>13.55768578</v>
      </c>
      <c r="F1337">
        <v>13.292767075</v>
      </c>
      <c r="G1337">
        <v>13.217473675000001</v>
      </c>
      <c r="H1337">
        <v>12.838906655000001</v>
      </c>
      <c r="I1337">
        <v>12.602725325</v>
      </c>
      <c r="J1337">
        <v>12.17614054</v>
      </c>
      <c r="K1337">
        <v>11.38225615</v>
      </c>
      <c r="L1337">
        <v>11.165586684999999</v>
      </c>
      <c r="M1337">
        <v>11.08519985</v>
      </c>
      <c r="N1337">
        <v>11.232893705</v>
      </c>
      <c r="O1337">
        <v>11.570308410000001</v>
      </c>
      <c r="P1337">
        <v>11.873675605000001</v>
      </c>
      <c r="Q1337">
        <v>11.6883055</v>
      </c>
      <c r="R1337">
        <v>12.107765779999999</v>
      </c>
      <c r="S1337">
        <v>12.35697669</v>
      </c>
      <c r="T1337">
        <v>12.3181145</v>
      </c>
      <c r="U1337">
        <v>12.147260340000001</v>
      </c>
      <c r="V1337">
        <v>12.067661505</v>
      </c>
      <c r="W1337">
        <v>13.84588102</v>
      </c>
      <c r="X1337">
        <v>14.457127695000001</v>
      </c>
      <c r="Y1337">
        <v>14.90788438</v>
      </c>
      <c r="Z1337">
        <v>14.528613085</v>
      </c>
      <c r="AA1337">
        <v>14.564163705</v>
      </c>
      <c r="AB1337">
        <v>14.19897594</v>
      </c>
    </row>
    <row r="1338" spans="1:28" hidden="1" x14ac:dyDescent="0.25">
      <c r="A1338" t="s">
        <v>134</v>
      </c>
      <c r="B1338" t="s">
        <v>139</v>
      </c>
      <c r="C1338">
        <v>110</v>
      </c>
      <c r="D1338" t="s">
        <v>3</v>
      </c>
      <c r="E1338">
        <v>5.5407633014000002</v>
      </c>
      <c r="F1338">
        <v>5.5628357045000003</v>
      </c>
      <c r="G1338">
        <v>5.6290263023999998</v>
      </c>
      <c r="H1338">
        <v>5.5871116591999996</v>
      </c>
      <c r="I1338">
        <v>5.4123345052999996</v>
      </c>
      <c r="J1338">
        <v>5.2568713166999999</v>
      </c>
      <c r="K1338">
        <v>4.9144639491</v>
      </c>
      <c r="L1338">
        <v>5.1232281884999997</v>
      </c>
      <c r="M1338">
        <v>5.1453869361000004</v>
      </c>
      <c r="N1338">
        <v>5.1319165374000004</v>
      </c>
      <c r="O1338">
        <v>5.2371599899000003</v>
      </c>
      <c r="P1338">
        <v>5.2330364183000002</v>
      </c>
      <c r="Q1338">
        <v>4.9851853676999998</v>
      </c>
      <c r="R1338">
        <v>5.3619887697999999</v>
      </c>
      <c r="S1338">
        <v>5.6892400571000001</v>
      </c>
      <c r="T1338">
        <v>5.6802687292999998</v>
      </c>
      <c r="U1338">
        <v>5.4837487393000002</v>
      </c>
      <c r="V1338">
        <v>4.9213894337999999</v>
      </c>
      <c r="W1338">
        <v>4.9793166513999996</v>
      </c>
      <c r="X1338">
        <v>5.014582302</v>
      </c>
      <c r="Y1338">
        <v>5.1800994501000002</v>
      </c>
      <c r="Z1338">
        <v>5.1747460733999997</v>
      </c>
      <c r="AA1338">
        <v>5.4482650360999996</v>
      </c>
      <c r="AB1338">
        <v>5.7285478543000004</v>
      </c>
    </row>
    <row r="1339" spans="1:28" hidden="1" x14ac:dyDescent="0.25">
      <c r="A1339" t="s">
        <v>134</v>
      </c>
      <c r="B1339" t="s">
        <v>139</v>
      </c>
      <c r="C1339">
        <v>110</v>
      </c>
      <c r="D1339" t="s">
        <v>4</v>
      </c>
      <c r="E1339">
        <v>0.20646222</v>
      </c>
      <c r="F1339">
        <v>0.20242792500000001</v>
      </c>
      <c r="G1339">
        <v>0.20128132500000001</v>
      </c>
      <c r="H1339">
        <v>0.19551634500000001</v>
      </c>
      <c r="I1339">
        <v>0.19191967500000001</v>
      </c>
      <c r="J1339">
        <v>0.18542346000000001</v>
      </c>
      <c r="K1339">
        <v>0.17333385000000001</v>
      </c>
      <c r="L1339">
        <v>0.17003431499999999</v>
      </c>
      <c r="M1339">
        <v>0.16881014999999999</v>
      </c>
      <c r="N1339">
        <v>0.171059295</v>
      </c>
      <c r="O1339">
        <v>0.17619758999999999</v>
      </c>
      <c r="P1339">
        <v>0.18081739499999999</v>
      </c>
      <c r="Q1339">
        <v>0.1779945</v>
      </c>
      <c r="R1339">
        <v>0.18438222000000001</v>
      </c>
      <c r="S1339">
        <v>0.18817730999999999</v>
      </c>
      <c r="T1339">
        <v>0.18758549999999999</v>
      </c>
      <c r="U1339">
        <v>0.18498365999999999</v>
      </c>
      <c r="V1339">
        <v>0.18377149500000001</v>
      </c>
      <c r="W1339">
        <v>0.21085097999999999</v>
      </c>
      <c r="X1339">
        <v>0.220159305</v>
      </c>
      <c r="Y1339">
        <v>0.22702362000000001</v>
      </c>
      <c r="Z1339">
        <v>0.22124791499999999</v>
      </c>
      <c r="AA1339">
        <v>0.221789295</v>
      </c>
      <c r="AB1339">
        <v>0.21622806</v>
      </c>
    </row>
    <row r="1340" spans="1:28" hidden="1" x14ac:dyDescent="0.25">
      <c r="A1340" t="s">
        <v>134</v>
      </c>
      <c r="B1340" t="s">
        <v>140</v>
      </c>
      <c r="C1340">
        <v>66</v>
      </c>
      <c r="D1340" t="s">
        <v>2</v>
      </c>
      <c r="E1340">
        <v>43.820103775</v>
      </c>
      <c r="F1340">
        <v>42.069036769999997</v>
      </c>
      <c r="G1340">
        <v>40.958743785000003</v>
      </c>
      <c r="H1340">
        <v>39.463236999999999</v>
      </c>
      <c r="I1340">
        <v>38.590445244999998</v>
      </c>
      <c r="J1340">
        <v>38.219919765</v>
      </c>
      <c r="K1340">
        <v>40.289167380000002</v>
      </c>
      <c r="L1340">
        <v>44.394267169999999</v>
      </c>
      <c r="M1340">
        <v>50.186143999999999</v>
      </c>
      <c r="N1340">
        <v>54.205244424999997</v>
      </c>
      <c r="O1340">
        <v>57.660879540000003</v>
      </c>
      <c r="P1340">
        <v>59.425290339999997</v>
      </c>
      <c r="Q1340">
        <v>60.049964535000001</v>
      </c>
      <c r="R1340">
        <v>60.502156364999998</v>
      </c>
      <c r="S1340">
        <v>60.680347789999999</v>
      </c>
      <c r="T1340">
        <v>59.646445495000002</v>
      </c>
      <c r="U1340">
        <v>57.834999959999998</v>
      </c>
      <c r="V1340">
        <v>55.119180614999998</v>
      </c>
      <c r="W1340">
        <v>56.821342370099998</v>
      </c>
      <c r="X1340">
        <v>56.891993464999999</v>
      </c>
      <c r="Y1340">
        <v>54.437490680000003</v>
      </c>
      <c r="Z1340">
        <v>51.18929164</v>
      </c>
      <c r="AA1340">
        <v>49.621990175000001</v>
      </c>
      <c r="AB1340">
        <v>47.266030729999997</v>
      </c>
    </row>
    <row r="1341" spans="1:28" hidden="1" x14ac:dyDescent="0.25">
      <c r="A1341" t="s">
        <v>134</v>
      </c>
      <c r="B1341" t="s">
        <v>140</v>
      </c>
      <c r="C1341">
        <v>66</v>
      </c>
      <c r="D1341" t="s">
        <v>3</v>
      </c>
      <c r="E1341">
        <v>11.2966852543</v>
      </c>
      <c r="F1341">
        <v>11.0113763647</v>
      </c>
      <c r="G1341">
        <v>10.958879827900001</v>
      </c>
      <c r="H1341">
        <v>10.781029892699999</v>
      </c>
      <c r="I1341">
        <v>10.7347658637</v>
      </c>
      <c r="J1341">
        <v>10.911539557599999</v>
      </c>
      <c r="K1341">
        <v>11.6711728108</v>
      </c>
      <c r="L1341">
        <v>12.517871464600001</v>
      </c>
      <c r="M1341">
        <v>13.940173375700001</v>
      </c>
      <c r="N1341">
        <v>15.1044916039</v>
      </c>
      <c r="O1341">
        <v>16.111353329699998</v>
      </c>
      <c r="P1341">
        <v>16.618636410200001</v>
      </c>
      <c r="Q1341">
        <v>17.084654433800001</v>
      </c>
      <c r="R1341">
        <v>16.778843056900001</v>
      </c>
      <c r="S1341">
        <v>16.631735771500001</v>
      </c>
      <c r="T1341">
        <v>16.4161713156</v>
      </c>
      <c r="U1341">
        <v>16.032177108599999</v>
      </c>
      <c r="V1341">
        <v>15.2837809632</v>
      </c>
      <c r="W1341">
        <v>15.162969631299999</v>
      </c>
      <c r="X1341">
        <v>14.456328810600001</v>
      </c>
      <c r="Y1341">
        <v>13.504705445300001</v>
      </c>
      <c r="Z1341">
        <v>12.4302385719</v>
      </c>
      <c r="AA1341">
        <v>12.0407425004</v>
      </c>
      <c r="AB1341">
        <v>11.7838581186</v>
      </c>
    </row>
    <row r="1342" spans="1:28" hidden="1" x14ac:dyDescent="0.25">
      <c r="A1342" t="s">
        <v>134</v>
      </c>
      <c r="B1342" t="s">
        <v>140</v>
      </c>
      <c r="C1342">
        <v>66</v>
      </c>
      <c r="D1342" t="s">
        <v>4</v>
      </c>
      <c r="E1342">
        <v>0.66731122499999995</v>
      </c>
      <c r="F1342">
        <v>0.64064522999999995</v>
      </c>
      <c r="G1342">
        <v>0.62373721500000001</v>
      </c>
      <c r="H1342">
        <v>0.60096300000000002</v>
      </c>
      <c r="I1342">
        <v>0.58767175500000002</v>
      </c>
      <c r="J1342">
        <v>0.58202923500000003</v>
      </c>
      <c r="K1342">
        <v>0.61354061999999998</v>
      </c>
      <c r="L1342">
        <v>0.67605483</v>
      </c>
      <c r="M1342">
        <v>0.76425600000000005</v>
      </c>
      <c r="N1342">
        <v>0.82546057500000003</v>
      </c>
      <c r="O1342">
        <v>0.87808445999999996</v>
      </c>
      <c r="P1342">
        <v>0.90495365999999999</v>
      </c>
      <c r="Q1342">
        <v>0.91446646499999995</v>
      </c>
      <c r="R1342">
        <v>0.92135263499999998</v>
      </c>
      <c r="S1342">
        <v>0.92406621</v>
      </c>
      <c r="T1342">
        <v>0.90832150499999997</v>
      </c>
      <c r="U1342">
        <v>0.88073604000000005</v>
      </c>
      <c r="V1342">
        <v>0.83937838499999995</v>
      </c>
      <c r="W1342">
        <v>0.86529962989999998</v>
      </c>
      <c r="X1342">
        <v>0.86637553499999997</v>
      </c>
      <c r="Y1342">
        <v>0.82899732000000004</v>
      </c>
      <c r="Z1342">
        <v>0.77953236000000004</v>
      </c>
      <c r="AA1342">
        <v>0.75566482499999998</v>
      </c>
      <c r="AB1342">
        <v>0.71978726999999998</v>
      </c>
    </row>
    <row r="1343" spans="1:28" hidden="1" x14ac:dyDescent="0.25">
      <c r="A1343" t="s">
        <v>134</v>
      </c>
      <c r="B1343" t="s">
        <v>141</v>
      </c>
      <c r="C1343">
        <v>66</v>
      </c>
      <c r="D1343" t="s">
        <v>2</v>
      </c>
      <c r="E1343">
        <v>3.5074352800000002</v>
      </c>
      <c r="F1343">
        <v>3.64957669</v>
      </c>
      <c r="G1343">
        <v>3.5815397849999999</v>
      </c>
      <c r="H1343">
        <v>3.5002418249999998</v>
      </c>
      <c r="I1343">
        <v>3.1472700300000001</v>
      </c>
      <c r="J1343">
        <v>2.86185643</v>
      </c>
      <c r="K1343">
        <v>3.0155922749999999</v>
      </c>
      <c r="L1343">
        <v>3.8335628700000002</v>
      </c>
      <c r="M1343">
        <v>4.364214875</v>
      </c>
      <c r="N1343">
        <v>4.0829294100000002</v>
      </c>
      <c r="O1343">
        <v>4.6361517049999996</v>
      </c>
      <c r="P1343">
        <v>4.4597421449999999</v>
      </c>
      <c r="Q1343">
        <v>4.1529688199999999</v>
      </c>
      <c r="R1343">
        <v>4.8148149450000002</v>
      </c>
      <c r="S1343">
        <v>4.5986852599999999</v>
      </c>
      <c r="T1343">
        <v>4.5044247000000004</v>
      </c>
      <c r="U1343">
        <v>3.9286291599999998</v>
      </c>
      <c r="V1343">
        <v>3.4744033050000001</v>
      </c>
      <c r="W1343">
        <v>3.8360165049999999</v>
      </c>
      <c r="X1343">
        <v>3.9143033200000001</v>
      </c>
      <c r="Y1343">
        <v>4.176950615</v>
      </c>
      <c r="Z1343">
        <v>3.949419555</v>
      </c>
      <c r="AA1343">
        <v>4.1424519750000002</v>
      </c>
      <c r="AB1343">
        <v>4.024906015</v>
      </c>
    </row>
    <row r="1344" spans="1:28" hidden="1" x14ac:dyDescent="0.25">
      <c r="A1344" t="s">
        <v>134</v>
      </c>
      <c r="B1344" t="s">
        <v>141</v>
      </c>
      <c r="C1344">
        <v>66</v>
      </c>
      <c r="D1344" t="s">
        <v>3</v>
      </c>
      <c r="E1344">
        <v>1.1731246390000001</v>
      </c>
      <c r="F1344">
        <v>1.1750319312999999</v>
      </c>
      <c r="G1344">
        <v>1.1495109878000001</v>
      </c>
      <c r="H1344">
        <v>1.1060125865999999</v>
      </c>
      <c r="I1344">
        <v>0.99734907559999997</v>
      </c>
      <c r="J1344">
        <v>0.89201072810000004</v>
      </c>
      <c r="K1344">
        <v>1.0204100384000001</v>
      </c>
      <c r="L1344">
        <v>1.3894892003999999</v>
      </c>
      <c r="M1344">
        <v>1.7008611413000001</v>
      </c>
      <c r="N1344">
        <v>1.6175272329999999</v>
      </c>
      <c r="O1344">
        <v>1.8429521557999999</v>
      </c>
      <c r="P1344">
        <v>1.7329934791999999</v>
      </c>
      <c r="Q1344">
        <v>1.5487028121999999</v>
      </c>
      <c r="R1344">
        <v>1.8697455437999999</v>
      </c>
      <c r="S1344">
        <v>1.8241637401999999</v>
      </c>
      <c r="T1344">
        <v>1.8050980915999999</v>
      </c>
      <c r="U1344">
        <v>1.5634230541</v>
      </c>
      <c r="V1344">
        <v>1.3171769326</v>
      </c>
      <c r="W1344">
        <v>1.3167376238999999</v>
      </c>
      <c r="X1344">
        <v>1.2754229511999999</v>
      </c>
      <c r="Y1344">
        <v>1.3917781379</v>
      </c>
      <c r="Z1344">
        <v>1.2972703814</v>
      </c>
      <c r="AA1344">
        <v>1.3417581455000001</v>
      </c>
      <c r="AB1344">
        <v>1.356754623</v>
      </c>
    </row>
    <row r="1345" spans="1:28" hidden="1" x14ac:dyDescent="0.25">
      <c r="A1345" t="s">
        <v>134</v>
      </c>
      <c r="B1345" t="s">
        <v>141</v>
      </c>
      <c r="C1345">
        <v>66</v>
      </c>
      <c r="D1345" t="s">
        <v>4</v>
      </c>
      <c r="E1345">
        <v>5.3412719999999997E-2</v>
      </c>
      <c r="F1345">
        <v>5.5577309999999998E-2</v>
      </c>
      <c r="G1345">
        <v>5.4541214999999997E-2</v>
      </c>
      <c r="H1345">
        <v>5.3303175000000001E-2</v>
      </c>
      <c r="I1345">
        <v>4.792797E-2</v>
      </c>
      <c r="J1345">
        <v>4.358157E-2</v>
      </c>
      <c r="K1345">
        <v>4.5922724999999998E-2</v>
      </c>
      <c r="L1345">
        <v>5.8379130000000001E-2</v>
      </c>
      <c r="M1345">
        <v>6.6460124999999995E-2</v>
      </c>
      <c r="N1345">
        <v>6.2176589999999997E-2</v>
      </c>
      <c r="O1345">
        <v>7.0601294999999994E-2</v>
      </c>
      <c r="P1345">
        <v>6.7914854999999996E-2</v>
      </c>
      <c r="Q1345">
        <v>6.3243179999999996E-2</v>
      </c>
      <c r="R1345">
        <v>7.3322054999999997E-2</v>
      </c>
      <c r="S1345">
        <v>7.0030739999999994E-2</v>
      </c>
      <c r="T1345">
        <v>6.8595299999999998E-2</v>
      </c>
      <c r="U1345">
        <v>5.9826839999999999E-2</v>
      </c>
      <c r="V1345">
        <v>5.2909695E-2</v>
      </c>
      <c r="W1345">
        <v>5.8416494999999999E-2</v>
      </c>
      <c r="X1345">
        <v>5.9608679999999997E-2</v>
      </c>
      <c r="Y1345">
        <v>6.3608385000000003E-2</v>
      </c>
      <c r="Z1345">
        <v>6.0143444999999997E-2</v>
      </c>
      <c r="AA1345">
        <v>6.3083025000000001E-2</v>
      </c>
      <c r="AB1345">
        <v>6.1292985000000001E-2</v>
      </c>
    </row>
    <row r="1346" spans="1:28" hidden="1" x14ac:dyDescent="0.25">
      <c r="A1346" t="s">
        <v>134</v>
      </c>
      <c r="B1346" t="s">
        <v>142</v>
      </c>
      <c r="C1346">
        <v>34</v>
      </c>
      <c r="D1346" t="s">
        <v>2</v>
      </c>
      <c r="E1346">
        <v>10.252099749999999</v>
      </c>
      <c r="F1346">
        <v>9.7641849000000001</v>
      </c>
      <c r="G1346">
        <v>9.3895068800000008</v>
      </c>
      <c r="H1346">
        <v>9.1687649499999999</v>
      </c>
      <c r="I1346">
        <v>8.7292172099999998</v>
      </c>
      <c r="J1346">
        <v>9.5160278599999994</v>
      </c>
      <c r="K1346">
        <v>9.80201587</v>
      </c>
      <c r="L1346">
        <v>10.216755859999999</v>
      </c>
      <c r="M1346">
        <v>10.38433015</v>
      </c>
      <c r="N1346">
        <v>10.309134780000001</v>
      </c>
      <c r="O1346">
        <v>10.425660880000001</v>
      </c>
      <c r="P1346">
        <v>10.984663149999999</v>
      </c>
      <c r="Q1346">
        <v>11.1537972</v>
      </c>
      <c r="R1346">
        <v>11.17527009</v>
      </c>
      <c r="S1346">
        <v>10.45878735</v>
      </c>
      <c r="T1346">
        <v>10.906490850000001</v>
      </c>
      <c r="U1346">
        <v>10.386285669999999</v>
      </c>
      <c r="V1346">
        <v>10.54590305</v>
      </c>
      <c r="W1346">
        <v>12.39744681</v>
      </c>
      <c r="X1346">
        <v>11.950658990000001</v>
      </c>
      <c r="Y1346">
        <v>12.306263899999999</v>
      </c>
      <c r="Z1346">
        <v>10.967543620000001</v>
      </c>
      <c r="AA1346">
        <v>10.612818499999999</v>
      </c>
      <c r="AB1346">
        <v>10.186906049999999</v>
      </c>
    </row>
    <row r="1347" spans="1:28" hidden="1" x14ac:dyDescent="0.25">
      <c r="A1347" t="s">
        <v>134</v>
      </c>
      <c r="B1347" t="s">
        <v>142</v>
      </c>
      <c r="C1347">
        <v>34</v>
      </c>
      <c r="D1347" t="s">
        <v>3</v>
      </c>
      <c r="E1347">
        <v>4.9321685289000001</v>
      </c>
      <c r="F1347">
        <v>4.7171125285000004</v>
      </c>
      <c r="G1347">
        <v>4.5081127704000004</v>
      </c>
      <c r="H1347">
        <v>4.4146340024999997</v>
      </c>
      <c r="I1347">
        <v>4.4229435909000001</v>
      </c>
      <c r="J1347">
        <v>4.6007339311999997</v>
      </c>
      <c r="K1347">
        <v>5.2168474727999996</v>
      </c>
      <c r="L1347">
        <v>5.3586903886000004</v>
      </c>
      <c r="M1347">
        <v>5.417192988</v>
      </c>
      <c r="N1347">
        <v>5.5942452975999997</v>
      </c>
      <c r="O1347">
        <v>5.6981779094</v>
      </c>
      <c r="P1347">
        <v>5.5480131817</v>
      </c>
      <c r="Q1347">
        <v>5.7964974145000001</v>
      </c>
      <c r="R1347">
        <v>5.7345405144999999</v>
      </c>
      <c r="S1347">
        <v>5.6584145584999996</v>
      </c>
      <c r="T1347">
        <v>5.5388616768999999</v>
      </c>
      <c r="U1347">
        <v>5.2206114114000002</v>
      </c>
      <c r="V1347">
        <v>5.3472383888000001</v>
      </c>
      <c r="W1347">
        <v>5.6866566125000002</v>
      </c>
      <c r="X1347">
        <v>5.2137438072000002</v>
      </c>
      <c r="Y1347">
        <v>5.5591289496999998</v>
      </c>
      <c r="Z1347">
        <v>4.9598382926999998</v>
      </c>
      <c r="AA1347">
        <v>4.8164695196</v>
      </c>
      <c r="AB1347">
        <v>4.8270616269</v>
      </c>
    </row>
    <row r="1348" spans="1:28" hidden="1" x14ac:dyDescent="0.25">
      <c r="A1348" t="s">
        <v>134</v>
      </c>
      <c r="B1348" t="s">
        <v>142</v>
      </c>
      <c r="C1348">
        <v>34</v>
      </c>
      <c r="D1348" t="s">
        <v>4</v>
      </c>
      <c r="E1348">
        <v>0.31707524999999998</v>
      </c>
      <c r="F1348">
        <v>0.30198510000000001</v>
      </c>
      <c r="G1348">
        <v>0.29039712000000001</v>
      </c>
      <c r="H1348">
        <v>0.28357005000000002</v>
      </c>
      <c r="I1348">
        <v>0.26997578999999999</v>
      </c>
      <c r="J1348">
        <v>0.29431014</v>
      </c>
      <c r="K1348">
        <v>0.30315512999999999</v>
      </c>
      <c r="L1348">
        <v>0.31598214000000002</v>
      </c>
      <c r="M1348">
        <v>0.32116485</v>
      </c>
      <c r="N1348">
        <v>0.31883921999999998</v>
      </c>
      <c r="O1348">
        <v>0.32244312000000003</v>
      </c>
      <c r="P1348">
        <v>0.33973185</v>
      </c>
      <c r="Q1348">
        <v>0.34496280000000001</v>
      </c>
      <c r="R1348">
        <v>0.34562691000000001</v>
      </c>
      <c r="S1348">
        <v>0.32346765</v>
      </c>
      <c r="T1348">
        <v>0.33731414999999998</v>
      </c>
      <c r="U1348">
        <v>0.32122532999999998</v>
      </c>
      <c r="V1348">
        <v>0.32616194999999998</v>
      </c>
      <c r="W1348">
        <v>0.38342619</v>
      </c>
      <c r="X1348">
        <v>0.36960800999999999</v>
      </c>
      <c r="Y1348">
        <v>0.3806061</v>
      </c>
      <c r="Z1348">
        <v>0.33920238000000003</v>
      </c>
      <c r="AA1348">
        <v>0.32823150000000001</v>
      </c>
      <c r="AB1348">
        <v>0.31505895</v>
      </c>
    </row>
    <row r="1349" spans="1:28" hidden="1" x14ac:dyDescent="0.25">
      <c r="A1349" t="s">
        <v>134</v>
      </c>
      <c r="B1349" t="s">
        <v>143</v>
      </c>
      <c r="C1349">
        <v>14</v>
      </c>
      <c r="D1349" t="s">
        <v>2</v>
      </c>
      <c r="E1349">
        <v>18.5393431</v>
      </c>
      <c r="F1349">
        <v>18.32444645</v>
      </c>
      <c r="G1349">
        <v>18.252345250000001</v>
      </c>
      <c r="H1349">
        <v>17.846455850000002</v>
      </c>
      <c r="I1349">
        <v>17.629229800000001</v>
      </c>
      <c r="J1349">
        <v>16.731379100000002</v>
      </c>
      <c r="K1349">
        <v>14.855729500000001</v>
      </c>
      <c r="L1349">
        <v>14.612700500000001</v>
      </c>
      <c r="M1349">
        <v>14.14127725</v>
      </c>
      <c r="N1349">
        <v>14.356359149999999</v>
      </c>
      <c r="O1349">
        <v>15.490259200000001</v>
      </c>
      <c r="P1349">
        <v>15.817911349999999</v>
      </c>
      <c r="Q1349">
        <v>16.001653699999999</v>
      </c>
      <c r="R1349">
        <v>16.432437849999999</v>
      </c>
      <c r="S1349">
        <v>16.506823799999999</v>
      </c>
      <c r="T1349">
        <v>15.650999199999999</v>
      </c>
      <c r="U1349">
        <v>15.250734749999999</v>
      </c>
      <c r="V1349">
        <v>15.99074105</v>
      </c>
      <c r="W1349">
        <v>18.726151099999999</v>
      </c>
      <c r="X1349">
        <v>19.84963535</v>
      </c>
      <c r="Y1349">
        <v>20.3024728</v>
      </c>
      <c r="Z1349">
        <v>20.248293350000001</v>
      </c>
      <c r="AA1349">
        <v>19.696941850000002</v>
      </c>
      <c r="AB1349">
        <v>19.132169699999999</v>
      </c>
    </row>
    <row r="1350" spans="1:28" hidden="1" x14ac:dyDescent="0.25">
      <c r="A1350" t="s">
        <v>134</v>
      </c>
      <c r="B1350" t="s">
        <v>143</v>
      </c>
      <c r="C1350">
        <v>14</v>
      </c>
      <c r="D1350" t="s">
        <v>3</v>
      </c>
      <c r="E1350">
        <v>6.1165825199999997</v>
      </c>
      <c r="F1350">
        <v>6.1263701103999999</v>
      </c>
      <c r="G1350">
        <v>6.2469936198999996</v>
      </c>
      <c r="H1350">
        <v>6.2309872162</v>
      </c>
      <c r="I1350">
        <v>6.1725278499999998</v>
      </c>
      <c r="J1350">
        <v>5.8768992713000001</v>
      </c>
      <c r="K1350">
        <v>5.5510503689000004</v>
      </c>
      <c r="L1350">
        <v>5.5722753406000001</v>
      </c>
      <c r="M1350">
        <v>5.5497631805000003</v>
      </c>
      <c r="N1350">
        <v>5.7392559360000002</v>
      </c>
      <c r="O1350">
        <v>5.5779092439999998</v>
      </c>
      <c r="P1350">
        <v>5.9270486453000002</v>
      </c>
      <c r="Q1350">
        <v>5.9280450914999996</v>
      </c>
      <c r="R1350">
        <v>6.0011703860000001</v>
      </c>
      <c r="S1350">
        <v>5.9560660793000002</v>
      </c>
      <c r="T1350">
        <v>5.8211672634999996</v>
      </c>
      <c r="U1350">
        <v>5.6797614773999996</v>
      </c>
      <c r="V1350">
        <v>5.6734742200000001</v>
      </c>
      <c r="W1350">
        <v>6.0419474754999998</v>
      </c>
      <c r="X1350">
        <v>6.0897549068999997</v>
      </c>
      <c r="Y1350">
        <v>6.1952926781000004</v>
      </c>
      <c r="Z1350">
        <v>5.8324286785000004</v>
      </c>
      <c r="AA1350">
        <v>6.5012906018000001</v>
      </c>
      <c r="AB1350">
        <v>6.6145540388999997</v>
      </c>
    </row>
    <row r="1351" spans="1:28" hidden="1" x14ac:dyDescent="0.25">
      <c r="A1351" t="s">
        <v>134</v>
      </c>
      <c r="B1351" t="s">
        <v>143</v>
      </c>
      <c r="C1351">
        <v>14</v>
      </c>
      <c r="D1351" t="s">
        <v>4</v>
      </c>
      <c r="E1351">
        <v>0.97575489999999998</v>
      </c>
      <c r="F1351">
        <v>0.96444454999999996</v>
      </c>
      <c r="G1351">
        <v>0.96064974999999997</v>
      </c>
      <c r="H1351">
        <v>0.93928714999999996</v>
      </c>
      <c r="I1351">
        <v>0.92785419999999996</v>
      </c>
      <c r="J1351">
        <v>0.88059889999999996</v>
      </c>
      <c r="K1351">
        <v>0.78188049999999998</v>
      </c>
      <c r="L1351">
        <v>0.76908949999999998</v>
      </c>
      <c r="M1351">
        <v>0.74427774999999996</v>
      </c>
      <c r="N1351">
        <v>0.75559785000000002</v>
      </c>
      <c r="O1351">
        <v>0.81527680000000002</v>
      </c>
      <c r="P1351">
        <v>0.83252165</v>
      </c>
      <c r="Q1351">
        <v>0.8421923</v>
      </c>
      <c r="R1351">
        <v>0.86486514999999997</v>
      </c>
      <c r="S1351">
        <v>0.8687802</v>
      </c>
      <c r="T1351">
        <v>0.82373680000000005</v>
      </c>
      <c r="U1351">
        <v>0.80267025000000003</v>
      </c>
      <c r="V1351">
        <v>0.84161794999999995</v>
      </c>
      <c r="W1351">
        <v>0.98558690000000004</v>
      </c>
      <c r="X1351">
        <v>1.0447176499999999</v>
      </c>
      <c r="Y1351">
        <v>1.0685511999999999</v>
      </c>
      <c r="Z1351">
        <v>1.06569965</v>
      </c>
      <c r="AA1351">
        <v>1.0366811499999999</v>
      </c>
      <c r="AB1351">
        <v>1.0069562999999999</v>
      </c>
    </row>
    <row r="1352" spans="1:28" hidden="1" x14ac:dyDescent="0.25">
      <c r="A1352" t="s">
        <v>134</v>
      </c>
      <c r="B1352" t="s">
        <v>144</v>
      </c>
      <c r="C1352">
        <v>66</v>
      </c>
      <c r="D1352" t="s">
        <v>2</v>
      </c>
      <c r="E1352">
        <v>32.856194854999998</v>
      </c>
      <c r="F1352">
        <v>32.687943064999999</v>
      </c>
      <c r="G1352">
        <v>32.021764910000002</v>
      </c>
      <c r="H1352">
        <v>31.169490705000001</v>
      </c>
      <c r="I1352">
        <v>31.277135444999999</v>
      </c>
      <c r="J1352">
        <v>30.93720111</v>
      </c>
      <c r="K1352">
        <v>29.501473975</v>
      </c>
      <c r="L1352">
        <v>30.025107855000002</v>
      </c>
      <c r="M1352">
        <v>31.220206385000001</v>
      </c>
      <c r="N1352">
        <v>31.879746624999999</v>
      </c>
      <c r="O1352">
        <v>32.553409795</v>
      </c>
      <c r="P1352">
        <v>32.775483954999999</v>
      </c>
      <c r="Q1352">
        <v>32.458321835</v>
      </c>
      <c r="R1352">
        <v>33.027848835</v>
      </c>
      <c r="S1352">
        <v>33.056372465000003</v>
      </c>
      <c r="T1352">
        <v>32.86955244</v>
      </c>
      <c r="U1352">
        <v>32.203403835000003</v>
      </c>
      <c r="V1352">
        <v>33.054462549999997</v>
      </c>
      <c r="W1352">
        <v>35.923556759999997</v>
      </c>
      <c r="X1352">
        <v>35.761482890000003</v>
      </c>
      <c r="Y1352">
        <v>36.28975612</v>
      </c>
      <c r="Z1352">
        <v>34.571096599999997</v>
      </c>
      <c r="AA1352">
        <v>33.888321195000003</v>
      </c>
      <c r="AB1352">
        <v>33.647365569999998</v>
      </c>
    </row>
    <row r="1353" spans="1:28" hidden="1" x14ac:dyDescent="0.25">
      <c r="A1353" t="s">
        <v>134</v>
      </c>
      <c r="B1353" t="s">
        <v>144</v>
      </c>
      <c r="C1353">
        <v>66</v>
      </c>
      <c r="D1353" t="s">
        <v>3</v>
      </c>
      <c r="E1353">
        <v>12.945254154000001</v>
      </c>
      <c r="F1353">
        <v>13.4886511233</v>
      </c>
      <c r="G1353">
        <v>13.6238329905</v>
      </c>
      <c r="H1353">
        <v>13.211342737200001</v>
      </c>
      <c r="I1353">
        <v>13.332488271300001</v>
      </c>
      <c r="J1353">
        <v>13.127843823899999</v>
      </c>
      <c r="K1353">
        <v>12.3746695311</v>
      </c>
      <c r="L1353">
        <v>12.4918482711</v>
      </c>
      <c r="M1353">
        <v>12.799506319900001</v>
      </c>
      <c r="N1353">
        <v>12.934027043</v>
      </c>
      <c r="O1353">
        <v>13.5208637893</v>
      </c>
      <c r="P1353">
        <v>13.816642374100001</v>
      </c>
      <c r="Q1353">
        <v>13.321091748000001</v>
      </c>
      <c r="R1353">
        <v>14.063830234699999</v>
      </c>
      <c r="S1353">
        <v>14.268639157799999</v>
      </c>
      <c r="T1353">
        <v>13.8533074835</v>
      </c>
      <c r="U1353">
        <v>14.0494593192</v>
      </c>
      <c r="V1353">
        <v>13.8328267868</v>
      </c>
      <c r="W1353">
        <v>14.2858779283</v>
      </c>
      <c r="X1353">
        <v>13.415107125700001</v>
      </c>
      <c r="Y1353">
        <v>13.148537421</v>
      </c>
      <c r="Z1353">
        <v>12.4326098651</v>
      </c>
      <c r="AA1353">
        <v>12.573271735400001</v>
      </c>
      <c r="AB1353">
        <v>12.8534851988</v>
      </c>
    </row>
    <row r="1354" spans="1:28" hidden="1" x14ac:dyDescent="0.25">
      <c r="A1354" t="s">
        <v>134</v>
      </c>
      <c r="B1354" t="s">
        <v>144</v>
      </c>
      <c r="C1354">
        <v>66</v>
      </c>
      <c r="D1354" t="s">
        <v>4</v>
      </c>
      <c r="E1354">
        <v>0.50034814500000002</v>
      </c>
      <c r="F1354">
        <v>0.49778593500000001</v>
      </c>
      <c r="G1354">
        <v>0.48764109</v>
      </c>
      <c r="H1354">
        <v>0.47466229500000001</v>
      </c>
      <c r="I1354">
        <v>0.47630155499999999</v>
      </c>
      <c r="J1354">
        <v>0.47112489000000002</v>
      </c>
      <c r="K1354">
        <v>0.44926102499999998</v>
      </c>
      <c r="L1354">
        <v>0.45723514500000001</v>
      </c>
      <c r="M1354">
        <v>0.475434615</v>
      </c>
      <c r="N1354">
        <v>0.48547837500000002</v>
      </c>
      <c r="O1354">
        <v>0.49573720500000001</v>
      </c>
      <c r="P1354">
        <v>0.49911904499999998</v>
      </c>
      <c r="Q1354">
        <v>0.49428916499999997</v>
      </c>
      <c r="R1354">
        <v>0.50296216500000002</v>
      </c>
      <c r="S1354">
        <v>0.50339653500000003</v>
      </c>
      <c r="T1354">
        <v>0.50055156000000001</v>
      </c>
      <c r="U1354">
        <v>0.49040716499999998</v>
      </c>
      <c r="V1354">
        <v>0.50336745000000005</v>
      </c>
      <c r="W1354">
        <v>0.54705923999999995</v>
      </c>
      <c r="X1354">
        <v>0.54459111000000004</v>
      </c>
      <c r="Y1354">
        <v>0.55263587999999997</v>
      </c>
      <c r="Z1354">
        <v>0.52646340000000003</v>
      </c>
      <c r="AA1354">
        <v>0.51606580499999999</v>
      </c>
      <c r="AB1354">
        <v>0.51239643000000001</v>
      </c>
    </row>
    <row r="1355" spans="1:28" hidden="1" x14ac:dyDescent="0.25">
      <c r="A1355" t="s">
        <v>134</v>
      </c>
      <c r="B1355" t="s">
        <v>145</v>
      </c>
      <c r="C1355">
        <v>66</v>
      </c>
      <c r="D1355" t="s">
        <v>2</v>
      </c>
      <c r="E1355">
        <v>17.486419349999998</v>
      </c>
      <c r="F1355">
        <v>15.81977768</v>
      </c>
      <c r="G1355">
        <v>15.507153454999999</v>
      </c>
      <c r="H1355">
        <v>15.013086319999999</v>
      </c>
      <c r="I1355">
        <v>15.631746105</v>
      </c>
      <c r="J1355">
        <v>14.742095089999999</v>
      </c>
      <c r="K1355">
        <v>14.568945879999999</v>
      </c>
      <c r="L1355">
        <v>16.250196084999999</v>
      </c>
      <c r="M1355">
        <v>17.293842985000001</v>
      </c>
      <c r="N1355">
        <v>17.961987199999999</v>
      </c>
      <c r="O1355">
        <v>18.514501280000001</v>
      </c>
      <c r="P1355">
        <v>18.98753374</v>
      </c>
      <c r="Q1355">
        <v>18.582337245000002</v>
      </c>
      <c r="R1355">
        <v>18.871558855</v>
      </c>
      <c r="S1355">
        <v>19.101007710000001</v>
      </c>
      <c r="T1355">
        <v>18.63918258</v>
      </c>
      <c r="U1355">
        <v>17.924048939999999</v>
      </c>
      <c r="V1355">
        <v>17.417139375000001</v>
      </c>
      <c r="W1355">
        <v>19.355696205000001</v>
      </c>
      <c r="X1355">
        <v>20.418309279999999</v>
      </c>
      <c r="Y1355">
        <v>21.27330504</v>
      </c>
      <c r="Z1355">
        <v>20.173766284999999</v>
      </c>
      <c r="AA1355">
        <v>19.444387575</v>
      </c>
      <c r="AB1355">
        <v>18.197262330000001</v>
      </c>
    </row>
    <row r="1356" spans="1:28" hidden="1" x14ac:dyDescent="0.25">
      <c r="A1356" t="s">
        <v>134</v>
      </c>
      <c r="B1356" t="s">
        <v>145</v>
      </c>
      <c r="C1356">
        <v>66</v>
      </c>
      <c r="D1356" t="s">
        <v>3</v>
      </c>
      <c r="E1356">
        <v>3.9661185297000001</v>
      </c>
      <c r="F1356">
        <v>3.662646224</v>
      </c>
      <c r="G1356">
        <v>3.8373914106</v>
      </c>
      <c r="H1356">
        <v>3.8258640319000001</v>
      </c>
      <c r="I1356">
        <v>4.0557915289000004</v>
      </c>
      <c r="J1356">
        <v>4.0442227176000003</v>
      </c>
      <c r="K1356">
        <v>4.1311421770000001</v>
      </c>
      <c r="L1356">
        <v>5.2809689893999998</v>
      </c>
      <c r="M1356">
        <v>5.4651702603999999</v>
      </c>
      <c r="N1356">
        <v>5.4561609058</v>
      </c>
      <c r="O1356">
        <v>5.4522468788999996</v>
      </c>
      <c r="P1356">
        <v>5.4677865671000001</v>
      </c>
      <c r="Q1356">
        <v>5.3117224576000002</v>
      </c>
      <c r="R1356">
        <v>5.4306959496999996</v>
      </c>
      <c r="S1356">
        <v>5.2384575875000001</v>
      </c>
      <c r="T1356">
        <v>5.0593039421999997</v>
      </c>
      <c r="U1356">
        <v>4.9120318971000003</v>
      </c>
      <c r="V1356">
        <v>5.1210449017000004</v>
      </c>
      <c r="W1356">
        <v>5.9331612467000001</v>
      </c>
      <c r="X1356">
        <v>5.2533004154</v>
      </c>
      <c r="Y1356">
        <v>5.1952980078</v>
      </c>
      <c r="Z1356">
        <v>4.9420701810000001</v>
      </c>
      <c r="AA1356">
        <v>4.7996583066999996</v>
      </c>
      <c r="AB1356">
        <v>4.5215435048000003</v>
      </c>
    </row>
    <row r="1357" spans="1:28" hidden="1" x14ac:dyDescent="0.25">
      <c r="A1357" t="s">
        <v>134</v>
      </c>
      <c r="B1357" t="s">
        <v>145</v>
      </c>
      <c r="C1357">
        <v>66</v>
      </c>
      <c r="D1357" t="s">
        <v>4</v>
      </c>
      <c r="E1357">
        <v>0.26629065000000002</v>
      </c>
      <c r="F1357">
        <v>0.24091032000000001</v>
      </c>
      <c r="G1357">
        <v>0.23614954499999999</v>
      </c>
      <c r="H1357">
        <v>0.22862568</v>
      </c>
      <c r="I1357">
        <v>0.23804689500000001</v>
      </c>
      <c r="J1357">
        <v>0.22449891</v>
      </c>
      <c r="K1357">
        <v>0.22186212</v>
      </c>
      <c r="L1357">
        <v>0.24746491500000001</v>
      </c>
      <c r="M1357">
        <v>0.263358015</v>
      </c>
      <c r="N1357">
        <v>0.27353280000000002</v>
      </c>
      <c r="O1357">
        <v>0.28194671999999998</v>
      </c>
      <c r="P1357">
        <v>0.28915025999999999</v>
      </c>
      <c r="Q1357">
        <v>0.282979755</v>
      </c>
      <c r="R1357">
        <v>0.28738414499999998</v>
      </c>
      <c r="S1357">
        <v>0.29087828999999998</v>
      </c>
      <c r="T1357">
        <v>0.28384542000000001</v>
      </c>
      <c r="U1357">
        <v>0.27295506000000003</v>
      </c>
      <c r="V1357">
        <v>0.26523562499999997</v>
      </c>
      <c r="W1357">
        <v>0.29475679500000002</v>
      </c>
      <c r="X1357">
        <v>0.31093872</v>
      </c>
      <c r="Y1357">
        <v>0.32395896000000002</v>
      </c>
      <c r="Z1357">
        <v>0.30721471500000003</v>
      </c>
      <c r="AA1357">
        <v>0.29610742499999998</v>
      </c>
      <c r="AB1357">
        <v>0.27711566999999998</v>
      </c>
    </row>
    <row r="1358" spans="1:28" hidden="1" x14ac:dyDescent="0.25">
      <c r="A1358" t="s">
        <v>134</v>
      </c>
      <c r="B1358" t="s">
        <v>146</v>
      </c>
      <c r="C1358">
        <v>14</v>
      </c>
      <c r="D1358" t="s">
        <v>2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</row>
    <row r="1359" spans="1:28" hidden="1" x14ac:dyDescent="0.25">
      <c r="A1359" t="s">
        <v>134</v>
      </c>
      <c r="B1359" t="s">
        <v>146</v>
      </c>
      <c r="C1359">
        <v>14</v>
      </c>
      <c r="D1359" t="s">
        <v>3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</row>
    <row r="1360" spans="1:28" hidden="1" x14ac:dyDescent="0.25">
      <c r="A1360" t="s">
        <v>134</v>
      </c>
      <c r="B1360" t="s">
        <v>146</v>
      </c>
      <c r="C1360">
        <v>14</v>
      </c>
      <c r="D1360" t="s">
        <v>4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</row>
    <row r="1361" spans="1:28" hidden="1" x14ac:dyDescent="0.25">
      <c r="A1361" t="s">
        <v>134</v>
      </c>
      <c r="B1361" t="s">
        <v>147</v>
      </c>
      <c r="C1361">
        <v>14</v>
      </c>
      <c r="D1361" t="s">
        <v>2</v>
      </c>
      <c r="E1361">
        <v>9.9183287</v>
      </c>
      <c r="F1361">
        <v>8.9571348499999992</v>
      </c>
      <c r="G1361">
        <v>8.8518758000000002</v>
      </c>
      <c r="H1361">
        <v>9.1243338999999999</v>
      </c>
      <c r="I1361">
        <v>8.8738322000000007</v>
      </c>
      <c r="J1361">
        <v>9.0259148499999995</v>
      </c>
      <c r="K1361">
        <v>10.03308395</v>
      </c>
      <c r="L1361">
        <v>12.35033915</v>
      </c>
      <c r="M1361">
        <v>14.35690065</v>
      </c>
      <c r="N1361">
        <v>16.082667799999999</v>
      </c>
      <c r="O1361">
        <v>17.856625600000001</v>
      </c>
      <c r="P1361">
        <v>18.547374399999999</v>
      </c>
      <c r="Q1361">
        <v>17.368378799999999</v>
      </c>
      <c r="R1361">
        <v>18.428382150000001</v>
      </c>
      <c r="S1361">
        <v>17.36724735</v>
      </c>
      <c r="T1361">
        <v>18.171553450000001</v>
      </c>
      <c r="U1361">
        <v>16.351097899999999</v>
      </c>
      <c r="V1361">
        <v>15.545882649999999</v>
      </c>
      <c r="W1361">
        <v>15.650998250000001</v>
      </c>
      <c r="X1361">
        <v>16.166365649999999</v>
      </c>
      <c r="Y1361">
        <v>15.127656549999999</v>
      </c>
      <c r="Z1361">
        <v>13.34762445</v>
      </c>
      <c r="AA1361">
        <v>12.375814350000001</v>
      </c>
      <c r="AB1361">
        <v>11.44027715</v>
      </c>
    </row>
    <row r="1362" spans="1:28" hidden="1" x14ac:dyDescent="0.25">
      <c r="A1362" t="s">
        <v>134</v>
      </c>
      <c r="B1362" t="s">
        <v>147</v>
      </c>
      <c r="C1362">
        <v>14</v>
      </c>
      <c r="D1362" t="s">
        <v>3</v>
      </c>
      <c r="E1362">
        <v>2.4840325736</v>
      </c>
      <c r="F1362">
        <v>2.2647682756999998</v>
      </c>
      <c r="G1362">
        <v>2.2618712121</v>
      </c>
      <c r="H1362">
        <v>2.4078240413000001</v>
      </c>
      <c r="I1362">
        <v>2.4823304351000002</v>
      </c>
      <c r="J1362">
        <v>2.5715023450999999</v>
      </c>
      <c r="K1362">
        <v>2.8338191306999998</v>
      </c>
      <c r="L1362">
        <v>3.2378524433</v>
      </c>
      <c r="M1362">
        <v>3.4454806773</v>
      </c>
      <c r="N1362">
        <v>3.6462024649</v>
      </c>
      <c r="O1362">
        <v>3.9834082525999999</v>
      </c>
      <c r="P1362">
        <v>4.2234781479999999</v>
      </c>
      <c r="Q1362">
        <v>3.9714326142999998</v>
      </c>
      <c r="R1362">
        <v>4.0627309529</v>
      </c>
      <c r="S1362">
        <v>3.7743207276000001</v>
      </c>
      <c r="T1362">
        <v>3.9049946425000002</v>
      </c>
      <c r="U1362">
        <v>3.7326428998000001</v>
      </c>
      <c r="V1362">
        <v>3.8394143995999999</v>
      </c>
      <c r="W1362">
        <v>3.8771338877999999</v>
      </c>
      <c r="X1362">
        <v>3.8716638201000002</v>
      </c>
      <c r="Y1362">
        <v>3.707920476</v>
      </c>
      <c r="Z1362">
        <v>3.1875065176000001</v>
      </c>
      <c r="AA1362">
        <v>2.8275013279999999</v>
      </c>
      <c r="AB1362">
        <v>2.7058826923999999</v>
      </c>
    </row>
    <row r="1363" spans="1:28" hidden="1" x14ac:dyDescent="0.25">
      <c r="A1363" t="s">
        <v>134</v>
      </c>
      <c r="B1363" t="s">
        <v>147</v>
      </c>
      <c r="C1363">
        <v>14</v>
      </c>
      <c r="D1363" t="s">
        <v>4</v>
      </c>
      <c r="E1363">
        <v>0.52201730000000002</v>
      </c>
      <c r="F1363">
        <v>0.47142814999999999</v>
      </c>
      <c r="G1363">
        <v>0.46588819999999997</v>
      </c>
      <c r="H1363">
        <v>0.48022809999999999</v>
      </c>
      <c r="I1363">
        <v>0.46704380000000001</v>
      </c>
      <c r="J1363">
        <v>0.47504815</v>
      </c>
      <c r="K1363">
        <v>0.52805705000000003</v>
      </c>
      <c r="L1363">
        <v>0.65001785000000001</v>
      </c>
      <c r="M1363">
        <v>0.75562635</v>
      </c>
      <c r="N1363">
        <v>0.84645619999999999</v>
      </c>
      <c r="O1363">
        <v>0.93982239999999995</v>
      </c>
      <c r="P1363">
        <v>0.97617759999999998</v>
      </c>
      <c r="Q1363">
        <v>0.91412519999999997</v>
      </c>
      <c r="R1363">
        <v>0.96991485</v>
      </c>
      <c r="S1363">
        <v>0.91406564999999995</v>
      </c>
      <c r="T1363">
        <v>0.95639755000000004</v>
      </c>
      <c r="U1363">
        <v>0.86058409999999996</v>
      </c>
      <c r="V1363">
        <v>0.81820435000000002</v>
      </c>
      <c r="W1363">
        <v>0.82373675000000002</v>
      </c>
      <c r="X1363">
        <v>0.85086134999999996</v>
      </c>
      <c r="Y1363">
        <v>0.79619245000000005</v>
      </c>
      <c r="Z1363">
        <v>0.70250654999999995</v>
      </c>
      <c r="AA1363">
        <v>0.65135865000000004</v>
      </c>
      <c r="AB1363">
        <v>0.60211985000000001</v>
      </c>
    </row>
    <row r="1364" spans="1:28" hidden="1" x14ac:dyDescent="0.25">
      <c r="A1364" t="s">
        <v>134</v>
      </c>
      <c r="B1364" t="s">
        <v>148</v>
      </c>
      <c r="C1364">
        <v>66</v>
      </c>
      <c r="D1364" t="s">
        <v>2</v>
      </c>
      <c r="E1364">
        <v>26.100194115000001</v>
      </c>
      <c r="F1364">
        <v>26.501465384999999</v>
      </c>
      <c r="G1364">
        <v>25.793837445000001</v>
      </c>
      <c r="H1364">
        <v>25.921470790000001</v>
      </c>
      <c r="I1364">
        <v>25.842182229999999</v>
      </c>
      <c r="J1364">
        <v>26.375013055</v>
      </c>
      <c r="K1364">
        <v>26.19929398</v>
      </c>
      <c r="L1364">
        <v>25.896655684999999</v>
      </c>
      <c r="M1364">
        <v>25.556507605</v>
      </c>
      <c r="N1364">
        <v>23.931578715000001</v>
      </c>
      <c r="O1364">
        <v>23.587173464999999</v>
      </c>
      <c r="P1364">
        <v>24.104337865000002</v>
      </c>
      <c r="Q1364">
        <v>25.124685575000001</v>
      </c>
      <c r="R1364">
        <v>24.582275625000001</v>
      </c>
      <c r="S1364">
        <v>24.485611665</v>
      </c>
      <c r="T1364">
        <v>25.857948140000001</v>
      </c>
      <c r="U1364">
        <v>27.283581980000001</v>
      </c>
      <c r="V1364">
        <v>26.92788075</v>
      </c>
      <c r="W1364">
        <v>29.793613154999999</v>
      </c>
      <c r="X1364">
        <v>29.374101655</v>
      </c>
      <c r="Y1364">
        <v>29.438642795</v>
      </c>
      <c r="Z1364">
        <v>27.755339849999999</v>
      </c>
      <c r="AA1364">
        <v>27.166400469999999</v>
      </c>
      <c r="AB1364">
        <v>26.912568924999999</v>
      </c>
    </row>
    <row r="1365" spans="1:28" hidden="1" x14ac:dyDescent="0.25">
      <c r="A1365" t="s">
        <v>134</v>
      </c>
      <c r="B1365" t="s">
        <v>148</v>
      </c>
      <c r="C1365">
        <v>66</v>
      </c>
      <c r="D1365" t="s">
        <v>3</v>
      </c>
      <c r="E1365">
        <v>8.7159471654999994</v>
      </c>
      <c r="F1365">
        <v>8.7359757151000004</v>
      </c>
      <c r="G1365">
        <v>8.7370324353999997</v>
      </c>
      <c r="H1365">
        <v>9.1820261110000008</v>
      </c>
      <c r="I1365">
        <v>9.7050137956999993</v>
      </c>
      <c r="J1365">
        <v>9.5938341023000007</v>
      </c>
      <c r="K1365">
        <v>10.2711855848</v>
      </c>
      <c r="L1365">
        <v>9.5870087166999998</v>
      </c>
      <c r="M1365">
        <v>9.2867900526000007</v>
      </c>
      <c r="N1365">
        <v>8.7493614020999999</v>
      </c>
      <c r="O1365">
        <v>8.5602183509999996</v>
      </c>
      <c r="P1365">
        <v>8.8934566843000002</v>
      </c>
      <c r="Q1365">
        <v>8.9336179183999995</v>
      </c>
      <c r="R1365">
        <v>9.1149065120999992</v>
      </c>
      <c r="S1365">
        <v>8.6105306686999992</v>
      </c>
      <c r="T1365">
        <v>9.7168082070999997</v>
      </c>
      <c r="U1365">
        <v>10.5229408166</v>
      </c>
      <c r="V1365">
        <v>10.5993275743</v>
      </c>
      <c r="W1365">
        <v>11.2651975686</v>
      </c>
      <c r="X1365">
        <v>11.691451885499999</v>
      </c>
      <c r="Y1365">
        <v>11.262737376500001</v>
      </c>
      <c r="Z1365">
        <v>10.6009154663</v>
      </c>
      <c r="AA1365">
        <v>10.445627635699999</v>
      </c>
      <c r="AB1365">
        <v>10.385858668499999</v>
      </c>
    </row>
    <row r="1366" spans="1:28" hidden="1" x14ac:dyDescent="0.25">
      <c r="A1366" t="s">
        <v>134</v>
      </c>
      <c r="B1366" t="s">
        <v>148</v>
      </c>
      <c r="C1366">
        <v>66</v>
      </c>
      <c r="D1366" t="s">
        <v>4</v>
      </c>
      <c r="E1366">
        <v>0.39746488499999999</v>
      </c>
      <c r="F1366">
        <v>0.403575615</v>
      </c>
      <c r="G1366">
        <v>0.39279955500000002</v>
      </c>
      <c r="H1366">
        <v>0.39474321000000001</v>
      </c>
      <c r="I1366">
        <v>0.39353577000000001</v>
      </c>
      <c r="J1366">
        <v>0.40164994500000001</v>
      </c>
      <c r="K1366">
        <v>0.39897401999999998</v>
      </c>
      <c r="L1366">
        <v>0.39436531499999999</v>
      </c>
      <c r="M1366">
        <v>0.38918539499999999</v>
      </c>
      <c r="N1366">
        <v>0.36444028499999997</v>
      </c>
      <c r="O1366">
        <v>0.35919553500000001</v>
      </c>
      <c r="P1366">
        <v>0.36707113499999999</v>
      </c>
      <c r="Q1366">
        <v>0.382609425</v>
      </c>
      <c r="R1366">
        <v>0.37434937499999998</v>
      </c>
      <c r="S1366">
        <v>0.37287733499999998</v>
      </c>
      <c r="T1366">
        <v>0.39377585999999998</v>
      </c>
      <c r="U1366">
        <v>0.41548602000000001</v>
      </c>
      <c r="V1366">
        <v>0.41006925</v>
      </c>
      <c r="W1366">
        <v>0.453709845</v>
      </c>
      <c r="X1366">
        <v>0.44732134499999998</v>
      </c>
      <c r="Y1366">
        <v>0.44830420500000001</v>
      </c>
      <c r="Z1366">
        <v>0.42267015000000002</v>
      </c>
      <c r="AA1366">
        <v>0.41370152999999998</v>
      </c>
      <c r="AB1366">
        <v>0.40983607500000002</v>
      </c>
    </row>
    <row r="1367" spans="1:28" hidden="1" x14ac:dyDescent="0.25">
      <c r="A1367" t="s">
        <v>134</v>
      </c>
      <c r="B1367" t="s">
        <v>149</v>
      </c>
      <c r="C1367">
        <v>110</v>
      </c>
      <c r="D1367" t="s">
        <v>2</v>
      </c>
      <c r="E1367">
        <v>33.840916100000001</v>
      </c>
      <c r="F1367">
        <v>34.497895339999999</v>
      </c>
      <c r="G1367">
        <v>31.934998230000001</v>
      </c>
      <c r="H1367">
        <v>31.984807709999998</v>
      </c>
      <c r="I1367">
        <v>29.053125614999999</v>
      </c>
      <c r="J1367">
        <v>29.25453546</v>
      </c>
      <c r="K1367">
        <v>28.889800794999999</v>
      </c>
      <c r="L1367">
        <v>31.168921375</v>
      </c>
      <c r="M1367">
        <v>29.021796705</v>
      </c>
      <c r="N1367">
        <v>32.339318075000001</v>
      </c>
      <c r="O1367">
        <v>32.558427385000002</v>
      </c>
      <c r="P1367">
        <v>32.977259234999998</v>
      </c>
      <c r="Q1367">
        <v>32.256621414999998</v>
      </c>
      <c r="R1367">
        <v>27.416677150000002</v>
      </c>
      <c r="S1367">
        <v>29.22767451</v>
      </c>
      <c r="T1367">
        <v>30.760759045</v>
      </c>
      <c r="U1367">
        <v>28.708419939999999</v>
      </c>
      <c r="V1367">
        <v>28.873145430000001</v>
      </c>
      <c r="W1367">
        <v>36.999178729999997</v>
      </c>
      <c r="X1367">
        <v>36.826981029999999</v>
      </c>
      <c r="Y1367">
        <v>37.15828775</v>
      </c>
      <c r="Z1367">
        <v>35.189219559999998</v>
      </c>
      <c r="AA1367">
        <v>32.19964409</v>
      </c>
      <c r="AB1367">
        <v>32.055505099999998</v>
      </c>
    </row>
    <row r="1368" spans="1:28" hidden="1" x14ac:dyDescent="0.25">
      <c r="A1368" t="s">
        <v>134</v>
      </c>
      <c r="B1368" t="s">
        <v>149</v>
      </c>
      <c r="C1368">
        <v>110</v>
      </c>
      <c r="D1368" t="s">
        <v>3</v>
      </c>
      <c r="E1368">
        <v>21.514004640900001</v>
      </c>
      <c r="F1368">
        <v>21.469578451699999</v>
      </c>
      <c r="G1368">
        <v>20.009497080500001</v>
      </c>
      <c r="H1368">
        <v>20.836338231999999</v>
      </c>
      <c r="I1368">
        <v>19.436852881</v>
      </c>
      <c r="J1368">
        <v>19.858579529099998</v>
      </c>
      <c r="K1368">
        <v>19.3884995614</v>
      </c>
      <c r="L1368">
        <v>19.841414540999999</v>
      </c>
      <c r="M1368">
        <v>18.137732311000001</v>
      </c>
      <c r="N1368">
        <v>19.9987671021</v>
      </c>
      <c r="O1368">
        <v>20.081195884</v>
      </c>
      <c r="P1368">
        <v>19.613854439400001</v>
      </c>
      <c r="Q1368">
        <v>19.6088319889</v>
      </c>
      <c r="R1368">
        <v>16.446594684699999</v>
      </c>
      <c r="S1368">
        <v>17.9292195783</v>
      </c>
      <c r="T1368">
        <v>19.558242504100001</v>
      </c>
      <c r="U1368">
        <v>18.567801245399998</v>
      </c>
      <c r="V1368">
        <v>18.273401454199998</v>
      </c>
      <c r="W1368">
        <v>23.602192852000002</v>
      </c>
      <c r="X1368">
        <v>23.548215354500002</v>
      </c>
      <c r="Y1368">
        <v>23.5967282059</v>
      </c>
      <c r="Z1368">
        <v>21.305245338300001</v>
      </c>
      <c r="AA1368">
        <v>19.948778622700001</v>
      </c>
      <c r="AB1368">
        <v>19.720419874600001</v>
      </c>
    </row>
    <row r="1369" spans="1:28" hidden="1" x14ac:dyDescent="0.25">
      <c r="A1369" t="s">
        <v>134</v>
      </c>
      <c r="B1369" t="s">
        <v>149</v>
      </c>
      <c r="C1369">
        <v>110</v>
      </c>
      <c r="D1369" t="s">
        <v>4</v>
      </c>
      <c r="E1369">
        <v>0.51534389999999997</v>
      </c>
      <c r="F1369">
        <v>0.52534866000000002</v>
      </c>
      <c r="G1369">
        <v>0.48631976999999998</v>
      </c>
      <c r="H1369">
        <v>0.48707829000000002</v>
      </c>
      <c r="I1369">
        <v>0.44243338500000001</v>
      </c>
      <c r="J1369">
        <v>0.44550054</v>
      </c>
      <c r="K1369">
        <v>0.43994620499999998</v>
      </c>
      <c r="L1369">
        <v>0.47465362500000002</v>
      </c>
      <c r="M1369">
        <v>0.441956295</v>
      </c>
      <c r="N1369">
        <v>0.49247692500000001</v>
      </c>
      <c r="O1369">
        <v>0.49581361499999999</v>
      </c>
      <c r="P1369">
        <v>0.50219176499999996</v>
      </c>
      <c r="Q1369">
        <v>0.49121758500000001</v>
      </c>
      <c r="R1369">
        <v>0.41751284999999999</v>
      </c>
      <c r="S1369">
        <v>0.44509148999999998</v>
      </c>
      <c r="T1369">
        <v>0.46843795500000002</v>
      </c>
      <c r="U1369">
        <v>0.43718405999999999</v>
      </c>
      <c r="V1369">
        <v>0.43969257</v>
      </c>
      <c r="W1369">
        <v>0.56343927000000005</v>
      </c>
      <c r="X1369">
        <v>0.56081696999999997</v>
      </c>
      <c r="Y1369">
        <v>0.56586225000000001</v>
      </c>
      <c r="Z1369">
        <v>0.53587644000000001</v>
      </c>
      <c r="AA1369">
        <v>0.49034991</v>
      </c>
      <c r="AB1369">
        <v>0.4881549</v>
      </c>
    </row>
    <row r="1370" spans="1:28" hidden="1" x14ac:dyDescent="0.25">
      <c r="A1370" t="s">
        <v>134</v>
      </c>
      <c r="B1370" t="s">
        <v>150</v>
      </c>
      <c r="C1370">
        <v>66</v>
      </c>
      <c r="D1370" t="s">
        <v>2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</row>
    <row r="1371" spans="1:28" hidden="1" x14ac:dyDescent="0.25">
      <c r="A1371" t="s">
        <v>134</v>
      </c>
      <c r="B1371" t="s">
        <v>150</v>
      </c>
      <c r="C1371">
        <v>66</v>
      </c>
      <c r="D1371" t="s">
        <v>3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</row>
    <row r="1372" spans="1:28" hidden="1" x14ac:dyDescent="0.25">
      <c r="A1372" t="s">
        <v>134</v>
      </c>
      <c r="B1372" t="s">
        <v>150</v>
      </c>
      <c r="C1372">
        <v>66</v>
      </c>
      <c r="D1372" t="s">
        <v>4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</row>
    <row r="1373" spans="1:28" hidden="1" x14ac:dyDescent="0.25">
      <c r="A1373" t="s">
        <v>134</v>
      </c>
      <c r="B1373" t="s">
        <v>151</v>
      </c>
      <c r="C1373">
        <v>66</v>
      </c>
      <c r="D1373" t="s">
        <v>2</v>
      </c>
      <c r="E1373">
        <v>1.111618795</v>
      </c>
      <c r="F1373">
        <v>1.1225660850000001</v>
      </c>
      <c r="G1373">
        <v>1.1376090050000001</v>
      </c>
      <c r="H1373">
        <v>1.1292611299999999</v>
      </c>
      <c r="I1373">
        <v>1.1279235000000001</v>
      </c>
      <c r="J1373">
        <v>1.12619384</v>
      </c>
      <c r="K1373">
        <v>1.124965545</v>
      </c>
      <c r="L1373">
        <v>1.1304096400000001</v>
      </c>
      <c r="M1373">
        <v>1.1131780499999999</v>
      </c>
      <c r="N1373">
        <v>1.1029714799999999</v>
      </c>
      <c r="O1373">
        <v>1.113880355</v>
      </c>
      <c r="P1373">
        <v>1.1071754599999999</v>
      </c>
      <c r="Q1373">
        <v>1.1015974049999999</v>
      </c>
      <c r="R1373">
        <v>1.089751795</v>
      </c>
      <c r="S1373">
        <v>1.077983015</v>
      </c>
      <c r="T1373">
        <v>1.07298808</v>
      </c>
      <c r="U1373">
        <v>1.0789532399999999</v>
      </c>
      <c r="V1373">
        <v>1.10298527</v>
      </c>
      <c r="W1373">
        <v>1.1744026949999999</v>
      </c>
      <c r="X1373">
        <v>1.17204756</v>
      </c>
      <c r="Y1373">
        <v>1.1828027750000001</v>
      </c>
      <c r="Z1373">
        <v>1.121372265</v>
      </c>
      <c r="AA1373">
        <v>1.114855505</v>
      </c>
      <c r="AB1373">
        <v>1.118029175</v>
      </c>
    </row>
    <row r="1374" spans="1:28" hidden="1" x14ac:dyDescent="0.25">
      <c r="A1374" t="s">
        <v>134</v>
      </c>
      <c r="B1374" t="s">
        <v>151</v>
      </c>
      <c r="C1374">
        <v>66</v>
      </c>
      <c r="D1374" t="s">
        <v>3</v>
      </c>
      <c r="E1374">
        <v>0.68032332520000005</v>
      </c>
      <c r="F1374">
        <v>0.6668053598</v>
      </c>
      <c r="G1374">
        <v>0.67574086909999997</v>
      </c>
      <c r="H1374">
        <v>0.67078222310000002</v>
      </c>
      <c r="I1374">
        <v>0.66998766949999999</v>
      </c>
      <c r="J1374">
        <v>0.66896024980000002</v>
      </c>
      <c r="K1374">
        <v>0.68849168780000003</v>
      </c>
      <c r="L1374">
        <v>0.6918235358</v>
      </c>
      <c r="M1374">
        <v>0.68127760699999995</v>
      </c>
      <c r="N1374">
        <v>0.67503107029999998</v>
      </c>
      <c r="O1374">
        <v>0.68170742559999997</v>
      </c>
      <c r="P1374">
        <v>0.67760395370000004</v>
      </c>
      <c r="Q1374">
        <v>0.67419012069999995</v>
      </c>
      <c r="R1374">
        <v>0.66694047290000003</v>
      </c>
      <c r="S1374">
        <v>0.65973784589999995</v>
      </c>
      <c r="T1374">
        <v>0.65668088899999999</v>
      </c>
      <c r="U1374">
        <v>0.6603316347</v>
      </c>
      <c r="V1374">
        <v>0.67503950989999995</v>
      </c>
      <c r="W1374">
        <v>0.73987836730000001</v>
      </c>
      <c r="X1374">
        <v>0.73418485339999995</v>
      </c>
      <c r="Y1374">
        <v>0.72388872930000003</v>
      </c>
      <c r="Z1374">
        <v>0.68629255960000002</v>
      </c>
      <c r="AA1374">
        <v>0.68230422850000005</v>
      </c>
      <c r="AB1374">
        <v>0.66411043069999998</v>
      </c>
    </row>
    <row r="1375" spans="1:28" hidden="1" x14ac:dyDescent="0.25">
      <c r="A1375" t="s">
        <v>134</v>
      </c>
      <c r="B1375" t="s">
        <v>151</v>
      </c>
      <c r="C1375">
        <v>66</v>
      </c>
      <c r="D1375" t="s">
        <v>4</v>
      </c>
      <c r="E1375">
        <v>1.6928205000000002E-2</v>
      </c>
      <c r="F1375">
        <v>1.7094914999999999E-2</v>
      </c>
      <c r="G1375">
        <v>1.7323994999999998E-2</v>
      </c>
      <c r="H1375">
        <v>1.719687E-2</v>
      </c>
      <c r="I1375">
        <v>1.7176500000000001E-2</v>
      </c>
      <c r="J1375">
        <v>1.7150160000000001E-2</v>
      </c>
      <c r="K1375">
        <v>1.7131455E-2</v>
      </c>
      <c r="L1375">
        <v>1.7214360000000001E-2</v>
      </c>
      <c r="M1375">
        <v>1.695195E-2</v>
      </c>
      <c r="N1375">
        <v>1.6796519999999999E-2</v>
      </c>
      <c r="O1375">
        <v>1.6962644999999998E-2</v>
      </c>
      <c r="P1375">
        <v>1.686054E-2</v>
      </c>
      <c r="Q1375">
        <v>1.6775595000000001E-2</v>
      </c>
      <c r="R1375">
        <v>1.6595204999999998E-2</v>
      </c>
      <c r="S1375">
        <v>1.6415985000000001E-2</v>
      </c>
      <c r="T1375">
        <v>1.6339920000000001E-2</v>
      </c>
      <c r="U1375">
        <v>1.6430759999999999E-2</v>
      </c>
      <c r="V1375">
        <v>1.6796729999999999E-2</v>
      </c>
      <c r="W1375">
        <v>1.7884305E-2</v>
      </c>
      <c r="X1375">
        <v>1.784844E-2</v>
      </c>
      <c r="Y1375">
        <v>1.8012225E-2</v>
      </c>
      <c r="Z1375">
        <v>1.7076734999999999E-2</v>
      </c>
      <c r="AA1375">
        <v>1.6977494999999999E-2</v>
      </c>
      <c r="AB1375">
        <v>1.7025825000000001E-2</v>
      </c>
    </row>
    <row r="1376" spans="1:28" hidden="1" x14ac:dyDescent="0.25">
      <c r="A1376" t="s">
        <v>134</v>
      </c>
      <c r="B1376" t="s">
        <v>152</v>
      </c>
      <c r="C1376">
        <v>14</v>
      </c>
      <c r="D1376" t="s">
        <v>2</v>
      </c>
      <c r="E1376">
        <v>8.2489554500000004</v>
      </c>
      <c r="F1376">
        <v>7.8267612</v>
      </c>
      <c r="G1376">
        <v>7.62916405</v>
      </c>
      <c r="H1376">
        <v>7.1720249999999997</v>
      </c>
      <c r="I1376">
        <v>6.9920361</v>
      </c>
      <c r="J1376">
        <v>6.8450426000000002</v>
      </c>
      <c r="K1376">
        <v>6.6625950999999999</v>
      </c>
      <c r="L1376">
        <v>8.1057173000000002</v>
      </c>
      <c r="M1376">
        <v>9.3975709999999992</v>
      </c>
      <c r="N1376">
        <v>9.8026357999999991</v>
      </c>
      <c r="O1376">
        <v>10.384909800000001</v>
      </c>
      <c r="P1376">
        <v>10.882922600000001</v>
      </c>
      <c r="Q1376">
        <v>9.9262127499999995</v>
      </c>
      <c r="R1376">
        <v>9.9342468999999998</v>
      </c>
      <c r="S1376">
        <v>10.135588950000001</v>
      </c>
      <c r="T1376">
        <v>10.1949231</v>
      </c>
      <c r="U1376">
        <v>9.5945696500000004</v>
      </c>
      <c r="V1376">
        <v>9.5838070999999996</v>
      </c>
      <c r="W1376">
        <v>10.209934049999999</v>
      </c>
      <c r="X1376">
        <v>10.087076250000001</v>
      </c>
      <c r="Y1376">
        <v>10.465362450000001</v>
      </c>
      <c r="Z1376">
        <v>9.3644397500000007</v>
      </c>
      <c r="AA1376">
        <v>9.8616478999999995</v>
      </c>
      <c r="AB1376">
        <v>9.8382275499999992</v>
      </c>
    </row>
    <row r="1377" spans="1:28" hidden="1" x14ac:dyDescent="0.25">
      <c r="A1377" t="s">
        <v>134</v>
      </c>
      <c r="B1377" t="s">
        <v>152</v>
      </c>
      <c r="C1377">
        <v>14</v>
      </c>
      <c r="D1377" t="s">
        <v>3</v>
      </c>
      <c r="E1377">
        <v>2.5908270466999999</v>
      </c>
      <c r="F1377">
        <v>2.4805340613000002</v>
      </c>
      <c r="G1377">
        <v>2.379899059</v>
      </c>
      <c r="H1377">
        <v>2.3558032967</v>
      </c>
      <c r="I1377">
        <v>2.3403271424000001</v>
      </c>
      <c r="J1377">
        <v>2.3526678645999999</v>
      </c>
      <c r="K1377">
        <v>2.4689094050999998</v>
      </c>
      <c r="L1377">
        <v>2.8717919187000001</v>
      </c>
      <c r="M1377">
        <v>3.0114405762000001</v>
      </c>
      <c r="N1377">
        <v>3.0582695749000002</v>
      </c>
      <c r="O1377">
        <v>3.1701184371000002</v>
      </c>
      <c r="P1377">
        <v>3.2144779369999998</v>
      </c>
      <c r="Q1377">
        <v>2.8781821084999999</v>
      </c>
      <c r="R1377">
        <v>2.8365546544</v>
      </c>
      <c r="S1377">
        <v>2.9040124872000002</v>
      </c>
      <c r="T1377">
        <v>2.8301957505000002</v>
      </c>
      <c r="U1377">
        <v>2.8021323946000001</v>
      </c>
      <c r="V1377">
        <v>2.7852356151</v>
      </c>
      <c r="W1377">
        <v>3.0663205796000002</v>
      </c>
      <c r="X1377">
        <v>3.0056489093000001</v>
      </c>
      <c r="Y1377">
        <v>3.1442225972000002</v>
      </c>
      <c r="Z1377">
        <v>2.7479493660999998</v>
      </c>
      <c r="AA1377">
        <v>3.1319110538000001</v>
      </c>
      <c r="AB1377">
        <v>3.0784259024999998</v>
      </c>
    </row>
    <row r="1378" spans="1:28" hidden="1" x14ac:dyDescent="0.25">
      <c r="A1378" t="s">
        <v>134</v>
      </c>
      <c r="B1378" t="s">
        <v>152</v>
      </c>
      <c r="C1378">
        <v>14</v>
      </c>
      <c r="D1378" t="s">
        <v>4</v>
      </c>
      <c r="E1378">
        <v>0.43415555</v>
      </c>
      <c r="F1378">
        <v>0.41193479999999999</v>
      </c>
      <c r="G1378">
        <v>0.40153495</v>
      </c>
      <c r="H1378">
        <v>0.377475</v>
      </c>
      <c r="I1378">
        <v>0.36800189999999999</v>
      </c>
      <c r="J1378">
        <v>0.36026540000000001</v>
      </c>
      <c r="K1378">
        <v>0.3506629</v>
      </c>
      <c r="L1378">
        <v>0.42661670000000002</v>
      </c>
      <c r="M1378">
        <v>0.49460900000000002</v>
      </c>
      <c r="N1378">
        <v>0.51592819999999995</v>
      </c>
      <c r="O1378">
        <v>0.54657420000000001</v>
      </c>
      <c r="P1378">
        <v>0.5727854</v>
      </c>
      <c r="Q1378">
        <v>0.52243225000000004</v>
      </c>
      <c r="R1378">
        <v>0.52285510000000002</v>
      </c>
      <c r="S1378">
        <v>0.53345204999999996</v>
      </c>
      <c r="T1378">
        <v>0.53657489999999997</v>
      </c>
      <c r="U1378">
        <v>0.50497734999999999</v>
      </c>
      <c r="V1378">
        <v>0.5044109</v>
      </c>
      <c r="W1378">
        <v>0.53736494999999995</v>
      </c>
      <c r="X1378">
        <v>0.53089874999999997</v>
      </c>
      <c r="Y1378">
        <v>0.55080854999999995</v>
      </c>
      <c r="Z1378">
        <v>0.49286524999999998</v>
      </c>
      <c r="AA1378">
        <v>0.51903410000000005</v>
      </c>
      <c r="AB1378">
        <v>0.51780145</v>
      </c>
    </row>
    <row r="1379" spans="1:28" hidden="1" x14ac:dyDescent="0.25">
      <c r="A1379" t="s">
        <v>134</v>
      </c>
      <c r="B1379" t="s">
        <v>153</v>
      </c>
      <c r="C1379">
        <v>14</v>
      </c>
      <c r="D1379" t="s">
        <v>2</v>
      </c>
      <c r="E1379">
        <v>24.3258501</v>
      </c>
      <c r="F1379">
        <v>23.456436700000001</v>
      </c>
      <c r="G1379">
        <v>22.61319675</v>
      </c>
      <c r="H1379">
        <v>22.035785799999999</v>
      </c>
      <c r="I1379">
        <v>21.21297655</v>
      </c>
      <c r="J1379">
        <v>20.756621249999998</v>
      </c>
      <c r="K1379">
        <v>19.216325449999999</v>
      </c>
      <c r="L1379">
        <v>19.008145299999999</v>
      </c>
      <c r="M1379">
        <v>20.394345399999999</v>
      </c>
      <c r="N1379">
        <v>20.641057549999999</v>
      </c>
      <c r="O1379">
        <v>21.36504115</v>
      </c>
      <c r="P1379">
        <v>22.224913699999998</v>
      </c>
      <c r="Q1379">
        <v>22.805349450000001</v>
      </c>
      <c r="R1379">
        <v>23.193385500000002</v>
      </c>
      <c r="S1379">
        <v>23.815305850000001</v>
      </c>
      <c r="T1379">
        <v>24.186045249999999</v>
      </c>
      <c r="U1379">
        <v>22.017221849999999</v>
      </c>
      <c r="V1379">
        <v>21.420920150000001</v>
      </c>
      <c r="W1379">
        <v>24.103701149999999</v>
      </c>
      <c r="X1379">
        <v>26.7185828</v>
      </c>
      <c r="Y1379">
        <v>28.089495500000002</v>
      </c>
      <c r="Z1379">
        <v>25.782545899999999</v>
      </c>
      <c r="AA1379">
        <v>28.931365549999999</v>
      </c>
      <c r="AB1379">
        <v>27.65075985</v>
      </c>
    </row>
    <row r="1380" spans="1:28" hidden="1" x14ac:dyDescent="0.25">
      <c r="A1380" t="s">
        <v>134</v>
      </c>
      <c r="B1380" t="s">
        <v>153</v>
      </c>
      <c r="C1380">
        <v>14</v>
      </c>
      <c r="D1380" t="s">
        <v>3</v>
      </c>
      <c r="E1380">
        <v>7.2242353828999999</v>
      </c>
      <c r="F1380">
        <v>7.3318608896999997</v>
      </c>
      <c r="G1380">
        <v>7.2242861792999999</v>
      </c>
      <c r="H1380">
        <v>7.2740429735000003</v>
      </c>
      <c r="I1380">
        <v>7.1425388941000003</v>
      </c>
      <c r="J1380">
        <v>7.1967785904000001</v>
      </c>
      <c r="K1380">
        <v>7.3123265448000003</v>
      </c>
      <c r="L1380">
        <v>8.4951648087000002</v>
      </c>
      <c r="M1380">
        <v>8.5539792338999998</v>
      </c>
      <c r="N1380">
        <v>8.0522739798000007</v>
      </c>
      <c r="O1380">
        <v>8.0568669235999995</v>
      </c>
      <c r="P1380">
        <v>7.9955877002999998</v>
      </c>
      <c r="Q1380">
        <v>7.6579932293999997</v>
      </c>
      <c r="R1380">
        <v>7.7387289714999996</v>
      </c>
      <c r="S1380">
        <v>7.5858787244999997</v>
      </c>
      <c r="T1380">
        <v>7.5331854543999999</v>
      </c>
      <c r="U1380">
        <v>6.9578442557000004</v>
      </c>
      <c r="V1380">
        <v>7.0323510855000002</v>
      </c>
      <c r="W1380">
        <v>8.0195920559000005</v>
      </c>
      <c r="X1380">
        <v>8.0566732971999997</v>
      </c>
      <c r="Y1380">
        <v>8.2481420884999999</v>
      </c>
      <c r="Z1380">
        <v>7.4144320244999999</v>
      </c>
      <c r="AA1380">
        <v>8.1416664498000006</v>
      </c>
      <c r="AB1380">
        <v>7.8886648360000002</v>
      </c>
    </row>
    <row r="1381" spans="1:28" hidden="1" x14ac:dyDescent="0.25">
      <c r="A1381" t="s">
        <v>134</v>
      </c>
      <c r="B1381" t="s">
        <v>153</v>
      </c>
      <c r="C1381">
        <v>14</v>
      </c>
      <c r="D1381" t="s">
        <v>4</v>
      </c>
      <c r="E1381">
        <v>1.2803078999999999</v>
      </c>
      <c r="F1381">
        <v>1.2345493000000001</v>
      </c>
      <c r="G1381">
        <v>1.1901682499999999</v>
      </c>
      <c r="H1381">
        <v>1.1597782000000001</v>
      </c>
      <c r="I1381">
        <v>1.1164724500000001</v>
      </c>
      <c r="J1381">
        <v>1.09245375</v>
      </c>
      <c r="K1381">
        <v>1.01138555</v>
      </c>
      <c r="L1381">
        <v>1.0004287000000001</v>
      </c>
      <c r="M1381">
        <v>1.0733866000000001</v>
      </c>
      <c r="N1381">
        <v>1.0863714499999999</v>
      </c>
      <c r="O1381">
        <v>1.1244758500000001</v>
      </c>
      <c r="P1381">
        <v>1.1697322999999999</v>
      </c>
      <c r="Q1381">
        <v>1.2002815499999999</v>
      </c>
      <c r="R1381">
        <v>1.2207045000000001</v>
      </c>
      <c r="S1381">
        <v>1.2534371500000001</v>
      </c>
      <c r="T1381">
        <v>1.27294975</v>
      </c>
      <c r="U1381">
        <v>1.1588011499999999</v>
      </c>
      <c r="V1381">
        <v>1.1274168499999999</v>
      </c>
      <c r="W1381">
        <v>1.26861585</v>
      </c>
      <c r="X1381">
        <v>1.4062412</v>
      </c>
      <c r="Y1381">
        <v>1.4783945000000001</v>
      </c>
      <c r="Z1381">
        <v>1.3569761</v>
      </c>
      <c r="AA1381">
        <v>1.5227034500000001</v>
      </c>
      <c r="AB1381">
        <v>1.45530315</v>
      </c>
    </row>
    <row r="1382" spans="1:28" hidden="1" x14ac:dyDescent="0.25">
      <c r="A1382" t="s">
        <v>134</v>
      </c>
      <c r="B1382" t="s">
        <v>154</v>
      </c>
      <c r="C1382">
        <v>14</v>
      </c>
      <c r="D1382" t="s">
        <v>2</v>
      </c>
      <c r="E1382">
        <v>20.8108653</v>
      </c>
      <c r="F1382">
        <v>19.960387300000001</v>
      </c>
      <c r="G1382">
        <v>19.354180899999999</v>
      </c>
      <c r="H1382">
        <v>18.2415509</v>
      </c>
      <c r="I1382">
        <v>17.53159595</v>
      </c>
      <c r="J1382">
        <v>16.693251350000001</v>
      </c>
      <c r="K1382">
        <v>15.888207100000001</v>
      </c>
      <c r="L1382">
        <v>16.685454199999999</v>
      </c>
      <c r="M1382">
        <v>18.18420935</v>
      </c>
      <c r="N1382">
        <v>19.129370049999999</v>
      </c>
      <c r="O1382">
        <v>20.198795499999999</v>
      </c>
      <c r="P1382">
        <v>20.917565499999998</v>
      </c>
      <c r="Q1382">
        <v>20.715357999999998</v>
      </c>
      <c r="R1382">
        <v>21.702742400000002</v>
      </c>
      <c r="S1382">
        <v>22.54515585</v>
      </c>
      <c r="T1382">
        <v>22.551784000000001</v>
      </c>
      <c r="U1382">
        <v>21.87780935</v>
      </c>
      <c r="V1382">
        <v>20.497354850000001</v>
      </c>
      <c r="W1382">
        <v>21.9600917</v>
      </c>
      <c r="X1382">
        <v>22.7486563</v>
      </c>
      <c r="Y1382">
        <v>23.350048099999999</v>
      </c>
      <c r="Z1382">
        <v>22.81757975</v>
      </c>
      <c r="AA1382">
        <v>22.943748299999999</v>
      </c>
      <c r="AB1382">
        <v>22.21303395</v>
      </c>
    </row>
    <row r="1383" spans="1:28" hidden="1" x14ac:dyDescent="0.25">
      <c r="A1383" t="s">
        <v>134</v>
      </c>
      <c r="B1383" t="s">
        <v>154</v>
      </c>
      <c r="C1383">
        <v>14</v>
      </c>
      <c r="D1383" t="s">
        <v>3</v>
      </c>
      <c r="E1383">
        <v>6.9342709617000002</v>
      </c>
      <c r="F1383">
        <v>6.8364021267000004</v>
      </c>
      <c r="G1383">
        <v>6.7935653918999996</v>
      </c>
      <c r="H1383">
        <v>6.5332855464000001</v>
      </c>
      <c r="I1383">
        <v>6.4037441889000002</v>
      </c>
      <c r="J1383">
        <v>6.1470251514000003</v>
      </c>
      <c r="K1383">
        <v>5.9858655153999996</v>
      </c>
      <c r="L1383">
        <v>6.3664346420999998</v>
      </c>
      <c r="M1383">
        <v>6.7959673035000003</v>
      </c>
      <c r="N1383">
        <v>7.1572941746999996</v>
      </c>
      <c r="O1383">
        <v>7.5422993256000002</v>
      </c>
      <c r="P1383">
        <v>7.6894936735000003</v>
      </c>
      <c r="Q1383">
        <v>7.5440680524000001</v>
      </c>
      <c r="R1383">
        <v>7.6905740630999997</v>
      </c>
      <c r="S1383">
        <v>7.9059899227999999</v>
      </c>
      <c r="T1383">
        <v>7.9709029906</v>
      </c>
      <c r="U1383">
        <v>7.8933206992000002</v>
      </c>
      <c r="V1383">
        <v>7.5336716453000001</v>
      </c>
      <c r="W1383">
        <v>7.6687340582000001</v>
      </c>
      <c r="X1383">
        <v>7.0829667853</v>
      </c>
      <c r="Y1383">
        <v>7.0391668640000002</v>
      </c>
      <c r="Z1383">
        <v>6.7273362965999999</v>
      </c>
      <c r="AA1383">
        <v>6.8714795717000001</v>
      </c>
      <c r="AB1383">
        <v>6.9766565595000003</v>
      </c>
    </row>
    <row r="1384" spans="1:28" hidden="1" x14ac:dyDescent="0.25">
      <c r="A1384" t="s">
        <v>134</v>
      </c>
      <c r="B1384" t="s">
        <v>154</v>
      </c>
      <c r="C1384">
        <v>14</v>
      </c>
      <c r="D1384" t="s">
        <v>4</v>
      </c>
      <c r="E1384">
        <v>1.0953086999999999</v>
      </c>
      <c r="F1384">
        <v>1.0505466999999999</v>
      </c>
      <c r="G1384">
        <v>1.0186411</v>
      </c>
      <c r="H1384">
        <v>0.96008162630000005</v>
      </c>
      <c r="I1384">
        <v>0.92271557630000001</v>
      </c>
      <c r="J1384">
        <v>0.87859217629999997</v>
      </c>
      <c r="K1384">
        <v>0.83622142629999996</v>
      </c>
      <c r="L1384">
        <v>0.87818180000000001</v>
      </c>
      <c r="M1384">
        <v>0.95706365000000004</v>
      </c>
      <c r="N1384">
        <v>1.0068089499999999</v>
      </c>
      <c r="O1384">
        <v>1.0630945000000001</v>
      </c>
      <c r="P1384">
        <v>1.1009245000000001</v>
      </c>
      <c r="Q1384">
        <v>1.090282</v>
      </c>
      <c r="R1384">
        <v>1.1422496</v>
      </c>
      <c r="S1384">
        <v>1.18658715</v>
      </c>
      <c r="T1384">
        <v>1.186936</v>
      </c>
      <c r="U1384">
        <v>1.1514636499999999</v>
      </c>
      <c r="V1384">
        <v>1.07880815</v>
      </c>
      <c r="W1384">
        <v>1.1557942999999999</v>
      </c>
      <c r="X1384">
        <v>1.1972977</v>
      </c>
      <c r="Y1384">
        <v>1.2289498999999999</v>
      </c>
      <c r="Z1384">
        <v>1.2009252500000001</v>
      </c>
      <c r="AA1384">
        <v>1.2075657</v>
      </c>
      <c r="AB1384">
        <v>1.16910705</v>
      </c>
    </row>
    <row r="1385" spans="1:28" hidden="1" x14ac:dyDescent="0.25">
      <c r="A1385" t="s">
        <v>134</v>
      </c>
      <c r="B1385" t="s">
        <v>155</v>
      </c>
      <c r="C1385">
        <v>14</v>
      </c>
      <c r="D1385" t="s">
        <v>2</v>
      </c>
      <c r="E1385">
        <v>21.275939699999999</v>
      </c>
      <c r="F1385">
        <v>20.465955449999999</v>
      </c>
      <c r="G1385">
        <v>19.907423850000001</v>
      </c>
      <c r="H1385">
        <v>18.96722595</v>
      </c>
      <c r="I1385">
        <v>18.1468335</v>
      </c>
      <c r="J1385">
        <v>16.999728449999999</v>
      </c>
      <c r="K1385">
        <v>15.4869228</v>
      </c>
      <c r="L1385">
        <v>14.87125535</v>
      </c>
      <c r="M1385">
        <v>14.5545548</v>
      </c>
      <c r="N1385">
        <v>14.65962955</v>
      </c>
      <c r="O1385">
        <v>15.2579785</v>
      </c>
      <c r="P1385">
        <v>16.002537199999999</v>
      </c>
      <c r="Q1385">
        <v>16.500458800000001</v>
      </c>
      <c r="R1385">
        <v>17.397565650000001</v>
      </c>
      <c r="S1385">
        <v>18.043294899999999</v>
      </c>
      <c r="T1385">
        <v>18.002491450000001</v>
      </c>
      <c r="U1385">
        <v>17.451461049999999</v>
      </c>
      <c r="V1385">
        <v>16.812762750000001</v>
      </c>
      <c r="W1385">
        <v>18.652051100000001</v>
      </c>
      <c r="X1385">
        <v>19.887495699999999</v>
      </c>
      <c r="Y1385">
        <v>21.2834276</v>
      </c>
      <c r="Z1385">
        <v>21.878497150000001</v>
      </c>
      <c r="AA1385">
        <v>22.859415850000001</v>
      </c>
      <c r="AB1385">
        <v>22.4851776</v>
      </c>
    </row>
    <row r="1386" spans="1:28" hidden="1" x14ac:dyDescent="0.25">
      <c r="A1386" t="s">
        <v>134</v>
      </c>
      <c r="B1386" t="s">
        <v>155</v>
      </c>
      <c r="C1386">
        <v>14</v>
      </c>
      <c r="D1386" t="s">
        <v>3</v>
      </c>
      <c r="E1386">
        <v>7.4782240084999998</v>
      </c>
      <c r="F1386">
        <v>7.3614228529999997</v>
      </c>
      <c r="G1386">
        <v>7.3338639484000003</v>
      </c>
      <c r="H1386">
        <v>7.1421959188999997</v>
      </c>
      <c r="I1386">
        <v>6.9676844073000002</v>
      </c>
      <c r="J1386">
        <v>6.5777294257000003</v>
      </c>
      <c r="K1386">
        <v>6.1027827176000002</v>
      </c>
      <c r="L1386">
        <v>5.8891841807</v>
      </c>
      <c r="M1386">
        <v>5.6367142233000003</v>
      </c>
      <c r="N1386">
        <v>5.6268551713999999</v>
      </c>
      <c r="O1386">
        <v>5.8095068200000002</v>
      </c>
      <c r="P1386">
        <v>5.9983092229999997</v>
      </c>
      <c r="Q1386">
        <v>6.1838751078999996</v>
      </c>
      <c r="R1386">
        <v>6.3144731439999999</v>
      </c>
      <c r="S1386">
        <v>6.4761561588000003</v>
      </c>
      <c r="T1386">
        <v>6.5537193023000002</v>
      </c>
      <c r="U1386">
        <v>6.4948116999999996</v>
      </c>
      <c r="V1386">
        <v>6.4360596574000004</v>
      </c>
      <c r="W1386">
        <v>6.8897546612999996</v>
      </c>
      <c r="X1386">
        <v>6.6126104814</v>
      </c>
      <c r="Y1386">
        <v>6.8110159619999999</v>
      </c>
      <c r="Z1386">
        <v>6.8112286384000003</v>
      </c>
      <c r="AA1386">
        <v>7.1913984788</v>
      </c>
      <c r="AB1386">
        <v>7.419205421</v>
      </c>
    </row>
    <row r="1387" spans="1:28" hidden="1" x14ac:dyDescent="0.25">
      <c r="A1387" t="s">
        <v>134</v>
      </c>
      <c r="B1387" t="s">
        <v>155</v>
      </c>
      <c r="C1387">
        <v>14</v>
      </c>
      <c r="D1387" t="s">
        <v>4</v>
      </c>
      <c r="E1387">
        <v>1.1197862999999999</v>
      </c>
      <c r="F1387">
        <v>1.0771555500000001</v>
      </c>
      <c r="G1387">
        <v>1.0477591500000001</v>
      </c>
      <c r="H1387">
        <v>0.99827505000000005</v>
      </c>
      <c r="I1387">
        <v>0.95509650000000001</v>
      </c>
      <c r="J1387">
        <v>0.89472255000000001</v>
      </c>
      <c r="K1387">
        <v>0.81510119999999997</v>
      </c>
      <c r="L1387">
        <v>0.78269765000000002</v>
      </c>
      <c r="M1387">
        <v>0.76602919999999997</v>
      </c>
      <c r="N1387">
        <v>0.77155945000000004</v>
      </c>
      <c r="O1387">
        <v>0.80305150000000003</v>
      </c>
      <c r="P1387">
        <v>0.84223879999999995</v>
      </c>
      <c r="Q1387">
        <v>0.86844520000000003</v>
      </c>
      <c r="R1387">
        <v>0.91566135000000004</v>
      </c>
      <c r="S1387">
        <v>0.94964709999999997</v>
      </c>
      <c r="T1387">
        <v>0.94749954999999997</v>
      </c>
      <c r="U1387">
        <v>0.91849795000000001</v>
      </c>
      <c r="V1387">
        <v>0.88488224999999998</v>
      </c>
      <c r="W1387">
        <v>0.98168690000000003</v>
      </c>
      <c r="X1387">
        <v>1.0467103</v>
      </c>
      <c r="Y1387">
        <v>1.1201804</v>
      </c>
      <c r="Z1387">
        <v>1.15149985</v>
      </c>
      <c r="AA1387">
        <v>1.20312715</v>
      </c>
      <c r="AB1387">
        <v>1.1834304</v>
      </c>
    </row>
    <row r="1388" spans="1:28" hidden="1" x14ac:dyDescent="0.25">
      <c r="A1388" t="s">
        <v>134</v>
      </c>
      <c r="B1388" t="s">
        <v>156</v>
      </c>
      <c r="C1388">
        <v>14</v>
      </c>
      <c r="D1388" t="s">
        <v>2</v>
      </c>
      <c r="E1388">
        <v>17.707104149999999</v>
      </c>
      <c r="F1388">
        <v>17.0462186</v>
      </c>
      <c r="G1388">
        <v>16.564724399999999</v>
      </c>
      <c r="H1388">
        <v>15.83087695</v>
      </c>
      <c r="I1388">
        <v>15.24298845</v>
      </c>
      <c r="J1388">
        <v>14.363087999999999</v>
      </c>
      <c r="K1388">
        <v>13.036408249999999</v>
      </c>
      <c r="L1388">
        <v>12.6002756</v>
      </c>
      <c r="M1388">
        <v>12.546565449999999</v>
      </c>
      <c r="N1388">
        <v>12.7513579</v>
      </c>
      <c r="O1388">
        <v>13.22551715</v>
      </c>
      <c r="P1388">
        <v>13.67725355</v>
      </c>
      <c r="Q1388">
        <v>14.0064352</v>
      </c>
      <c r="R1388">
        <v>14.764938949999999</v>
      </c>
      <c r="S1388">
        <v>15.277646349999999</v>
      </c>
      <c r="T1388">
        <v>15.1335684</v>
      </c>
      <c r="U1388">
        <v>14.74785415</v>
      </c>
      <c r="V1388">
        <v>14.22097655</v>
      </c>
      <c r="W1388">
        <v>15.9897407</v>
      </c>
      <c r="X1388">
        <v>17.112874399999999</v>
      </c>
      <c r="Y1388">
        <v>18.1366552</v>
      </c>
      <c r="Z1388">
        <v>18.428162700000001</v>
      </c>
      <c r="AA1388">
        <v>19.127696149999998</v>
      </c>
      <c r="AB1388">
        <v>18.695714049999999</v>
      </c>
    </row>
    <row r="1389" spans="1:28" hidden="1" x14ac:dyDescent="0.25">
      <c r="A1389" t="s">
        <v>134</v>
      </c>
      <c r="B1389" t="s">
        <v>156</v>
      </c>
      <c r="C1389">
        <v>14</v>
      </c>
      <c r="D1389" t="s">
        <v>3</v>
      </c>
      <c r="E1389">
        <v>5.6273730883999997</v>
      </c>
      <c r="F1389">
        <v>5.6052403546000003</v>
      </c>
      <c r="G1389">
        <v>5.6533767135000002</v>
      </c>
      <c r="H1389">
        <v>5.5921989757999997</v>
      </c>
      <c r="I1389">
        <v>5.4822592476000001</v>
      </c>
      <c r="J1389">
        <v>5.1480422141000002</v>
      </c>
      <c r="K1389">
        <v>4.9135641041999998</v>
      </c>
      <c r="L1389">
        <v>4.7935254560000002</v>
      </c>
      <c r="M1389">
        <v>4.5969465614000002</v>
      </c>
      <c r="N1389">
        <v>4.6467120444000001</v>
      </c>
      <c r="O1389">
        <v>4.8378553631000001</v>
      </c>
      <c r="P1389">
        <v>4.9346324774000001</v>
      </c>
      <c r="Q1389">
        <v>4.8184015363999997</v>
      </c>
      <c r="R1389">
        <v>5.1726615203000001</v>
      </c>
      <c r="S1389">
        <v>5.3002309271000003</v>
      </c>
      <c r="T1389">
        <v>5.2781302559999999</v>
      </c>
      <c r="U1389">
        <v>5.2943315476999997</v>
      </c>
      <c r="V1389">
        <v>5.2585852332999998</v>
      </c>
      <c r="W1389">
        <v>5.4538235783999998</v>
      </c>
      <c r="X1389">
        <v>5.3244335721000002</v>
      </c>
      <c r="Y1389">
        <v>5.5201156451999998</v>
      </c>
      <c r="Z1389">
        <v>5.4917474414000003</v>
      </c>
      <c r="AA1389">
        <v>5.6563329275000003</v>
      </c>
      <c r="AB1389">
        <v>5.7224762103</v>
      </c>
    </row>
    <row r="1390" spans="1:28" hidden="1" x14ac:dyDescent="0.25">
      <c r="A1390" t="s">
        <v>134</v>
      </c>
      <c r="B1390" t="s">
        <v>156</v>
      </c>
      <c r="C1390">
        <v>14</v>
      </c>
      <c r="D1390" t="s">
        <v>4</v>
      </c>
      <c r="E1390">
        <v>0.93195285000000005</v>
      </c>
      <c r="F1390">
        <v>0.89716940000000001</v>
      </c>
      <c r="G1390">
        <v>0.87182760000000004</v>
      </c>
      <c r="H1390">
        <v>0.83320404999999997</v>
      </c>
      <c r="I1390">
        <v>0.80226255000000002</v>
      </c>
      <c r="J1390">
        <v>0.75595199999999996</v>
      </c>
      <c r="K1390">
        <v>0.68612675000000001</v>
      </c>
      <c r="L1390">
        <v>0.6631724</v>
      </c>
      <c r="M1390">
        <v>0.66034554999999995</v>
      </c>
      <c r="N1390">
        <v>0.6711241</v>
      </c>
      <c r="O1390">
        <v>0.69607985000000006</v>
      </c>
      <c r="P1390">
        <v>0.71985544999999995</v>
      </c>
      <c r="Q1390">
        <v>0.73718079999999997</v>
      </c>
      <c r="R1390">
        <v>0.77710204999999999</v>
      </c>
      <c r="S1390">
        <v>0.80408665000000001</v>
      </c>
      <c r="T1390">
        <v>0.79650359999999998</v>
      </c>
      <c r="U1390">
        <v>0.77620285</v>
      </c>
      <c r="V1390">
        <v>0.74847244999999996</v>
      </c>
      <c r="W1390">
        <v>0.84156529999999996</v>
      </c>
      <c r="X1390">
        <v>0.90067759999999997</v>
      </c>
      <c r="Y1390">
        <v>0.95456079999999999</v>
      </c>
      <c r="Z1390">
        <v>0.96990330000000002</v>
      </c>
      <c r="AA1390">
        <v>1.00672085</v>
      </c>
      <c r="AB1390">
        <v>0.98398494999999997</v>
      </c>
    </row>
    <row r="1391" spans="1:28" hidden="1" x14ac:dyDescent="0.25">
      <c r="A1391" t="s">
        <v>134</v>
      </c>
      <c r="B1391" t="s">
        <v>157</v>
      </c>
      <c r="C1391">
        <v>66</v>
      </c>
      <c r="D1391" t="s">
        <v>2</v>
      </c>
      <c r="E1391">
        <v>28.775184225</v>
      </c>
      <c r="F1391">
        <v>27.989978669999999</v>
      </c>
      <c r="G1391">
        <v>27.403843585000001</v>
      </c>
      <c r="H1391">
        <v>26.446272879999999</v>
      </c>
      <c r="I1391">
        <v>25.687547080000002</v>
      </c>
      <c r="J1391">
        <v>24.378779550000001</v>
      </c>
      <c r="K1391">
        <v>22.23838834</v>
      </c>
      <c r="L1391">
        <v>21.638630705000001</v>
      </c>
      <c r="M1391">
        <v>21.46243686</v>
      </c>
      <c r="N1391">
        <v>21.628884129999999</v>
      </c>
      <c r="O1391">
        <v>22.25252309</v>
      </c>
      <c r="P1391">
        <v>22.805735535</v>
      </c>
      <c r="Q1391">
        <v>23.04044429</v>
      </c>
      <c r="R1391">
        <v>23.817354174999998</v>
      </c>
      <c r="S1391">
        <v>24.251959814999999</v>
      </c>
      <c r="T1391">
        <v>24.31220734</v>
      </c>
      <c r="U1391">
        <v>23.89184874</v>
      </c>
      <c r="V1391">
        <v>23.2830163</v>
      </c>
      <c r="W1391">
        <v>26.522845794999999</v>
      </c>
      <c r="X1391">
        <v>28.420761525</v>
      </c>
      <c r="Y1391">
        <v>29.884336579999999</v>
      </c>
      <c r="Z1391">
        <v>29.855862200000001</v>
      </c>
      <c r="AA1391">
        <v>30.582010109999999</v>
      </c>
      <c r="AB1391">
        <v>30.096290849999999</v>
      </c>
    </row>
    <row r="1392" spans="1:28" hidden="1" x14ac:dyDescent="0.25">
      <c r="A1392" t="s">
        <v>134</v>
      </c>
      <c r="B1392" t="s">
        <v>157</v>
      </c>
      <c r="C1392">
        <v>66</v>
      </c>
      <c r="D1392" t="s">
        <v>3</v>
      </c>
      <c r="E1392">
        <v>10.955284926699999</v>
      </c>
      <c r="F1392">
        <v>10.930690221300001</v>
      </c>
      <c r="G1392">
        <v>10.633068554899999</v>
      </c>
      <c r="H1392">
        <v>10.3228118631</v>
      </c>
      <c r="I1392">
        <v>10.211253488100001</v>
      </c>
      <c r="J1392">
        <v>9.4802238834000008</v>
      </c>
      <c r="K1392">
        <v>8.5777817969000001</v>
      </c>
      <c r="L1392">
        <v>8.2869097905999993</v>
      </c>
      <c r="M1392">
        <v>8.3971751891000004</v>
      </c>
      <c r="N1392">
        <v>8.4937491705999992</v>
      </c>
      <c r="O1392">
        <v>8.6441906794999994</v>
      </c>
      <c r="P1392">
        <v>8.9111883092999999</v>
      </c>
      <c r="Q1392">
        <v>8.8900921809</v>
      </c>
      <c r="R1392">
        <v>9.1197646557999992</v>
      </c>
      <c r="S1392">
        <v>9.3869358726000005</v>
      </c>
      <c r="T1392">
        <v>9.4466115107000004</v>
      </c>
      <c r="U1392">
        <v>9.4449173389999999</v>
      </c>
      <c r="V1392">
        <v>8.4010822002999994</v>
      </c>
      <c r="W1392">
        <v>8.8160697490000004</v>
      </c>
      <c r="X1392">
        <v>9.2361445661000001</v>
      </c>
      <c r="Y1392">
        <v>9.6130649959000003</v>
      </c>
      <c r="Z1392">
        <v>9.5931426592999998</v>
      </c>
      <c r="AA1392">
        <v>10.031186309800001</v>
      </c>
      <c r="AB1392">
        <v>10.6130991082</v>
      </c>
    </row>
    <row r="1393" spans="1:28" hidden="1" x14ac:dyDescent="0.25">
      <c r="A1393" t="s">
        <v>134</v>
      </c>
      <c r="B1393" t="s">
        <v>157</v>
      </c>
      <c r="C1393">
        <v>66</v>
      </c>
      <c r="D1393" t="s">
        <v>4</v>
      </c>
      <c r="E1393">
        <v>0.43820077499999999</v>
      </c>
      <c r="F1393">
        <v>0.42624332999999998</v>
      </c>
      <c r="G1393">
        <v>0.41731741500000002</v>
      </c>
      <c r="H1393">
        <v>0.40273512</v>
      </c>
      <c r="I1393">
        <v>0.39118091999999999</v>
      </c>
      <c r="J1393">
        <v>0.37125045000000001</v>
      </c>
      <c r="K1393">
        <v>0.33865566000000003</v>
      </c>
      <c r="L1393">
        <v>0.32952229500000002</v>
      </c>
      <c r="M1393">
        <v>0.32683913999999997</v>
      </c>
      <c r="N1393">
        <v>0.32937387000000001</v>
      </c>
      <c r="O1393">
        <v>0.33887091000000003</v>
      </c>
      <c r="P1393">
        <v>0.34729546500000003</v>
      </c>
      <c r="Q1393">
        <v>0.35086971</v>
      </c>
      <c r="R1393">
        <v>0.362700825</v>
      </c>
      <c r="S1393">
        <v>0.36931918499999999</v>
      </c>
      <c r="T1393">
        <v>0.37023666</v>
      </c>
      <c r="U1393">
        <v>0.36383525999999999</v>
      </c>
      <c r="V1393">
        <v>0.35456369999999998</v>
      </c>
      <c r="W1393">
        <v>0.40390120499999999</v>
      </c>
      <c r="X1393">
        <v>0.43280347499999999</v>
      </c>
      <c r="Y1393">
        <v>0.45509142000000002</v>
      </c>
      <c r="Z1393">
        <v>0.4546578</v>
      </c>
      <c r="AA1393">
        <v>0.46571589000000002</v>
      </c>
      <c r="AB1393">
        <v>0.45831915000000001</v>
      </c>
    </row>
    <row r="1394" spans="1:28" hidden="1" x14ac:dyDescent="0.25">
      <c r="A1394" t="s">
        <v>134</v>
      </c>
      <c r="B1394" t="s">
        <v>158</v>
      </c>
      <c r="C1394">
        <v>66</v>
      </c>
      <c r="D1394" t="s">
        <v>2</v>
      </c>
      <c r="E1394">
        <v>19.217295825000001</v>
      </c>
      <c r="F1394">
        <v>18.762186424999999</v>
      </c>
      <c r="G1394">
        <v>18.500606869999999</v>
      </c>
      <c r="H1394">
        <v>17.89012554</v>
      </c>
      <c r="I1394">
        <v>17.487361995000001</v>
      </c>
      <c r="J1394">
        <v>16.959150820000001</v>
      </c>
      <c r="K1394">
        <v>15.779460645</v>
      </c>
      <c r="L1394">
        <v>15.58446118</v>
      </c>
      <c r="M1394">
        <v>15.514621725</v>
      </c>
      <c r="N1394">
        <v>15.572215659999999</v>
      </c>
      <c r="O1394">
        <v>15.749869275</v>
      </c>
      <c r="P1394">
        <v>16.04368985</v>
      </c>
      <c r="Q1394">
        <v>16.239504895</v>
      </c>
      <c r="R1394">
        <v>16.671099389999998</v>
      </c>
      <c r="S1394">
        <v>17.237106000000001</v>
      </c>
      <c r="T1394">
        <v>17.199678955</v>
      </c>
      <c r="U1394">
        <v>17.077405980000002</v>
      </c>
      <c r="V1394">
        <v>17.031095220000001</v>
      </c>
      <c r="W1394">
        <v>19.081302784999998</v>
      </c>
      <c r="X1394">
        <v>19.493008159999999</v>
      </c>
      <c r="Y1394">
        <v>20.044790384999999</v>
      </c>
      <c r="Z1394">
        <v>19.725217969999999</v>
      </c>
      <c r="AA1394">
        <v>20.154834585</v>
      </c>
      <c r="AB1394">
        <v>19.96481331</v>
      </c>
    </row>
    <row r="1395" spans="1:28" hidden="1" x14ac:dyDescent="0.25">
      <c r="A1395" t="s">
        <v>134</v>
      </c>
      <c r="B1395" t="s">
        <v>158</v>
      </c>
      <c r="C1395">
        <v>66</v>
      </c>
      <c r="D1395" t="s">
        <v>3</v>
      </c>
      <c r="E1395">
        <v>6.4302634675999997</v>
      </c>
      <c r="F1395">
        <v>6.4904961822000002</v>
      </c>
      <c r="G1395">
        <v>6.5546195770000004</v>
      </c>
      <c r="H1395">
        <v>6.4979948497000004</v>
      </c>
      <c r="I1395">
        <v>6.4342702333000004</v>
      </c>
      <c r="J1395">
        <v>6.1124975163000004</v>
      </c>
      <c r="K1395">
        <v>5.5350458541999998</v>
      </c>
      <c r="L1395">
        <v>5.5481965116999996</v>
      </c>
      <c r="M1395">
        <v>5.5066375269999996</v>
      </c>
      <c r="N1395">
        <v>5.6571235994000002</v>
      </c>
      <c r="O1395">
        <v>5.7737227403000002</v>
      </c>
      <c r="P1395">
        <v>5.8071016609999999</v>
      </c>
      <c r="Q1395">
        <v>5.8596108750000004</v>
      </c>
      <c r="R1395">
        <v>5.9747258840999997</v>
      </c>
      <c r="S1395">
        <v>6.1278615275000003</v>
      </c>
      <c r="T1395">
        <v>6.1480407634000001</v>
      </c>
      <c r="U1395">
        <v>6.1317584035000001</v>
      </c>
      <c r="V1395">
        <v>6.1554387447999996</v>
      </c>
      <c r="W1395">
        <v>6.6289500288000003</v>
      </c>
      <c r="X1395">
        <v>6.4056584148000004</v>
      </c>
      <c r="Y1395">
        <v>6.5212994032999996</v>
      </c>
      <c r="Z1395">
        <v>6.2371283234000003</v>
      </c>
      <c r="AA1395">
        <v>6.4294142193999999</v>
      </c>
      <c r="AB1395">
        <v>6.5429686714999997</v>
      </c>
    </row>
    <row r="1396" spans="1:28" hidden="1" x14ac:dyDescent="0.25">
      <c r="A1396" t="s">
        <v>134</v>
      </c>
      <c r="B1396" t="s">
        <v>158</v>
      </c>
      <c r="C1396">
        <v>66</v>
      </c>
      <c r="D1396" t="s">
        <v>4</v>
      </c>
      <c r="E1396">
        <v>0.29264917499999998</v>
      </c>
      <c r="F1396">
        <v>0.28571857499999997</v>
      </c>
      <c r="G1396">
        <v>0.28173513</v>
      </c>
      <c r="H1396">
        <v>0.27243845999999999</v>
      </c>
      <c r="I1396">
        <v>0.26630500499999998</v>
      </c>
      <c r="J1396">
        <v>0.25826117999999998</v>
      </c>
      <c r="K1396">
        <v>0.24029635499999999</v>
      </c>
      <c r="L1396">
        <v>0.23732681999999999</v>
      </c>
      <c r="M1396">
        <v>0.23626327499999999</v>
      </c>
      <c r="N1396">
        <v>0.23714034000000001</v>
      </c>
      <c r="O1396">
        <v>0.23984572500000001</v>
      </c>
      <c r="P1396">
        <v>0.24432015000000001</v>
      </c>
      <c r="Q1396">
        <v>0.24730210499999999</v>
      </c>
      <c r="R1396">
        <v>0.25387461</v>
      </c>
      <c r="S1396">
        <v>0.26249400000000001</v>
      </c>
      <c r="T1396">
        <v>0.26192404499999999</v>
      </c>
      <c r="U1396">
        <v>0.26006202</v>
      </c>
      <c r="V1396">
        <v>0.25935678000000001</v>
      </c>
      <c r="W1396">
        <v>0.29057821499999997</v>
      </c>
      <c r="X1396">
        <v>0.29684783999999997</v>
      </c>
      <c r="Y1396">
        <v>0.305250615</v>
      </c>
      <c r="Z1396">
        <v>0.30038403000000002</v>
      </c>
      <c r="AA1396">
        <v>0.30692641500000001</v>
      </c>
      <c r="AB1396">
        <v>0.30403268999999999</v>
      </c>
    </row>
    <row r="1397" spans="1:28" hidden="1" x14ac:dyDescent="0.25">
      <c r="A1397" t="s">
        <v>134</v>
      </c>
      <c r="B1397" t="s">
        <v>159</v>
      </c>
      <c r="C1397">
        <v>66</v>
      </c>
      <c r="D1397" t="s">
        <v>2</v>
      </c>
      <c r="E1397">
        <v>22.536923125000001</v>
      </c>
      <c r="F1397">
        <v>22.016145744999999</v>
      </c>
      <c r="G1397">
        <v>20.987921974999999</v>
      </c>
      <c r="H1397">
        <v>20.251734944999999</v>
      </c>
      <c r="I1397">
        <v>18.433361905000002</v>
      </c>
      <c r="J1397">
        <v>17.126976105000001</v>
      </c>
      <c r="K1397">
        <v>16.438185305000001</v>
      </c>
      <c r="L1397">
        <v>16.969547495</v>
      </c>
      <c r="M1397">
        <v>17.447545340000001</v>
      </c>
      <c r="N1397">
        <v>19.055284010000001</v>
      </c>
      <c r="O1397">
        <v>20.110059440000001</v>
      </c>
      <c r="P1397">
        <v>20.73624955</v>
      </c>
      <c r="Q1397">
        <v>20.863108685</v>
      </c>
      <c r="R1397">
        <v>21.601177065000002</v>
      </c>
      <c r="S1397">
        <v>22.260611910000002</v>
      </c>
      <c r="T1397">
        <v>22.229973484999999</v>
      </c>
      <c r="U1397">
        <v>21.568742985</v>
      </c>
      <c r="V1397">
        <v>20.796285300000001</v>
      </c>
      <c r="W1397">
        <v>22.675853435000001</v>
      </c>
      <c r="X1397">
        <v>22.818484389999998</v>
      </c>
      <c r="Y1397">
        <v>23.998893615</v>
      </c>
      <c r="Z1397">
        <v>23.526944655000001</v>
      </c>
      <c r="AA1397">
        <v>24.12787247</v>
      </c>
      <c r="AB1397">
        <v>24.037635635000001</v>
      </c>
    </row>
    <row r="1398" spans="1:28" hidden="1" x14ac:dyDescent="0.25">
      <c r="A1398" t="s">
        <v>134</v>
      </c>
      <c r="B1398" t="s">
        <v>159</v>
      </c>
      <c r="C1398">
        <v>66</v>
      </c>
      <c r="D1398" t="s">
        <v>3</v>
      </c>
      <c r="E1398">
        <v>7.1688565605000001</v>
      </c>
      <c r="F1398">
        <v>7.2277598415000002</v>
      </c>
      <c r="G1398">
        <v>7.4280721742000004</v>
      </c>
      <c r="H1398">
        <v>7.3194537591</v>
      </c>
      <c r="I1398">
        <v>6.5171178609</v>
      </c>
      <c r="J1398">
        <v>6.1340960564999998</v>
      </c>
      <c r="K1398">
        <v>5.9771637551000003</v>
      </c>
      <c r="L1398">
        <v>6.1568714372000004</v>
      </c>
      <c r="M1398">
        <v>6.3239280656999997</v>
      </c>
      <c r="N1398">
        <v>6.8984310444999997</v>
      </c>
      <c r="O1398">
        <v>7.1991342259</v>
      </c>
      <c r="P1398">
        <v>7.3313041324999997</v>
      </c>
      <c r="Q1398">
        <v>7.3500716499000003</v>
      </c>
      <c r="R1398">
        <v>7.3670402877000001</v>
      </c>
      <c r="S1398">
        <v>7.4462413030999999</v>
      </c>
      <c r="T1398">
        <v>7.4274182885000002</v>
      </c>
      <c r="U1398">
        <v>7.3305873028999997</v>
      </c>
      <c r="V1398">
        <v>7.1219788179999997</v>
      </c>
      <c r="W1398">
        <v>7.5181703741000003</v>
      </c>
      <c r="X1398">
        <v>6.9912127139000004</v>
      </c>
      <c r="Y1398">
        <v>7.1353888406000001</v>
      </c>
      <c r="Z1398">
        <v>6.8227352991999997</v>
      </c>
      <c r="AA1398">
        <v>6.9640727449000002</v>
      </c>
      <c r="AB1398">
        <v>7.1606679922999996</v>
      </c>
    </row>
    <row r="1399" spans="1:28" hidden="1" x14ac:dyDescent="0.25">
      <c r="A1399" t="s">
        <v>134</v>
      </c>
      <c r="B1399" t="s">
        <v>159</v>
      </c>
      <c r="C1399">
        <v>66</v>
      </c>
      <c r="D1399" t="s">
        <v>4</v>
      </c>
      <c r="E1399">
        <v>0.34320187499999999</v>
      </c>
      <c r="F1399">
        <v>0.33527125499999999</v>
      </c>
      <c r="G1399">
        <v>0.319613025</v>
      </c>
      <c r="H1399">
        <v>0.30840205500000001</v>
      </c>
      <c r="I1399">
        <v>0.28071109500000002</v>
      </c>
      <c r="J1399">
        <v>0.26081689499999999</v>
      </c>
      <c r="K1399">
        <v>0.25032769500000002</v>
      </c>
      <c r="L1399">
        <v>0.25841950499999999</v>
      </c>
      <c r="M1399">
        <v>0.26569865999999998</v>
      </c>
      <c r="N1399">
        <v>0.29018199</v>
      </c>
      <c r="O1399">
        <v>0.30624456</v>
      </c>
      <c r="P1399">
        <v>0.31578044999999999</v>
      </c>
      <c r="Q1399">
        <v>0.31771231500000002</v>
      </c>
      <c r="R1399">
        <v>0.32895193499999997</v>
      </c>
      <c r="S1399">
        <v>0.33899409000000003</v>
      </c>
      <c r="T1399">
        <v>0.338527515</v>
      </c>
      <c r="U1399">
        <v>0.32845801499999999</v>
      </c>
      <c r="V1399">
        <v>0.3166947</v>
      </c>
      <c r="W1399">
        <v>0.34531756499999999</v>
      </c>
      <c r="X1399">
        <v>0.34748961</v>
      </c>
      <c r="Y1399">
        <v>0.36546538499999998</v>
      </c>
      <c r="Z1399">
        <v>0.358278345</v>
      </c>
      <c r="AA1399">
        <v>0.36742953</v>
      </c>
      <c r="AB1399">
        <v>0.36605536500000002</v>
      </c>
    </row>
    <row r="1400" spans="1:28" hidden="1" x14ac:dyDescent="0.25">
      <c r="A1400" t="s">
        <v>134</v>
      </c>
      <c r="B1400" t="s">
        <v>160</v>
      </c>
      <c r="C1400">
        <v>66</v>
      </c>
      <c r="D1400" t="s">
        <v>2</v>
      </c>
      <c r="E1400">
        <v>20.085271915</v>
      </c>
      <c r="F1400">
        <v>19.43473753</v>
      </c>
      <c r="G1400">
        <v>18.871776539999999</v>
      </c>
      <c r="H1400">
        <v>18.377441484999999</v>
      </c>
      <c r="I1400">
        <v>17.678381075000001</v>
      </c>
      <c r="J1400">
        <v>16.592586024999999</v>
      </c>
      <c r="K1400">
        <v>15.74096389</v>
      </c>
      <c r="L1400">
        <v>15.834669894999999</v>
      </c>
      <c r="M1400">
        <v>16.031620645</v>
      </c>
      <c r="N1400">
        <v>16.118864065</v>
      </c>
      <c r="O1400">
        <v>17.671563890000002</v>
      </c>
      <c r="P1400">
        <v>17.854490210000002</v>
      </c>
      <c r="Q1400">
        <v>18.04964038</v>
      </c>
      <c r="R1400">
        <v>18.609600074999999</v>
      </c>
      <c r="S1400">
        <v>18.904527789999999</v>
      </c>
      <c r="T1400">
        <v>18.548881720000001</v>
      </c>
      <c r="U1400">
        <v>17.748524894999999</v>
      </c>
      <c r="V1400">
        <v>17.181501765</v>
      </c>
      <c r="W1400">
        <v>18.664225219999999</v>
      </c>
      <c r="X1400">
        <v>19.16775131</v>
      </c>
      <c r="Y1400">
        <v>20.827611255000001</v>
      </c>
      <c r="Z1400">
        <v>19.861970445000001</v>
      </c>
      <c r="AA1400">
        <v>20.766911615000001</v>
      </c>
      <c r="AB1400">
        <v>20.662251425000001</v>
      </c>
    </row>
    <row r="1401" spans="1:28" hidden="1" x14ac:dyDescent="0.25">
      <c r="A1401" t="s">
        <v>134</v>
      </c>
      <c r="B1401" t="s">
        <v>160</v>
      </c>
      <c r="C1401">
        <v>66</v>
      </c>
      <c r="D1401" t="s">
        <v>3</v>
      </c>
      <c r="E1401">
        <v>7.0672025829000003</v>
      </c>
      <c r="F1401">
        <v>6.9840158388000004</v>
      </c>
      <c r="G1401">
        <v>6.9411670638</v>
      </c>
      <c r="H1401">
        <v>6.9747555929000002</v>
      </c>
      <c r="I1401">
        <v>6.8549560766999997</v>
      </c>
      <c r="J1401">
        <v>6.4492289086000003</v>
      </c>
      <c r="K1401">
        <v>6.0746124505000001</v>
      </c>
      <c r="L1401">
        <v>5.8780984358000001</v>
      </c>
      <c r="M1401">
        <v>5.6137008713999998</v>
      </c>
      <c r="N1401">
        <v>5.4950777895999998</v>
      </c>
      <c r="O1401">
        <v>5.8208942774999999</v>
      </c>
      <c r="P1401">
        <v>5.8716544820000003</v>
      </c>
      <c r="Q1401">
        <v>6.0313299210000002</v>
      </c>
      <c r="R1401">
        <v>6.21778897</v>
      </c>
      <c r="S1401">
        <v>6.1489788742</v>
      </c>
      <c r="T1401">
        <v>6.1111911467000004</v>
      </c>
      <c r="U1401">
        <v>5.8838906372000004</v>
      </c>
      <c r="V1401">
        <v>5.9242420021999997</v>
      </c>
      <c r="W1401">
        <v>6.4502136132999999</v>
      </c>
      <c r="X1401">
        <v>6.2236254907999999</v>
      </c>
      <c r="Y1401">
        <v>6.6039252044000003</v>
      </c>
      <c r="Z1401">
        <v>6.1783098138000003</v>
      </c>
      <c r="AA1401">
        <v>6.5634813431000003</v>
      </c>
      <c r="AB1401">
        <v>6.7568306104999998</v>
      </c>
    </row>
    <row r="1402" spans="1:28" hidden="1" x14ac:dyDescent="0.25">
      <c r="A1402" t="s">
        <v>134</v>
      </c>
      <c r="B1402" t="s">
        <v>160</v>
      </c>
      <c r="C1402">
        <v>66</v>
      </c>
      <c r="D1402" t="s">
        <v>4</v>
      </c>
      <c r="E1402">
        <v>0.30586708499999998</v>
      </c>
      <c r="F1402">
        <v>0.29596046999999998</v>
      </c>
      <c r="G1402">
        <v>0.28738745999999998</v>
      </c>
      <c r="H1402">
        <v>0.279859515</v>
      </c>
      <c r="I1402">
        <v>0.26921392500000002</v>
      </c>
      <c r="J1402">
        <v>0.25267897499999997</v>
      </c>
      <c r="K1402">
        <v>0.23971011</v>
      </c>
      <c r="L1402">
        <v>0.24113710499999999</v>
      </c>
      <c r="M1402">
        <v>0.244136355</v>
      </c>
      <c r="N1402">
        <v>0.245464935</v>
      </c>
      <c r="O1402">
        <v>0.26911011000000001</v>
      </c>
      <c r="P1402">
        <v>0.27189579000000003</v>
      </c>
      <c r="Q1402">
        <v>0.27486761999999998</v>
      </c>
      <c r="R1402">
        <v>0.28339492500000002</v>
      </c>
      <c r="S1402">
        <v>0.28788620999999998</v>
      </c>
      <c r="T1402">
        <v>0.28247028000000002</v>
      </c>
      <c r="U1402">
        <v>0.27028210499999999</v>
      </c>
      <c r="V1402">
        <v>0.26164723499999998</v>
      </c>
      <c r="W1402">
        <v>0.28422678000000001</v>
      </c>
      <c r="X1402">
        <v>0.29189469000000001</v>
      </c>
      <c r="Y1402">
        <v>0.317171745</v>
      </c>
      <c r="Z1402">
        <v>0.30246655500000003</v>
      </c>
      <c r="AA1402">
        <v>0.31624738499999999</v>
      </c>
      <c r="AB1402">
        <v>0.31465357500000002</v>
      </c>
    </row>
    <row r="1403" spans="1:28" hidden="1" x14ac:dyDescent="0.25">
      <c r="A1403" t="s">
        <v>161</v>
      </c>
      <c r="B1403" t="s">
        <v>162</v>
      </c>
      <c r="C1403">
        <v>110</v>
      </c>
      <c r="D1403" t="s">
        <v>2</v>
      </c>
      <c r="E1403">
        <v>21.448303095</v>
      </c>
      <c r="F1403">
        <v>20.439225754999999</v>
      </c>
      <c r="G1403">
        <v>20.116459970000001</v>
      </c>
      <c r="H1403">
        <v>20.06635893</v>
      </c>
      <c r="I1403">
        <v>20.129027584999999</v>
      </c>
      <c r="J1403">
        <v>20.875130609999999</v>
      </c>
      <c r="K1403">
        <v>21.020364919999999</v>
      </c>
      <c r="L1403">
        <v>22.478790395000001</v>
      </c>
      <c r="M1403">
        <v>23.534653264999999</v>
      </c>
      <c r="N1403">
        <v>24.754751095</v>
      </c>
      <c r="O1403">
        <v>25.919529355000002</v>
      </c>
      <c r="P1403">
        <v>27.048736309999999</v>
      </c>
      <c r="Q1403">
        <v>25.717430995000001</v>
      </c>
      <c r="R1403">
        <v>27.393529650000001</v>
      </c>
      <c r="S1403">
        <v>29.964620974999999</v>
      </c>
      <c r="T1403">
        <v>31.051324194999999</v>
      </c>
      <c r="U1403">
        <v>30.777514879999998</v>
      </c>
      <c r="V1403">
        <v>30.209859380000001</v>
      </c>
      <c r="W1403">
        <v>31.814209649999999</v>
      </c>
      <c r="X1403">
        <v>32.265200765000003</v>
      </c>
      <c r="Y1403">
        <v>30.677922514999999</v>
      </c>
      <c r="Z1403">
        <v>27.955419944999999</v>
      </c>
      <c r="AA1403">
        <v>25.221168294999998</v>
      </c>
      <c r="AB1403">
        <v>23.064401459999999</v>
      </c>
    </row>
    <row r="1404" spans="1:28" hidden="1" x14ac:dyDescent="0.25">
      <c r="A1404" t="s">
        <v>161</v>
      </c>
      <c r="B1404" t="s">
        <v>162</v>
      </c>
      <c r="C1404">
        <v>110</v>
      </c>
      <c r="D1404" t="s">
        <v>3</v>
      </c>
      <c r="E1404">
        <v>7.9857939370000004</v>
      </c>
      <c r="F1404">
        <v>7.8544157801000001</v>
      </c>
      <c r="G1404">
        <v>7.7682993540999998</v>
      </c>
      <c r="H1404">
        <v>7.6957119161999996</v>
      </c>
      <c r="I1404">
        <v>7.4742111498000003</v>
      </c>
      <c r="J1404">
        <v>6.9827936618999997</v>
      </c>
      <c r="K1404">
        <v>7.5327486268000001</v>
      </c>
      <c r="L1404">
        <v>9.1797098003999995</v>
      </c>
      <c r="M1404">
        <v>10.2710242929</v>
      </c>
      <c r="N1404">
        <v>11.120879198700001</v>
      </c>
      <c r="O1404">
        <v>11.6714966051</v>
      </c>
      <c r="P1404">
        <v>12.0154029207</v>
      </c>
      <c r="Q1404">
        <v>11.276384199400001</v>
      </c>
      <c r="R1404">
        <v>12.416952394500001</v>
      </c>
      <c r="S1404">
        <v>13.905135703399999</v>
      </c>
      <c r="T1404">
        <v>14.434514671300001</v>
      </c>
      <c r="U1404">
        <v>14.3294214093</v>
      </c>
      <c r="V1404">
        <v>13.697949900799999</v>
      </c>
      <c r="W1404">
        <v>11.8047736494</v>
      </c>
      <c r="X1404">
        <v>10.301988998200001</v>
      </c>
      <c r="Y1404">
        <v>9.5958768073999998</v>
      </c>
      <c r="Z1404">
        <v>8.3798674950999992</v>
      </c>
      <c r="AA1404">
        <v>7.6848891748000003</v>
      </c>
      <c r="AB1404">
        <v>7.9795726230000001</v>
      </c>
    </row>
    <row r="1405" spans="1:28" hidden="1" x14ac:dyDescent="0.25">
      <c r="A1405" t="s">
        <v>161</v>
      </c>
      <c r="B1405" t="s">
        <v>162</v>
      </c>
      <c r="C1405">
        <v>110</v>
      </c>
      <c r="D1405" t="s">
        <v>4</v>
      </c>
      <c r="E1405">
        <v>0.32662390499999999</v>
      </c>
      <c r="F1405">
        <v>0.31125724500000002</v>
      </c>
      <c r="G1405">
        <v>0.30634202999999999</v>
      </c>
      <c r="H1405">
        <v>0.30557907000000001</v>
      </c>
      <c r="I1405">
        <v>0.30653341499999998</v>
      </c>
      <c r="J1405">
        <v>0.31789539</v>
      </c>
      <c r="K1405">
        <v>0.32010707999999999</v>
      </c>
      <c r="L1405">
        <v>0.342316605</v>
      </c>
      <c r="M1405">
        <v>0.35839573499999999</v>
      </c>
      <c r="N1405">
        <v>0.376975905</v>
      </c>
      <c r="O1405">
        <v>0.394713645</v>
      </c>
      <c r="P1405">
        <v>0.41190969</v>
      </c>
      <c r="Q1405">
        <v>0.39163600500000001</v>
      </c>
      <c r="R1405">
        <v>0.41716035000000001</v>
      </c>
      <c r="S1405">
        <v>0.45631402500000001</v>
      </c>
      <c r="T1405">
        <v>0.472862805</v>
      </c>
      <c r="U1405">
        <v>0.46869312000000002</v>
      </c>
      <c r="V1405">
        <v>0.46004862000000002</v>
      </c>
      <c r="W1405">
        <v>0.48448035</v>
      </c>
      <c r="X1405">
        <v>0.49134823500000002</v>
      </c>
      <c r="Y1405">
        <v>0.46717648499999997</v>
      </c>
      <c r="Z1405">
        <v>0.42571705500000001</v>
      </c>
      <c r="AA1405">
        <v>0.38407870500000002</v>
      </c>
      <c r="AB1405">
        <v>0.35123453999999998</v>
      </c>
    </row>
    <row r="1406" spans="1:28" hidden="1" x14ac:dyDescent="0.25">
      <c r="A1406" t="s">
        <v>163</v>
      </c>
      <c r="B1406" t="s">
        <v>164</v>
      </c>
      <c r="C1406">
        <v>115</v>
      </c>
      <c r="D1406" t="s">
        <v>2</v>
      </c>
      <c r="E1406">
        <v>15.63522414</v>
      </c>
      <c r="F1406">
        <v>14.56588056</v>
      </c>
      <c r="G1406">
        <v>14.1031315</v>
      </c>
      <c r="H1406">
        <v>13.814911635</v>
      </c>
      <c r="I1406">
        <v>14.700712285</v>
      </c>
      <c r="J1406">
        <v>19.010747235</v>
      </c>
      <c r="K1406">
        <v>25.170883060000001</v>
      </c>
      <c r="L1406">
        <v>24.799776430000001</v>
      </c>
      <c r="M1406">
        <v>24.584093934999999</v>
      </c>
      <c r="N1406">
        <v>24.831167395000001</v>
      </c>
      <c r="O1406">
        <v>26.508293405</v>
      </c>
      <c r="P1406">
        <v>27.30479691</v>
      </c>
      <c r="Q1406">
        <v>26.176843860000002</v>
      </c>
      <c r="R1406">
        <v>23.447638365</v>
      </c>
      <c r="S1406">
        <v>24.196072885</v>
      </c>
      <c r="T1406">
        <v>25.15259752</v>
      </c>
      <c r="U1406">
        <v>25.212806629999999</v>
      </c>
      <c r="V1406">
        <v>26.323305479999998</v>
      </c>
      <c r="W1406">
        <v>30.926241999999998</v>
      </c>
      <c r="X1406">
        <v>32.382225660000003</v>
      </c>
      <c r="Y1406">
        <v>30.542049644999999</v>
      </c>
      <c r="Z1406">
        <v>27.132776509999999</v>
      </c>
      <c r="AA1406">
        <v>22.724027814999999</v>
      </c>
      <c r="AB1406">
        <v>19.238064550000001</v>
      </c>
    </row>
    <row r="1407" spans="1:28" hidden="1" x14ac:dyDescent="0.25">
      <c r="A1407" t="s">
        <v>163</v>
      </c>
      <c r="B1407" t="s">
        <v>164</v>
      </c>
      <c r="C1407">
        <v>115</v>
      </c>
      <c r="D1407" t="s">
        <v>3</v>
      </c>
      <c r="E1407">
        <v>6.2929256545000003</v>
      </c>
      <c r="F1407">
        <v>5.0592723642999999</v>
      </c>
      <c r="G1407">
        <v>4.4558175527000001</v>
      </c>
      <c r="H1407">
        <v>4.6206449817999999</v>
      </c>
      <c r="I1407">
        <v>5.7938948639000003</v>
      </c>
      <c r="J1407">
        <v>6.7698985728999999</v>
      </c>
      <c r="K1407">
        <v>9.8966242550000008</v>
      </c>
      <c r="L1407">
        <v>7.8435169787000003</v>
      </c>
      <c r="M1407">
        <v>7.7024117774</v>
      </c>
      <c r="N1407">
        <v>8.5542000844999997</v>
      </c>
      <c r="O1407">
        <v>10.048672566700001</v>
      </c>
      <c r="P1407">
        <v>7.6425054973000002</v>
      </c>
      <c r="Q1407">
        <v>7.4753820261000001</v>
      </c>
      <c r="R1407">
        <v>8.2819999812000002</v>
      </c>
      <c r="S1407">
        <v>7.9674514099999998</v>
      </c>
      <c r="T1407">
        <v>9.8417461593999995</v>
      </c>
      <c r="U1407">
        <v>9.0368166559999992</v>
      </c>
      <c r="V1407">
        <v>9.9317658287999997</v>
      </c>
      <c r="W1407">
        <v>9.3953652807000001</v>
      </c>
      <c r="X1407">
        <v>12.763613185500001</v>
      </c>
      <c r="Y1407">
        <v>11.7787165675</v>
      </c>
      <c r="Z1407">
        <v>10.237178715600001</v>
      </c>
      <c r="AA1407">
        <v>9.8976264873000002</v>
      </c>
      <c r="AB1407">
        <v>7.9886506133999999</v>
      </c>
    </row>
    <row r="1408" spans="1:28" hidden="1" x14ac:dyDescent="0.25">
      <c r="A1408" t="s">
        <v>163</v>
      </c>
      <c r="B1408" t="s">
        <v>164</v>
      </c>
      <c r="C1408">
        <v>115</v>
      </c>
      <c r="D1408" t="s">
        <v>4</v>
      </c>
      <c r="E1408">
        <v>0.23809986</v>
      </c>
      <c r="F1408">
        <v>0.22181544</v>
      </c>
      <c r="G1408">
        <v>0.2147685</v>
      </c>
      <c r="H1408">
        <v>0.21037936500000001</v>
      </c>
      <c r="I1408">
        <v>0.223868715</v>
      </c>
      <c r="J1408">
        <v>0.28950376500000002</v>
      </c>
      <c r="K1408">
        <v>0.38331293999999999</v>
      </c>
      <c r="L1408">
        <v>0.37766157</v>
      </c>
      <c r="M1408">
        <v>0.37437706500000001</v>
      </c>
      <c r="N1408">
        <v>0.37813960499999999</v>
      </c>
      <c r="O1408">
        <v>0.403679595</v>
      </c>
      <c r="P1408">
        <v>0.41580908999999999</v>
      </c>
      <c r="Q1408">
        <v>0.39863214000000002</v>
      </c>
      <c r="R1408">
        <v>0.35707063500000003</v>
      </c>
      <c r="S1408">
        <v>0.36846811499999998</v>
      </c>
      <c r="T1408">
        <v>0.38303448000000001</v>
      </c>
      <c r="U1408">
        <v>0.38395137000000001</v>
      </c>
      <c r="V1408">
        <v>0.40086252</v>
      </c>
      <c r="W1408">
        <v>0.47095799999999999</v>
      </c>
      <c r="X1408">
        <v>0.49313034</v>
      </c>
      <c r="Y1408">
        <v>0.465107355</v>
      </c>
      <c r="Z1408">
        <v>0.41318948999999999</v>
      </c>
      <c r="AA1408">
        <v>0.34605118499999998</v>
      </c>
      <c r="AB1408">
        <v>0.29296545000000002</v>
      </c>
    </row>
    <row r="1409" spans="1:28" hidden="1" x14ac:dyDescent="0.25">
      <c r="A1409" t="s">
        <v>163</v>
      </c>
      <c r="B1409" t="s">
        <v>165</v>
      </c>
      <c r="C1409">
        <v>34</v>
      </c>
      <c r="D1409" t="s">
        <v>2</v>
      </c>
      <c r="E1409">
        <v>8.5302100700000008</v>
      </c>
      <c r="F1409">
        <v>7.9539301599999996</v>
      </c>
      <c r="G1409">
        <v>7.7567272200000001</v>
      </c>
      <c r="H1409">
        <v>7.7395368800000002</v>
      </c>
      <c r="I1409">
        <v>8.2857720100000005</v>
      </c>
      <c r="J1409">
        <v>10.941412789999999</v>
      </c>
      <c r="K1409">
        <v>15.676699620000001</v>
      </c>
      <c r="L1409">
        <v>15.577222239999999</v>
      </c>
      <c r="M1409">
        <v>15.24001144</v>
      </c>
      <c r="N1409">
        <v>15.454388229999999</v>
      </c>
      <c r="O1409">
        <v>16.028734929999999</v>
      </c>
      <c r="P1409">
        <v>16.58000436</v>
      </c>
      <c r="Q1409">
        <v>15.04629177</v>
      </c>
      <c r="R1409">
        <v>13.612291300000001</v>
      </c>
      <c r="S1409">
        <v>14.489497220000001</v>
      </c>
      <c r="T1409">
        <v>15.03522504</v>
      </c>
      <c r="U1409">
        <v>15.358562900000001</v>
      </c>
      <c r="V1409">
        <v>15.83822305</v>
      </c>
      <c r="W1409">
        <v>19.588342959999999</v>
      </c>
      <c r="X1409">
        <v>20.933857119999999</v>
      </c>
      <c r="Y1409">
        <v>19.411432420000001</v>
      </c>
      <c r="Z1409">
        <v>16.176069200000001</v>
      </c>
      <c r="AA1409">
        <v>13.15848941</v>
      </c>
      <c r="AB1409">
        <v>10.56145894</v>
      </c>
    </row>
    <row r="1410" spans="1:28" hidden="1" x14ac:dyDescent="0.25">
      <c r="A1410" t="s">
        <v>163</v>
      </c>
      <c r="B1410" t="s">
        <v>165</v>
      </c>
      <c r="C1410">
        <v>34</v>
      </c>
      <c r="D1410" t="s">
        <v>3</v>
      </c>
      <c r="E1410">
        <v>2.0544803164999998</v>
      </c>
      <c r="F1410">
        <v>2.1056259792000001</v>
      </c>
      <c r="G1410">
        <v>2.298233491</v>
      </c>
      <c r="H1410">
        <v>2.2181122911000002</v>
      </c>
      <c r="I1410">
        <v>2.4454514457999998</v>
      </c>
      <c r="J1410">
        <v>2.7268343742000001</v>
      </c>
      <c r="K1410">
        <v>2.2675844956</v>
      </c>
      <c r="L1410">
        <v>2.4351845763000002</v>
      </c>
      <c r="M1410">
        <v>2.6606595237000001</v>
      </c>
      <c r="N1410">
        <v>2.6325397003000002</v>
      </c>
      <c r="O1410">
        <v>2.7244761876000001</v>
      </c>
      <c r="P1410">
        <v>2.6355963382000001</v>
      </c>
      <c r="Q1410">
        <v>2.5537880866</v>
      </c>
      <c r="R1410">
        <v>2.6847389247</v>
      </c>
      <c r="S1410">
        <v>2.6899818124000001</v>
      </c>
      <c r="T1410">
        <v>2.2590483131000001</v>
      </c>
      <c r="U1410">
        <v>2.4713543502999999</v>
      </c>
      <c r="V1410">
        <v>2.7460580309</v>
      </c>
      <c r="W1410">
        <v>3.5694173560000002</v>
      </c>
      <c r="X1410">
        <v>3.7415758929999998</v>
      </c>
      <c r="Y1410">
        <v>3.7655055554999999</v>
      </c>
      <c r="Z1410">
        <v>3.3015806122</v>
      </c>
      <c r="AA1410">
        <v>3.4056870451000001</v>
      </c>
      <c r="AB1410">
        <v>1.9245249546000001</v>
      </c>
    </row>
    <row r="1411" spans="1:28" hidden="1" x14ac:dyDescent="0.25">
      <c r="A1411" t="s">
        <v>163</v>
      </c>
      <c r="B1411" t="s">
        <v>165</v>
      </c>
      <c r="C1411">
        <v>34</v>
      </c>
      <c r="D1411" t="s">
        <v>4</v>
      </c>
      <c r="E1411">
        <v>0.26382093000000001</v>
      </c>
      <c r="F1411">
        <v>0.24599784</v>
      </c>
      <c r="G1411">
        <v>0.23989878000000001</v>
      </c>
      <c r="H1411">
        <v>0.23936711999999999</v>
      </c>
      <c r="I1411">
        <v>0.25626099000000002</v>
      </c>
      <c r="J1411">
        <v>0.33839420999999997</v>
      </c>
      <c r="K1411">
        <v>0.48484638000000002</v>
      </c>
      <c r="L1411">
        <v>0.48176975999999999</v>
      </c>
      <c r="M1411">
        <v>0.47134056000000002</v>
      </c>
      <c r="N1411">
        <v>0.47797076999999999</v>
      </c>
      <c r="O1411">
        <v>0.49573407000000003</v>
      </c>
      <c r="P1411">
        <v>0.51278363999999999</v>
      </c>
      <c r="Q1411">
        <v>0.46534923</v>
      </c>
      <c r="R1411">
        <v>0.4209987</v>
      </c>
      <c r="S1411">
        <v>0.44812878</v>
      </c>
      <c r="T1411">
        <v>0.46500696000000002</v>
      </c>
      <c r="U1411">
        <v>0.47500710000000002</v>
      </c>
      <c r="V1411">
        <v>0.48984195000000003</v>
      </c>
      <c r="W1411">
        <v>0.60582504000000004</v>
      </c>
      <c r="X1411">
        <v>0.64743888000000005</v>
      </c>
      <c r="Y1411">
        <v>0.60035358000000005</v>
      </c>
      <c r="Z1411">
        <v>0.50029080000000004</v>
      </c>
      <c r="AA1411">
        <v>0.40696358999999999</v>
      </c>
      <c r="AB1411">
        <v>0.32664305999999999</v>
      </c>
    </row>
    <row r="1412" spans="1:28" hidden="1" x14ac:dyDescent="0.25">
      <c r="A1412" t="s">
        <v>163</v>
      </c>
      <c r="B1412" t="s">
        <v>166</v>
      </c>
      <c r="C1412">
        <v>115</v>
      </c>
      <c r="D1412" t="s">
        <v>2</v>
      </c>
      <c r="E1412">
        <v>7.6541690500000001</v>
      </c>
      <c r="F1412">
        <v>6.6995503899999997</v>
      </c>
      <c r="G1412">
        <v>6.402298075</v>
      </c>
      <c r="H1412">
        <v>6.5093222649999998</v>
      </c>
      <c r="I1412">
        <v>6.8724937349999999</v>
      </c>
      <c r="J1412">
        <v>9.2477325849999996</v>
      </c>
      <c r="K1412">
        <v>13.493472645000001</v>
      </c>
      <c r="L1412">
        <v>12.217590325</v>
      </c>
      <c r="M1412">
        <v>11.503758854999999</v>
      </c>
      <c r="N1412">
        <v>10.58686668</v>
      </c>
      <c r="O1412">
        <v>11.123724185</v>
      </c>
      <c r="P1412">
        <v>12.165704464999999</v>
      </c>
      <c r="Q1412">
        <v>11.203731794999999</v>
      </c>
      <c r="R1412">
        <v>10.50540127</v>
      </c>
      <c r="S1412">
        <v>10.839823545</v>
      </c>
      <c r="T1412">
        <v>10.830172514999999</v>
      </c>
      <c r="U1412">
        <v>10.888890334999999</v>
      </c>
      <c r="V1412">
        <v>11.494034935</v>
      </c>
      <c r="W1412">
        <v>14.59067301</v>
      </c>
      <c r="X1412">
        <v>16.440443909999999</v>
      </c>
      <c r="Y1412">
        <v>15.65931527</v>
      </c>
      <c r="Z1412">
        <v>13.783185769999999</v>
      </c>
      <c r="AA1412">
        <v>11.363413100000001</v>
      </c>
      <c r="AB1412">
        <v>9.1144985300000005</v>
      </c>
    </row>
    <row r="1413" spans="1:28" hidden="1" x14ac:dyDescent="0.25">
      <c r="A1413" t="s">
        <v>163</v>
      </c>
      <c r="B1413" t="s">
        <v>166</v>
      </c>
      <c r="C1413">
        <v>115</v>
      </c>
      <c r="D1413" t="s">
        <v>3</v>
      </c>
      <c r="E1413">
        <v>2.9835373120000002</v>
      </c>
      <c r="F1413">
        <v>2.7404557632</v>
      </c>
      <c r="G1413">
        <v>2.629905575</v>
      </c>
      <c r="H1413">
        <v>2.7177148926000001</v>
      </c>
      <c r="I1413">
        <v>2.8512969177</v>
      </c>
      <c r="J1413">
        <v>3.2601649752999999</v>
      </c>
      <c r="K1413">
        <v>3.2020184867000001</v>
      </c>
      <c r="L1413">
        <v>3.0341373282999999</v>
      </c>
      <c r="M1413">
        <v>2.9241144014999998</v>
      </c>
      <c r="N1413">
        <v>3.3875732960999998</v>
      </c>
      <c r="O1413">
        <v>3.5926413493</v>
      </c>
      <c r="P1413">
        <v>4.2645393076999998</v>
      </c>
      <c r="Q1413">
        <v>4.1358978213000004</v>
      </c>
      <c r="R1413">
        <v>4.0628614777000003</v>
      </c>
      <c r="S1413">
        <v>3.8342502034999999</v>
      </c>
      <c r="T1413">
        <v>3.8647195814000002</v>
      </c>
      <c r="U1413">
        <v>3.6750869305</v>
      </c>
      <c r="V1413">
        <v>3.6761845141</v>
      </c>
      <c r="W1413">
        <v>4.0704289217999996</v>
      </c>
      <c r="X1413">
        <v>3.1048759027999999</v>
      </c>
      <c r="Y1413">
        <v>2.5025034898</v>
      </c>
      <c r="Z1413">
        <v>2.5930197688000001</v>
      </c>
      <c r="AA1413">
        <v>3.1732943739000001</v>
      </c>
      <c r="AB1413">
        <v>2.6612198712000001</v>
      </c>
    </row>
    <row r="1414" spans="1:28" hidden="1" x14ac:dyDescent="0.25">
      <c r="A1414" t="s">
        <v>163</v>
      </c>
      <c r="B1414" t="s">
        <v>166</v>
      </c>
      <c r="C1414">
        <v>115</v>
      </c>
      <c r="D1414" t="s">
        <v>4</v>
      </c>
      <c r="E1414">
        <v>0.11656095</v>
      </c>
      <c r="F1414">
        <v>0.10202361</v>
      </c>
      <c r="G1414">
        <v>9.7496924999999998E-2</v>
      </c>
      <c r="H1414">
        <v>9.9126734999999994E-2</v>
      </c>
      <c r="I1414">
        <v>0.104657265</v>
      </c>
      <c r="J1414">
        <v>0.14082841500000001</v>
      </c>
      <c r="K1414">
        <v>0.20548435500000001</v>
      </c>
      <c r="L1414">
        <v>0.186054675</v>
      </c>
      <c r="M1414">
        <v>0.17518414500000001</v>
      </c>
      <c r="N1414">
        <v>0.16122132</v>
      </c>
      <c r="O1414">
        <v>0.16939681500000001</v>
      </c>
      <c r="P1414">
        <v>0.18526453500000001</v>
      </c>
      <c r="Q1414">
        <v>0.17061520499999999</v>
      </c>
      <c r="R1414">
        <v>0.15998072999999999</v>
      </c>
      <c r="S1414">
        <v>0.16507345500000001</v>
      </c>
      <c r="T1414">
        <v>0.16492648500000001</v>
      </c>
      <c r="U1414">
        <v>0.16582066500000001</v>
      </c>
      <c r="V1414">
        <v>0.17503606499999999</v>
      </c>
      <c r="W1414">
        <v>0.22219299000000001</v>
      </c>
      <c r="X1414">
        <v>0.25036208999999998</v>
      </c>
      <c r="Y1414">
        <v>0.23846672999999999</v>
      </c>
      <c r="Z1414">
        <v>0.20989622999999999</v>
      </c>
      <c r="AA1414">
        <v>0.1730469</v>
      </c>
      <c r="AB1414">
        <v>0.13879947000000001</v>
      </c>
    </row>
    <row r="1415" spans="1:28" hidden="1" x14ac:dyDescent="0.25">
      <c r="A1415" t="s">
        <v>163</v>
      </c>
      <c r="B1415" t="s">
        <v>167</v>
      </c>
      <c r="C1415">
        <v>115</v>
      </c>
      <c r="D1415" t="s">
        <v>2</v>
      </c>
      <c r="E1415">
        <v>3.0205241699999998</v>
      </c>
      <c r="F1415">
        <v>3.1658944099999999</v>
      </c>
      <c r="G1415">
        <v>2.9991752800000002</v>
      </c>
      <c r="H1415">
        <v>3.0107923699999999</v>
      </c>
      <c r="I1415">
        <v>3.3733787500000001</v>
      </c>
      <c r="J1415">
        <v>4.9212432100000001</v>
      </c>
      <c r="K1415">
        <v>6.9044244800000003</v>
      </c>
      <c r="L1415">
        <v>6.7527778200000004</v>
      </c>
      <c r="M1415">
        <v>6.6468499349999997</v>
      </c>
      <c r="N1415">
        <v>6.808324925</v>
      </c>
      <c r="O1415">
        <v>6.92931937</v>
      </c>
      <c r="P1415">
        <v>7.2205996299999997</v>
      </c>
      <c r="Q1415">
        <v>6.1065242450000001</v>
      </c>
      <c r="R1415">
        <v>6.0855624600000002</v>
      </c>
      <c r="S1415">
        <v>6.5655342450000003</v>
      </c>
      <c r="T1415">
        <v>6.8964203700000004</v>
      </c>
      <c r="U1415">
        <v>7.2425799050000004</v>
      </c>
      <c r="V1415">
        <v>7.4899134050000002</v>
      </c>
      <c r="W1415">
        <v>8.8013552100000005</v>
      </c>
      <c r="X1415">
        <v>9.3751295300000006</v>
      </c>
      <c r="Y1415">
        <v>8.3847307450000006</v>
      </c>
      <c r="Z1415">
        <v>6.6406227649999998</v>
      </c>
      <c r="AA1415">
        <v>5.0355810249999999</v>
      </c>
      <c r="AB1415">
        <v>3.8476129100000001</v>
      </c>
    </row>
    <row r="1416" spans="1:28" hidden="1" x14ac:dyDescent="0.25">
      <c r="A1416" t="s">
        <v>163</v>
      </c>
      <c r="B1416" t="s">
        <v>167</v>
      </c>
      <c r="C1416">
        <v>115</v>
      </c>
      <c r="D1416" t="s">
        <v>3</v>
      </c>
      <c r="E1416">
        <v>1.1838815141000001</v>
      </c>
      <c r="F1416">
        <v>1.0728093594999999</v>
      </c>
      <c r="G1416">
        <v>1.0041788741</v>
      </c>
      <c r="H1416">
        <v>1.4302769089</v>
      </c>
      <c r="I1416">
        <v>1.3593047814000001</v>
      </c>
      <c r="J1416">
        <v>1.8027738656000001</v>
      </c>
      <c r="K1416">
        <v>2.5278963194999999</v>
      </c>
      <c r="L1416">
        <v>3.0947254784</v>
      </c>
      <c r="M1416">
        <v>2.7160285587000002</v>
      </c>
      <c r="N1416">
        <v>2.9935445238999998</v>
      </c>
      <c r="O1416">
        <v>2.9810451905000002</v>
      </c>
      <c r="P1416">
        <v>3.1838017909</v>
      </c>
      <c r="Q1416">
        <v>2.6604717115000001</v>
      </c>
      <c r="R1416">
        <v>2.6611189991000002</v>
      </c>
      <c r="S1416">
        <v>2.9035077077999998</v>
      </c>
      <c r="T1416">
        <v>3.0130279648</v>
      </c>
      <c r="U1416">
        <v>3.0787723313000002</v>
      </c>
      <c r="V1416">
        <v>2.2796479125000002</v>
      </c>
      <c r="W1416">
        <v>4.1969088447000003</v>
      </c>
      <c r="X1416">
        <v>3.4142115802999999</v>
      </c>
      <c r="Y1416">
        <v>3.1646385087</v>
      </c>
      <c r="Z1416">
        <v>2.0553297706999998</v>
      </c>
      <c r="AA1416">
        <v>2.3245426450000002</v>
      </c>
      <c r="AB1416">
        <v>1.4429695624000001</v>
      </c>
    </row>
    <row r="1417" spans="1:28" hidden="1" x14ac:dyDescent="0.25">
      <c r="A1417" t="s">
        <v>163</v>
      </c>
      <c r="B1417" t="s">
        <v>167</v>
      </c>
      <c r="C1417">
        <v>115</v>
      </c>
      <c r="D1417" t="s">
        <v>4</v>
      </c>
      <c r="E1417">
        <v>4.5997830000000003E-2</v>
      </c>
      <c r="F1417">
        <v>4.8211589999999999E-2</v>
      </c>
      <c r="G1417">
        <v>4.567272E-2</v>
      </c>
      <c r="H1417">
        <v>4.5849630000000002E-2</v>
      </c>
      <c r="I1417">
        <v>5.137125E-2</v>
      </c>
      <c r="J1417">
        <v>7.4942789999999995E-2</v>
      </c>
      <c r="K1417">
        <v>0.10514352</v>
      </c>
      <c r="L1417">
        <v>0.10283418</v>
      </c>
      <c r="M1417">
        <v>0.101221065</v>
      </c>
      <c r="N1417">
        <v>0.103680075</v>
      </c>
      <c r="O1417">
        <v>0.10552263000000001</v>
      </c>
      <c r="P1417">
        <v>0.10995837</v>
      </c>
      <c r="Q1417">
        <v>9.2992754999999996E-2</v>
      </c>
      <c r="R1417">
        <v>9.2673539999999999E-2</v>
      </c>
      <c r="S1417">
        <v>9.9982755000000006E-2</v>
      </c>
      <c r="T1417">
        <v>0.10502163</v>
      </c>
      <c r="U1417">
        <v>0.11029309499999999</v>
      </c>
      <c r="V1417">
        <v>0.114059595</v>
      </c>
      <c r="W1417">
        <v>0.13403079000000001</v>
      </c>
      <c r="X1417">
        <v>0.14276847000000001</v>
      </c>
      <c r="Y1417">
        <v>0.127686255</v>
      </c>
      <c r="Z1417">
        <v>0.10112623499999999</v>
      </c>
      <c r="AA1417">
        <v>7.6683975000000001E-2</v>
      </c>
      <c r="AB1417">
        <v>5.859309E-2</v>
      </c>
    </row>
    <row r="1418" spans="1:28" hidden="1" x14ac:dyDescent="0.25">
      <c r="A1418" t="s">
        <v>163</v>
      </c>
      <c r="B1418" t="s">
        <v>168</v>
      </c>
      <c r="C1418">
        <v>115</v>
      </c>
      <c r="D1418" t="s">
        <v>2</v>
      </c>
      <c r="E1418">
        <v>2.3847293249999999</v>
      </c>
      <c r="F1418">
        <v>2.32664289</v>
      </c>
      <c r="G1418">
        <v>2.31793549</v>
      </c>
      <c r="H1418">
        <v>2.3247575999999999</v>
      </c>
      <c r="I1418">
        <v>2.3446871050000002</v>
      </c>
      <c r="J1418">
        <v>2.753298595</v>
      </c>
      <c r="K1418">
        <v>2.57275499</v>
      </c>
      <c r="L1418">
        <v>2.68851022</v>
      </c>
      <c r="M1418">
        <v>2.764265585</v>
      </c>
      <c r="N1418">
        <v>2.8760305800000001</v>
      </c>
      <c r="O1418">
        <v>3.05186293</v>
      </c>
      <c r="P1418">
        <v>3.2173114100000002</v>
      </c>
      <c r="Q1418">
        <v>3.0574803849999999</v>
      </c>
      <c r="R1418">
        <v>2.9850484100000001</v>
      </c>
      <c r="S1418">
        <v>3.2303626599999999</v>
      </c>
      <c r="T1418">
        <v>3.1807324499999998</v>
      </c>
      <c r="U1418">
        <v>3.1559094650000001</v>
      </c>
      <c r="V1418">
        <v>3.1777833599999998</v>
      </c>
      <c r="W1418">
        <v>3.7520048699999999</v>
      </c>
      <c r="X1418">
        <v>3.7189551650000001</v>
      </c>
      <c r="Y1418">
        <v>3.5740971250000002</v>
      </c>
      <c r="Z1418">
        <v>3.2346011149999998</v>
      </c>
      <c r="AA1418">
        <v>2.8420195150000001</v>
      </c>
      <c r="AB1418">
        <v>2.5723816749999999</v>
      </c>
    </row>
    <row r="1419" spans="1:28" hidden="1" x14ac:dyDescent="0.25">
      <c r="A1419" t="s">
        <v>163</v>
      </c>
      <c r="B1419" t="s">
        <v>168</v>
      </c>
      <c r="C1419">
        <v>115</v>
      </c>
      <c r="D1419" t="s">
        <v>3</v>
      </c>
      <c r="E1419">
        <v>0.86316587720000004</v>
      </c>
      <c r="F1419">
        <v>0.89661452730000002</v>
      </c>
      <c r="G1419">
        <v>0.84352614550000005</v>
      </c>
      <c r="H1419">
        <v>0.83944861240000002</v>
      </c>
      <c r="I1419">
        <v>0.85945830899999998</v>
      </c>
      <c r="J1419">
        <v>0.92117959810000005</v>
      </c>
      <c r="K1419">
        <v>0.74558949470000002</v>
      </c>
      <c r="L1419">
        <v>0.7523958932</v>
      </c>
      <c r="M1419">
        <v>0.98938530670000002</v>
      </c>
      <c r="N1419">
        <v>0.91024215279999998</v>
      </c>
      <c r="O1419">
        <v>0.95415609639999999</v>
      </c>
      <c r="P1419">
        <v>1.0500396696000001</v>
      </c>
      <c r="Q1419">
        <v>0.99022154500000004</v>
      </c>
      <c r="R1419">
        <v>1.0199021053999999</v>
      </c>
      <c r="S1419">
        <v>1.1078416744999999</v>
      </c>
      <c r="T1419">
        <v>1.0538974018</v>
      </c>
      <c r="U1419">
        <v>1.0563247205999999</v>
      </c>
      <c r="V1419">
        <v>1.0176278083999999</v>
      </c>
      <c r="W1419">
        <v>1.1305218953</v>
      </c>
      <c r="X1419">
        <v>0.92749640280000001</v>
      </c>
      <c r="Y1419">
        <v>0.88806960889999997</v>
      </c>
      <c r="Z1419">
        <v>0.92269286959999997</v>
      </c>
      <c r="AA1419">
        <v>0.89126443479999995</v>
      </c>
      <c r="AB1419">
        <v>0.86371097770000005</v>
      </c>
    </row>
    <row r="1420" spans="1:28" hidden="1" x14ac:dyDescent="0.25">
      <c r="A1420" t="s">
        <v>163</v>
      </c>
      <c r="B1420" t="s">
        <v>168</v>
      </c>
      <c r="C1420">
        <v>115</v>
      </c>
      <c r="D1420" t="s">
        <v>4</v>
      </c>
      <c r="E1420">
        <v>3.6315674999999999E-2</v>
      </c>
      <c r="F1420">
        <v>3.5431110000000002E-2</v>
      </c>
      <c r="G1420">
        <v>3.5298509999999998E-2</v>
      </c>
      <c r="H1420">
        <v>3.5402400000000001E-2</v>
      </c>
      <c r="I1420">
        <v>3.5705895000000001E-2</v>
      </c>
      <c r="J1420">
        <v>4.1928405000000002E-2</v>
      </c>
      <c r="K1420">
        <v>3.917901E-2</v>
      </c>
      <c r="L1420">
        <v>4.0941779999999997E-2</v>
      </c>
      <c r="M1420">
        <v>4.2095414999999997E-2</v>
      </c>
      <c r="N1420">
        <v>4.3797419999999997E-2</v>
      </c>
      <c r="O1420">
        <v>4.647507E-2</v>
      </c>
      <c r="P1420">
        <v>4.8994589999999998E-2</v>
      </c>
      <c r="Q1420">
        <v>4.6560615E-2</v>
      </c>
      <c r="R1420">
        <v>4.5457589999999999E-2</v>
      </c>
      <c r="S1420">
        <v>4.9193340000000002E-2</v>
      </c>
      <c r="T1420">
        <v>4.8437550000000003E-2</v>
      </c>
      <c r="U1420">
        <v>4.8059535E-2</v>
      </c>
      <c r="V1420">
        <v>4.8392640000000001E-2</v>
      </c>
      <c r="W1420">
        <v>5.7137130000000001E-2</v>
      </c>
      <c r="X1420">
        <v>5.6633835E-2</v>
      </c>
      <c r="Y1420">
        <v>5.4427875000000001E-2</v>
      </c>
      <c r="Z1420">
        <v>4.9257885000000001E-2</v>
      </c>
      <c r="AA1420">
        <v>4.3279484999999999E-2</v>
      </c>
      <c r="AB1420">
        <v>3.9173325000000002E-2</v>
      </c>
    </row>
    <row r="1421" spans="1:28" hidden="1" x14ac:dyDescent="0.25">
      <c r="A1421" t="s">
        <v>163</v>
      </c>
      <c r="B1421" t="s">
        <v>169</v>
      </c>
      <c r="C1421">
        <v>115</v>
      </c>
      <c r="D1421" t="s">
        <v>2</v>
      </c>
      <c r="E1421">
        <v>8.1681312150000007</v>
      </c>
      <c r="F1421">
        <v>7.5991528600000002</v>
      </c>
      <c r="G1421">
        <v>7.4339939700000004</v>
      </c>
      <c r="H1421">
        <v>7.4638581850000003</v>
      </c>
      <c r="I1421">
        <v>7.7917361200000004</v>
      </c>
      <c r="J1421">
        <v>9.8595771550000002</v>
      </c>
      <c r="K1421">
        <v>12.035119075000001</v>
      </c>
      <c r="L1421">
        <v>12.416930685000001</v>
      </c>
      <c r="M1421">
        <v>14.351056985</v>
      </c>
      <c r="N1421">
        <v>15.484858965000001</v>
      </c>
      <c r="O1421">
        <v>16.317990680000001</v>
      </c>
      <c r="P1421">
        <v>16.045902160000001</v>
      </c>
      <c r="Q1421">
        <v>14.860263570000001</v>
      </c>
      <c r="R1421">
        <v>13.12999484</v>
      </c>
      <c r="S1421">
        <v>13.846043545000001</v>
      </c>
      <c r="T1421">
        <v>15.053960865000001</v>
      </c>
      <c r="U1421">
        <v>15.614970570000001</v>
      </c>
      <c r="V1421">
        <v>15.723417100000001</v>
      </c>
      <c r="W1421">
        <v>18.158716325</v>
      </c>
      <c r="X1421">
        <v>17.47698896</v>
      </c>
      <c r="Y1421">
        <v>15.72576731</v>
      </c>
      <c r="Z1421">
        <v>13.805593535</v>
      </c>
      <c r="AA1421">
        <v>12.01560327</v>
      </c>
      <c r="AB1421">
        <v>10.167405414999999</v>
      </c>
    </row>
    <row r="1422" spans="1:28" hidden="1" x14ac:dyDescent="0.25">
      <c r="A1422" t="s">
        <v>163</v>
      </c>
      <c r="B1422" t="s">
        <v>169</v>
      </c>
      <c r="C1422">
        <v>115</v>
      </c>
      <c r="D1422" t="s">
        <v>3</v>
      </c>
      <c r="E1422">
        <v>2.5744148074000002</v>
      </c>
      <c r="F1422">
        <v>2.7038289767000001</v>
      </c>
      <c r="G1422">
        <v>2.6455640541999998</v>
      </c>
      <c r="H1422">
        <v>2.6234518550999999</v>
      </c>
      <c r="I1422">
        <v>2.7733987029999998</v>
      </c>
      <c r="J1422">
        <v>3.1662538415000001</v>
      </c>
      <c r="K1422">
        <v>2.8964531571999999</v>
      </c>
      <c r="L1422">
        <v>3.5630172690999999</v>
      </c>
      <c r="M1422">
        <v>3.4622491009999998</v>
      </c>
      <c r="N1422">
        <v>3.7371803337</v>
      </c>
      <c r="O1422">
        <v>3.9264603375</v>
      </c>
      <c r="P1422">
        <v>3.8704132011999999</v>
      </c>
      <c r="Q1422">
        <v>3.5810721409999999</v>
      </c>
      <c r="R1422">
        <v>3.7179130331999999</v>
      </c>
      <c r="S1422">
        <v>3.9212195131000001</v>
      </c>
      <c r="T1422">
        <v>4.2650935228</v>
      </c>
      <c r="U1422">
        <v>4.4246579965999997</v>
      </c>
      <c r="V1422">
        <v>3.6950730441999999</v>
      </c>
      <c r="W1422">
        <v>4.3833191541999996</v>
      </c>
      <c r="X1422">
        <v>3.353893867</v>
      </c>
      <c r="Y1422">
        <v>3.0126337259999998</v>
      </c>
      <c r="Z1422">
        <v>3.3343896941</v>
      </c>
      <c r="AA1422">
        <v>2.8977270610999999</v>
      </c>
      <c r="AB1422">
        <v>2.4561362440000001</v>
      </c>
    </row>
    <row r="1423" spans="1:28" hidden="1" x14ac:dyDescent="0.25">
      <c r="A1423" t="s">
        <v>163</v>
      </c>
      <c r="B1423" t="s">
        <v>169</v>
      </c>
      <c r="C1423">
        <v>115</v>
      </c>
      <c r="D1423" t="s">
        <v>4</v>
      </c>
      <c r="E1423">
        <v>0.124387785</v>
      </c>
      <c r="F1423">
        <v>0.11572314</v>
      </c>
      <c r="G1423">
        <v>0.11320803</v>
      </c>
      <c r="H1423">
        <v>0.113662815</v>
      </c>
      <c r="I1423">
        <v>0.11865588000000001</v>
      </c>
      <c r="J1423">
        <v>0.150145845</v>
      </c>
      <c r="K1423">
        <v>0.18327592500000001</v>
      </c>
      <c r="L1423">
        <v>0.18909031500000001</v>
      </c>
      <c r="M1423">
        <v>0.21854401500000001</v>
      </c>
      <c r="N1423">
        <v>0.235810035</v>
      </c>
      <c r="O1423">
        <v>0.24849731999999999</v>
      </c>
      <c r="P1423">
        <v>0.24435383999999999</v>
      </c>
      <c r="Q1423">
        <v>0.22629842999999999</v>
      </c>
      <c r="R1423">
        <v>0.19994915999999999</v>
      </c>
      <c r="S1423">
        <v>0.210853455</v>
      </c>
      <c r="T1423">
        <v>0.22924813499999999</v>
      </c>
      <c r="U1423">
        <v>0.23779143</v>
      </c>
      <c r="V1423">
        <v>0.23944289999999999</v>
      </c>
      <c r="W1423">
        <v>0.276528675</v>
      </c>
      <c r="X1423">
        <v>0.26614704</v>
      </c>
      <c r="Y1423">
        <v>0.23947868999999999</v>
      </c>
      <c r="Z1423">
        <v>0.21023746500000001</v>
      </c>
      <c r="AA1423">
        <v>0.18297873000000001</v>
      </c>
      <c r="AB1423">
        <v>0.154833585</v>
      </c>
    </row>
    <row r="1424" spans="1:28" hidden="1" x14ac:dyDescent="0.25">
      <c r="A1424" t="s">
        <v>163</v>
      </c>
      <c r="B1424" t="s">
        <v>170</v>
      </c>
      <c r="C1424">
        <v>115</v>
      </c>
      <c r="D1424" t="s">
        <v>2</v>
      </c>
      <c r="E1424">
        <v>2.6843190450000001</v>
      </c>
      <c r="F1424">
        <v>2.5315839599999999</v>
      </c>
      <c r="G1424">
        <v>2.5152979700000002</v>
      </c>
      <c r="H1424">
        <v>2.6024970650000001</v>
      </c>
      <c r="I1424">
        <v>3.0105027799999999</v>
      </c>
      <c r="J1424">
        <v>5.0297685400000001</v>
      </c>
      <c r="K1424">
        <v>6.4959164149999999</v>
      </c>
      <c r="L1424">
        <v>5.834573625</v>
      </c>
      <c r="M1424">
        <v>6.2684710499999996</v>
      </c>
      <c r="N1424">
        <v>6.0142839199999996</v>
      </c>
      <c r="O1424">
        <v>5.8074703650000004</v>
      </c>
      <c r="P1424">
        <v>5.8361052999999998</v>
      </c>
      <c r="Q1424">
        <v>5.4273184800000003</v>
      </c>
      <c r="R1424">
        <v>5.1929594000000003</v>
      </c>
      <c r="S1424">
        <v>5.7166947349999999</v>
      </c>
      <c r="T1424">
        <v>6.0649828550000002</v>
      </c>
      <c r="U1424">
        <v>6.58426402</v>
      </c>
      <c r="V1424">
        <v>7.2864892350000003</v>
      </c>
      <c r="W1424">
        <v>8.5514961700000001</v>
      </c>
      <c r="X1424">
        <v>7.7922965849999999</v>
      </c>
      <c r="Y1424">
        <v>6.9318980999999997</v>
      </c>
      <c r="Z1424">
        <v>5.4731643200000004</v>
      </c>
      <c r="AA1424">
        <v>4.2928860999999996</v>
      </c>
      <c r="AB1424">
        <v>3.3145053</v>
      </c>
    </row>
    <row r="1425" spans="1:28" hidden="1" x14ac:dyDescent="0.25">
      <c r="A1425" t="s">
        <v>163</v>
      </c>
      <c r="B1425" t="s">
        <v>170</v>
      </c>
      <c r="C1425">
        <v>115</v>
      </c>
      <c r="D1425" t="s">
        <v>3</v>
      </c>
      <c r="E1425">
        <v>1.0718543929</v>
      </c>
      <c r="F1425">
        <v>1.0546483756</v>
      </c>
      <c r="G1425">
        <v>1.0971306668</v>
      </c>
      <c r="H1425">
        <v>1.0778264992</v>
      </c>
      <c r="I1425">
        <v>1.104607959</v>
      </c>
      <c r="J1425">
        <v>1.3209698090999999</v>
      </c>
      <c r="K1425">
        <v>1.2985174533999999</v>
      </c>
      <c r="L1425">
        <v>1.4648309346999999</v>
      </c>
      <c r="M1425">
        <v>1.8452484695</v>
      </c>
      <c r="N1425">
        <v>1.9381143703000001</v>
      </c>
      <c r="O1425">
        <v>2.0826885116999998</v>
      </c>
      <c r="P1425">
        <v>2.1143491933999998</v>
      </c>
      <c r="Q1425">
        <v>2.0899562810000001</v>
      </c>
      <c r="R1425">
        <v>1.9930649076</v>
      </c>
      <c r="S1425">
        <v>2.325353824</v>
      </c>
      <c r="T1425">
        <v>2.272775829</v>
      </c>
      <c r="U1425">
        <v>2.4675838938000001</v>
      </c>
      <c r="V1425">
        <v>2.4001205413000002</v>
      </c>
      <c r="W1425">
        <v>2.6999310701999999</v>
      </c>
      <c r="X1425">
        <v>1.8837864984999999</v>
      </c>
      <c r="Y1425">
        <v>1.6347736725999999</v>
      </c>
      <c r="Z1425">
        <v>1.4001754354</v>
      </c>
      <c r="AA1425">
        <v>1.3941752803</v>
      </c>
      <c r="AB1425">
        <v>0.97441412819999995</v>
      </c>
    </row>
    <row r="1426" spans="1:28" hidden="1" x14ac:dyDescent="0.25">
      <c r="A1426" t="s">
        <v>163</v>
      </c>
      <c r="B1426" t="s">
        <v>170</v>
      </c>
      <c r="C1426">
        <v>115</v>
      </c>
      <c r="D1426" t="s">
        <v>4</v>
      </c>
      <c r="E1426">
        <v>4.0877955000000001E-2</v>
      </c>
      <c r="F1426">
        <v>3.8552040000000003E-2</v>
      </c>
      <c r="G1426">
        <v>3.8304030000000003E-2</v>
      </c>
      <c r="H1426">
        <v>3.9631935E-2</v>
      </c>
      <c r="I1426">
        <v>4.5845219999999999E-2</v>
      </c>
      <c r="J1426">
        <v>7.6595460000000004E-2</v>
      </c>
      <c r="K1426">
        <v>9.8922584999999993E-2</v>
      </c>
      <c r="L1426">
        <v>8.8851374999999996E-2</v>
      </c>
      <c r="M1426">
        <v>9.5458950000000001E-2</v>
      </c>
      <c r="N1426">
        <v>9.1588080000000002E-2</v>
      </c>
      <c r="O1426">
        <v>8.8438635000000002E-2</v>
      </c>
      <c r="P1426">
        <v>8.8874700000000001E-2</v>
      </c>
      <c r="Q1426">
        <v>8.2649520000000004E-2</v>
      </c>
      <c r="R1426">
        <v>7.9080600000000001E-2</v>
      </c>
      <c r="S1426">
        <v>8.7056264999999994E-2</v>
      </c>
      <c r="T1426">
        <v>9.2360145000000005E-2</v>
      </c>
      <c r="U1426">
        <v>0.10026798000000001</v>
      </c>
      <c r="V1426">
        <v>0.110961765</v>
      </c>
      <c r="W1426">
        <v>0.13022582999999999</v>
      </c>
      <c r="X1426">
        <v>0.118664415</v>
      </c>
      <c r="Y1426">
        <v>0.1055619</v>
      </c>
      <c r="Z1426">
        <v>8.3347679899999999E-2</v>
      </c>
      <c r="AA1426">
        <v>6.5373899999999999E-2</v>
      </c>
      <c r="AB1426">
        <v>5.0474699999999997E-2</v>
      </c>
    </row>
    <row r="1427" spans="1:28" hidden="1" x14ac:dyDescent="0.25">
      <c r="A1427" t="s">
        <v>163</v>
      </c>
      <c r="B1427" t="s">
        <v>171</v>
      </c>
      <c r="C1427">
        <v>115</v>
      </c>
      <c r="D1427" t="s">
        <v>2</v>
      </c>
      <c r="E1427">
        <v>3.9965193000000001</v>
      </c>
      <c r="F1427">
        <v>3.92279205</v>
      </c>
      <c r="G1427">
        <v>3.9214307800000001</v>
      </c>
      <c r="H1427">
        <v>4.0090524399999996</v>
      </c>
      <c r="I1427">
        <v>4.4906721300000001</v>
      </c>
      <c r="J1427">
        <v>6.8200109649999998</v>
      </c>
      <c r="K1427">
        <v>7.6124355850000001</v>
      </c>
      <c r="L1427">
        <v>6.8364387950000003</v>
      </c>
      <c r="M1427">
        <v>6.2463991700000001</v>
      </c>
      <c r="N1427">
        <v>5.0148871599999998</v>
      </c>
      <c r="O1427">
        <v>3.5877364200000001</v>
      </c>
      <c r="P1427">
        <v>3.51769898</v>
      </c>
      <c r="Q1427">
        <v>3.5257533250000002</v>
      </c>
      <c r="R1427">
        <v>6.2472147500000004</v>
      </c>
      <c r="S1427">
        <v>4.5306020599999997</v>
      </c>
      <c r="T1427">
        <v>5.3495596250000004</v>
      </c>
      <c r="U1427">
        <v>7.4627599099999999</v>
      </c>
      <c r="V1427">
        <v>8.1771882900000001</v>
      </c>
      <c r="W1427">
        <v>9.7211669250000003</v>
      </c>
      <c r="X1427">
        <v>9.0697686950000005</v>
      </c>
      <c r="Y1427">
        <v>8.0824371999999993</v>
      </c>
      <c r="Z1427">
        <v>6.4344691599999999</v>
      </c>
      <c r="AA1427">
        <v>5.0337154350000004</v>
      </c>
      <c r="AB1427">
        <v>4.2585992350000001</v>
      </c>
    </row>
    <row r="1428" spans="1:28" hidden="1" x14ac:dyDescent="0.25">
      <c r="A1428" t="s">
        <v>163</v>
      </c>
      <c r="B1428" t="s">
        <v>171</v>
      </c>
      <c r="C1428">
        <v>115</v>
      </c>
      <c r="D1428" t="s">
        <v>3</v>
      </c>
      <c r="E1428">
        <v>1.5011495042</v>
      </c>
      <c r="F1428">
        <v>1.5068286706</v>
      </c>
      <c r="G1428">
        <v>1.5402091568</v>
      </c>
      <c r="H1428">
        <v>1.5789243075999999</v>
      </c>
      <c r="I1428">
        <v>1.6063982190999999</v>
      </c>
      <c r="J1428">
        <v>1.811426819</v>
      </c>
      <c r="K1428">
        <v>1.7276720875</v>
      </c>
      <c r="L1428">
        <v>1.9865326899</v>
      </c>
      <c r="M1428">
        <v>2.2865633987999998</v>
      </c>
      <c r="N1428">
        <v>1.7279454119</v>
      </c>
      <c r="O1428">
        <v>1.2082631350999999</v>
      </c>
      <c r="P1428">
        <v>1.2390470539</v>
      </c>
      <c r="Q1428">
        <v>1.4297884914000001</v>
      </c>
      <c r="R1428">
        <v>2.6196930156999998</v>
      </c>
      <c r="S1428">
        <v>2.0911701894000001</v>
      </c>
      <c r="T1428">
        <v>2.1649131662999999</v>
      </c>
      <c r="U1428">
        <v>3.2513522969999999</v>
      </c>
      <c r="V1428">
        <v>2.8539047814999998</v>
      </c>
      <c r="W1428">
        <v>3.0428691469000002</v>
      </c>
      <c r="X1428">
        <v>2.2230793608999999</v>
      </c>
      <c r="Y1428">
        <v>1.8667369193000001</v>
      </c>
      <c r="Z1428">
        <v>1.5465252744</v>
      </c>
      <c r="AA1428">
        <v>1.5020076570000001</v>
      </c>
      <c r="AB1428">
        <v>1.4466355611999999</v>
      </c>
    </row>
    <row r="1429" spans="1:28" hidden="1" x14ac:dyDescent="0.25">
      <c r="A1429" t="s">
        <v>163</v>
      </c>
      <c r="B1429" t="s">
        <v>171</v>
      </c>
      <c r="C1429">
        <v>115</v>
      </c>
      <c r="D1429" t="s">
        <v>4</v>
      </c>
      <c r="E1429">
        <v>6.0860699999999997E-2</v>
      </c>
      <c r="F1429">
        <v>5.9737949999999998E-2</v>
      </c>
      <c r="G1429">
        <v>5.9717220000000001E-2</v>
      </c>
      <c r="H1429">
        <v>6.1051559999999998E-2</v>
      </c>
      <c r="I1429">
        <v>6.8385870000000001E-2</v>
      </c>
      <c r="J1429">
        <v>0.103858035</v>
      </c>
      <c r="K1429">
        <v>0.115925415</v>
      </c>
      <c r="L1429">
        <v>0.104108205</v>
      </c>
      <c r="M1429">
        <v>9.5122830000000005E-2</v>
      </c>
      <c r="N1429">
        <v>7.6368839999999993E-2</v>
      </c>
      <c r="O1429">
        <v>5.4635580000000003E-2</v>
      </c>
      <c r="P1429">
        <v>5.3569020000000002E-2</v>
      </c>
      <c r="Q1429">
        <v>5.3691675000000001E-2</v>
      </c>
      <c r="R1429">
        <v>9.5135250000000005E-2</v>
      </c>
      <c r="S1429">
        <v>6.8993940000000004E-2</v>
      </c>
      <c r="T1429">
        <v>8.1465375000000007E-2</v>
      </c>
      <c r="U1429">
        <v>0.11364609000000001</v>
      </c>
      <c r="V1429">
        <v>0.12452571</v>
      </c>
      <c r="W1429">
        <v>0.14803807499999999</v>
      </c>
      <c r="X1429">
        <v>0.138118305</v>
      </c>
      <c r="Y1429">
        <v>0.12308280000000001</v>
      </c>
      <c r="Z1429">
        <v>9.7986840000000006E-2</v>
      </c>
      <c r="AA1429">
        <v>7.6655564999999995E-2</v>
      </c>
      <c r="AB1429">
        <v>6.4851765000000006E-2</v>
      </c>
    </row>
    <row r="1430" spans="1:28" hidden="1" x14ac:dyDescent="0.25">
      <c r="A1430" t="s">
        <v>163</v>
      </c>
      <c r="B1430" t="s">
        <v>172</v>
      </c>
      <c r="C1430">
        <v>115</v>
      </c>
      <c r="D1430" t="s">
        <v>2</v>
      </c>
      <c r="E1430">
        <v>14.369626204999999</v>
      </c>
      <c r="F1430">
        <v>13.976833815000001</v>
      </c>
      <c r="G1430">
        <v>13.91376131</v>
      </c>
      <c r="H1430">
        <v>13.988576</v>
      </c>
      <c r="I1430">
        <v>14.150209575</v>
      </c>
      <c r="J1430">
        <v>16.700095820000001</v>
      </c>
      <c r="K1430">
        <v>15.627028940000001</v>
      </c>
      <c r="L1430">
        <v>15.92035997</v>
      </c>
      <c r="M1430">
        <v>17.264571740000001</v>
      </c>
      <c r="N1430">
        <v>18.000727250000001</v>
      </c>
      <c r="O1430">
        <v>19.314305520000001</v>
      </c>
      <c r="P1430">
        <v>20.78322026</v>
      </c>
      <c r="Q1430">
        <v>19.829855505000001</v>
      </c>
      <c r="R1430">
        <v>18.988640879999998</v>
      </c>
      <c r="S1430">
        <v>20.131398480000001</v>
      </c>
      <c r="T1430">
        <v>19.624719405</v>
      </c>
      <c r="U1430">
        <v>19.44365178</v>
      </c>
      <c r="V1430">
        <v>19.173581524999999</v>
      </c>
      <c r="W1430">
        <v>22.892310139999999</v>
      </c>
      <c r="X1430">
        <v>22.560261714999999</v>
      </c>
      <c r="Y1430">
        <v>21.686940029999999</v>
      </c>
      <c r="Z1430">
        <v>19.109577210000001</v>
      </c>
      <c r="AA1430">
        <v>16.63411855</v>
      </c>
      <c r="AB1430">
        <v>15.045223914999999</v>
      </c>
    </row>
    <row r="1431" spans="1:28" hidden="1" x14ac:dyDescent="0.25">
      <c r="A1431" t="s">
        <v>163</v>
      </c>
      <c r="B1431" t="s">
        <v>172</v>
      </c>
      <c r="C1431">
        <v>115</v>
      </c>
      <c r="D1431" t="s">
        <v>3</v>
      </c>
      <c r="E1431">
        <v>5.9031287446</v>
      </c>
      <c r="F1431">
        <v>5.7008444539000003</v>
      </c>
      <c r="G1431">
        <v>5.7124325924999999</v>
      </c>
      <c r="H1431">
        <v>5.8314295296000003</v>
      </c>
      <c r="I1431">
        <v>5.8533879353999998</v>
      </c>
      <c r="J1431">
        <v>5.8511801524999996</v>
      </c>
      <c r="K1431">
        <v>3.6521916785999999</v>
      </c>
      <c r="L1431">
        <v>3.8915729565000001</v>
      </c>
      <c r="M1431">
        <v>4.3517585034000001</v>
      </c>
      <c r="N1431">
        <v>5.7565953166000003</v>
      </c>
      <c r="O1431">
        <v>6.2351859385999999</v>
      </c>
      <c r="P1431">
        <v>7.2669467419</v>
      </c>
      <c r="Q1431">
        <v>7.3124518704000003</v>
      </c>
      <c r="R1431">
        <v>7.2975904386000003</v>
      </c>
      <c r="S1431">
        <v>7.0956947160999997</v>
      </c>
      <c r="T1431">
        <v>6.9944704520999998</v>
      </c>
      <c r="U1431">
        <v>6.5128149939000002</v>
      </c>
      <c r="V1431">
        <v>6.0696929208999997</v>
      </c>
      <c r="W1431">
        <v>6.3246205700999996</v>
      </c>
      <c r="X1431">
        <v>4.1536726568000004</v>
      </c>
      <c r="Y1431">
        <v>3.3366999348999999</v>
      </c>
      <c r="Z1431">
        <v>3.5292473539000002</v>
      </c>
      <c r="AA1431">
        <v>4.5895716539000002</v>
      </c>
      <c r="AB1431">
        <v>4.3864409465999996</v>
      </c>
    </row>
    <row r="1432" spans="1:28" hidden="1" x14ac:dyDescent="0.25">
      <c r="A1432" t="s">
        <v>163</v>
      </c>
      <c r="B1432" t="s">
        <v>172</v>
      </c>
      <c r="C1432">
        <v>115</v>
      </c>
      <c r="D1432" t="s">
        <v>4</v>
      </c>
      <c r="E1432">
        <v>0.21882679499999999</v>
      </c>
      <c r="F1432">
        <v>0.21284518499999999</v>
      </c>
      <c r="G1432">
        <v>0.21188468999999999</v>
      </c>
      <c r="H1432">
        <v>0.21302399999999999</v>
      </c>
      <c r="I1432">
        <v>0.21548542500000001</v>
      </c>
      <c r="J1432">
        <v>0.25431618</v>
      </c>
      <c r="K1432">
        <v>0.23797505999999999</v>
      </c>
      <c r="L1432">
        <v>0.24244203</v>
      </c>
      <c r="M1432">
        <v>0.26291226000000001</v>
      </c>
      <c r="N1432">
        <v>0.27412275000000003</v>
      </c>
      <c r="O1432">
        <v>0.29412648000000002</v>
      </c>
      <c r="P1432">
        <v>0.31649574000000003</v>
      </c>
      <c r="Q1432">
        <v>0.30197749499999998</v>
      </c>
      <c r="R1432">
        <v>0.28916712</v>
      </c>
      <c r="S1432">
        <v>0.30656951999999998</v>
      </c>
      <c r="T1432">
        <v>0.29885359500000003</v>
      </c>
      <c r="U1432">
        <v>0.29609622000000002</v>
      </c>
      <c r="V1432">
        <v>0.29198347499999999</v>
      </c>
      <c r="W1432">
        <v>0.34861386</v>
      </c>
      <c r="X1432">
        <v>0.34355728499999999</v>
      </c>
      <c r="Y1432">
        <v>0.33025797000000001</v>
      </c>
      <c r="Z1432">
        <v>0.29100879000000002</v>
      </c>
      <c r="AA1432">
        <v>0.25331144999999999</v>
      </c>
      <c r="AB1432">
        <v>0.229115085</v>
      </c>
    </row>
    <row r="1433" spans="1:28" hidden="1" x14ac:dyDescent="0.25">
      <c r="A1433" t="s">
        <v>173</v>
      </c>
      <c r="B1433" t="s">
        <v>174</v>
      </c>
      <c r="C1433">
        <v>115</v>
      </c>
      <c r="D1433" t="s">
        <v>2</v>
      </c>
      <c r="E1433">
        <v>17.975148770000001</v>
      </c>
      <c r="F1433">
        <v>16.907019694999999</v>
      </c>
      <c r="G1433">
        <v>16.226404394999999</v>
      </c>
      <c r="H1433">
        <v>15.609763859999999</v>
      </c>
      <c r="I1433">
        <v>15.199490675</v>
      </c>
      <c r="J1433">
        <v>14.490588145</v>
      </c>
      <c r="K1433">
        <v>13.360324285000001</v>
      </c>
      <c r="L1433">
        <v>13.49453546</v>
      </c>
      <c r="M1433">
        <v>13.985107814999999</v>
      </c>
      <c r="N1433">
        <v>14.283411125000001</v>
      </c>
      <c r="O1433">
        <v>14.60173062</v>
      </c>
      <c r="P1433">
        <v>14.767050064999999</v>
      </c>
      <c r="Q1433">
        <v>14.454374619999999</v>
      </c>
      <c r="R1433">
        <v>15.989931504999999</v>
      </c>
      <c r="S1433">
        <v>17.620679774999999</v>
      </c>
      <c r="T1433">
        <v>17.886783435000002</v>
      </c>
      <c r="U1433">
        <v>17.937412434999999</v>
      </c>
      <c r="V1433">
        <v>17.46114622</v>
      </c>
      <c r="W1433">
        <v>18.398915469999999</v>
      </c>
      <c r="X1433">
        <v>18.863220829999999</v>
      </c>
      <c r="Y1433">
        <v>19.390825244999998</v>
      </c>
      <c r="Z1433">
        <v>20.337943129999999</v>
      </c>
      <c r="AA1433">
        <v>20.713831935000002</v>
      </c>
      <c r="AB1433">
        <v>20.221451120000001</v>
      </c>
    </row>
    <row r="1434" spans="1:28" hidden="1" x14ac:dyDescent="0.25">
      <c r="A1434" t="s">
        <v>173</v>
      </c>
      <c r="B1434" t="s">
        <v>174</v>
      </c>
      <c r="C1434">
        <v>115</v>
      </c>
      <c r="D1434" t="s">
        <v>3</v>
      </c>
      <c r="E1434">
        <v>6.9580133513</v>
      </c>
      <c r="F1434">
        <v>6.6463922166999998</v>
      </c>
      <c r="G1434">
        <v>6.4640077646999998</v>
      </c>
      <c r="H1434">
        <v>6.3209883966999998</v>
      </c>
      <c r="I1434">
        <v>6.1793358724000003</v>
      </c>
      <c r="J1434">
        <v>5.8227533645999996</v>
      </c>
      <c r="K1434">
        <v>5.8088389756999996</v>
      </c>
      <c r="L1434">
        <v>6.2067215276000001</v>
      </c>
      <c r="M1434">
        <v>6.5522609789999997</v>
      </c>
      <c r="N1434">
        <v>6.8399080964000003</v>
      </c>
      <c r="O1434">
        <v>6.9736286773999998</v>
      </c>
      <c r="P1434">
        <v>7.1729079798999997</v>
      </c>
      <c r="Q1434">
        <v>7.0610514482999998</v>
      </c>
      <c r="R1434">
        <v>7.6411745058999996</v>
      </c>
      <c r="S1434">
        <v>8.0712734143000002</v>
      </c>
      <c r="T1434">
        <v>8.0831649544000008</v>
      </c>
      <c r="U1434">
        <v>7.9176940275999996</v>
      </c>
      <c r="V1434">
        <v>7.2838358132999996</v>
      </c>
      <c r="W1434">
        <v>6.8245746192999999</v>
      </c>
      <c r="X1434">
        <v>6.6359344055999996</v>
      </c>
      <c r="Y1434">
        <v>6.8556291681000001</v>
      </c>
      <c r="Z1434">
        <v>7.2650449388</v>
      </c>
      <c r="AA1434">
        <v>7.5558469020999999</v>
      </c>
      <c r="AB1434">
        <v>7.6739570479000001</v>
      </c>
    </row>
    <row r="1435" spans="1:28" hidden="1" x14ac:dyDescent="0.25">
      <c r="A1435" t="s">
        <v>173</v>
      </c>
      <c r="B1435" t="s">
        <v>174</v>
      </c>
      <c r="C1435">
        <v>115</v>
      </c>
      <c r="D1435" t="s">
        <v>4</v>
      </c>
      <c r="E1435">
        <v>0.27373322999999999</v>
      </c>
      <c r="F1435">
        <v>0.25746730499999998</v>
      </c>
      <c r="G1435">
        <v>0.247102605</v>
      </c>
      <c r="H1435">
        <v>0.23771213999999999</v>
      </c>
      <c r="I1435">
        <v>0.231464325</v>
      </c>
      <c r="J1435">
        <v>0.220668855</v>
      </c>
      <c r="K1435">
        <v>0.20345671500000001</v>
      </c>
      <c r="L1435">
        <v>0.20550054000000001</v>
      </c>
      <c r="M1435">
        <v>0.21297118500000001</v>
      </c>
      <c r="N1435">
        <v>0.217513875</v>
      </c>
      <c r="O1435">
        <v>0.22236138</v>
      </c>
      <c r="P1435">
        <v>0.224878935</v>
      </c>
      <c r="Q1435">
        <v>0.22011738</v>
      </c>
      <c r="R1435">
        <v>0.24350149500000001</v>
      </c>
      <c r="S1435">
        <v>0.26833522500000001</v>
      </c>
      <c r="T1435">
        <v>0.272387565</v>
      </c>
      <c r="U1435">
        <v>0.27315856500000002</v>
      </c>
      <c r="V1435">
        <v>0.26590577999999998</v>
      </c>
      <c r="W1435">
        <v>0.28018652999999999</v>
      </c>
      <c r="X1435">
        <v>0.28725717000000001</v>
      </c>
      <c r="Y1435">
        <v>0.29529175499999999</v>
      </c>
      <c r="Z1435">
        <v>0.30971486999999998</v>
      </c>
      <c r="AA1435">
        <v>0.31543906500000002</v>
      </c>
      <c r="AB1435">
        <v>0.30794087999999997</v>
      </c>
    </row>
    <row r="1436" spans="1:28" hidden="1" x14ac:dyDescent="0.25">
      <c r="A1436" t="s">
        <v>173</v>
      </c>
      <c r="B1436" t="s">
        <v>175</v>
      </c>
      <c r="C1436">
        <v>115</v>
      </c>
      <c r="D1436" t="s">
        <v>2</v>
      </c>
      <c r="E1436">
        <v>8.7328366400000004</v>
      </c>
      <c r="F1436">
        <v>8.9002403450000003</v>
      </c>
      <c r="G1436">
        <v>9.1254103600000001</v>
      </c>
      <c r="H1436">
        <v>9.08169015</v>
      </c>
      <c r="I1436">
        <v>9.2995032000000002</v>
      </c>
      <c r="J1436">
        <v>9.1381109499999997</v>
      </c>
      <c r="K1436">
        <v>9.10258988</v>
      </c>
      <c r="L1436">
        <v>8.7541165799999998</v>
      </c>
      <c r="M1436">
        <v>7.6046747699999999</v>
      </c>
      <c r="N1436">
        <v>5.8736781249999996</v>
      </c>
      <c r="O1436">
        <v>6.1209692699999998</v>
      </c>
      <c r="P1436">
        <v>5.9073867949999999</v>
      </c>
      <c r="Q1436">
        <v>6.3302059249999996</v>
      </c>
      <c r="R1436">
        <v>5.9766500249999996</v>
      </c>
      <c r="S1436">
        <v>7.1054600250000002</v>
      </c>
      <c r="T1436">
        <v>7.6737951750000004</v>
      </c>
      <c r="U1436">
        <v>7.5617593049999998</v>
      </c>
      <c r="V1436">
        <v>8.1048124599999998</v>
      </c>
      <c r="W1436">
        <v>8.5507278699999993</v>
      </c>
      <c r="X1436">
        <v>9.1156903800000002</v>
      </c>
      <c r="Y1436">
        <v>9.1121502900000007</v>
      </c>
      <c r="Z1436">
        <v>9.0099210799999998</v>
      </c>
      <c r="AA1436">
        <v>9.0774497249999992</v>
      </c>
      <c r="AB1436">
        <v>8.9882057700000004</v>
      </c>
    </row>
    <row r="1437" spans="1:28" hidden="1" x14ac:dyDescent="0.25">
      <c r="A1437" t="s">
        <v>173</v>
      </c>
      <c r="B1437" t="s">
        <v>175</v>
      </c>
      <c r="C1437">
        <v>115</v>
      </c>
      <c r="D1437" t="s">
        <v>3</v>
      </c>
      <c r="E1437">
        <v>2.4418401713</v>
      </c>
      <c r="F1437">
        <v>2.4918544242</v>
      </c>
      <c r="G1437">
        <v>2.5759986761000002</v>
      </c>
      <c r="H1437">
        <v>2.5708675217999999</v>
      </c>
      <c r="I1437">
        <v>2.6545815850999999</v>
      </c>
      <c r="J1437">
        <v>2.6475308453999999</v>
      </c>
      <c r="K1437">
        <v>2.7461542802999999</v>
      </c>
      <c r="L1437">
        <v>2.7337273298999998</v>
      </c>
      <c r="M1437">
        <v>2.4528095728000001</v>
      </c>
      <c r="N1437">
        <v>1.9291252851</v>
      </c>
      <c r="O1437">
        <v>1.9231435668000001</v>
      </c>
      <c r="P1437">
        <v>1.785094655</v>
      </c>
      <c r="Q1437">
        <v>1.9432515110999999</v>
      </c>
      <c r="R1437">
        <v>1.8606547576000001</v>
      </c>
      <c r="S1437">
        <v>2.2230694306999998</v>
      </c>
      <c r="T1437">
        <v>2.4219768981000001</v>
      </c>
      <c r="U1437">
        <v>2.3738836445999998</v>
      </c>
      <c r="V1437">
        <v>2.4022982812000002</v>
      </c>
      <c r="W1437">
        <v>2.4843386498000002</v>
      </c>
      <c r="X1437">
        <v>2.5898779787000001</v>
      </c>
      <c r="Y1437">
        <v>2.5885118235000002</v>
      </c>
      <c r="Z1437">
        <v>2.5694332784</v>
      </c>
      <c r="AA1437">
        <v>2.5944128370000001</v>
      </c>
      <c r="AB1437">
        <v>2.2530496279999999</v>
      </c>
    </row>
    <row r="1438" spans="1:28" hidden="1" x14ac:dyDescent="0.25">
      <c r="A1438" t="s">
        <v>173</v>
      </c>
      <c r="B1438" t="s">
        <v>175</v>
      </c>
      <c r="C1438">
        <v>115</v>
      </c>
      <c r="D1438" t="s">
        <v>4</v>
      </c>
      <c r="E1438">
        <v>0.13298736</v>
      </c>
      <c r="F1438">
        <v>0.13553665500000001</v>
      </c>
      <c r="G1438">
        <v>0.13896564</v>
      </c>
      <c r="H1438">
        <v>0.13829985</v>
      </c>
      <c r="I1438">
        <v>0.14161679999999999</v>
      </c>
      <c r="J1438">
        <v>0.13915905000000001</v>
      </c>
      <c r="K1438">
        <v>0.13861812000000001</v>
      </c>
      <c r="L1438">
        <v>0.13331142000000001</v>
      </c>
      <c r="M1438">
        <v>0.11580723</v>
      </c>
      <c r="N1438">
        <v>8.9446874999999995E-2</v>
      </c>
      <c r="O1438">
        <v>9.3212729999999994E-2</v>
      </c>
      <c r="P1438">
        <v>8.9960205000000001E-2</v>
      </c>
      <c r="Q1438">
        <v>9.6399075000000001E-2</v>
      </c>
      <c r="R1438">
        <v>9.1014974999999998E-2</v>
      </c>
      <c r="S1438">
        <v>0.10820497499999999</v>
      </c>
      <c r="T1438">
        <v>0.116859825</v>
      </c>
      <c r="U1438">
        <v>0.115153695</v>
      </c>
      <c r="V1438">
        <v>0.12342354</v>
      </c>
      <c r="W1438">
        <v>0.13021413000000001</v>
      </c>
      <c r="X1438">
        <v>0.13881762</v>
      </c>
      <c r="Y1438">
        <v>0.13876371000000001</v>
      </c>
      <c r="Z1438">
        <v>0.13720692000000001</v>
      </c>
      <c r="AA1438">
        <v>0.13823527499999999</v>
      </c>
      <c r="AB1438">
        <v>0.13687622999999999</v>
      </c>
    </row>
    <row r="1439" spans="1:28" hidden="1" x14ac:dyDescent="0.25">
      <c r="A1439" t="s">
        <v>173</v>
      </c>
      <c r="B1439" t="s">
        <v>176</v>
      </c>
      <c r="C1439">
        <v>115</v>
      </c>
      <c r="D1439" t="s">
        <v>2</v>
      </c>
      <c r="E1439">
        <v>6.0275952100000003</v>
      </c>
      <c r="F1439">
        <v>5.7800016699999999</v>
      </c>
      <c r="G1439">
        <v>5.5382875949999999</v>
      </c>
      <c r="H1439">
        <v>5.3671418749999997</v>
      </c>
      <c r="I1439">
        <v>5.2602811950000001</v>
      </c>
      <c r="J1439">
        <v>4.9460977149999996</v>
      </c>
      <c r="K1439">
        <v>4.2908422249999996</v>
      </c>
      <c r="L1439">
        <v>4.2886092299999996</v>
      </c>
      <c r="M1439">
        <v>4.3605615100000001</v>
      </c>
      <c r="N1439">
        <v>4.5064587249999999</v>
      </c>
      <c r="O1439">
        <v>4.59142384</v>
      </c>
      <c r="P1439">
        <v>4.7446277849999996</v>
      </c>
      <c r="Q1439">
        <v>4.8982769499999996</v>
      </c>
      <c r="R1439">
        <v>5.33287668</v>
      </c>
      <c r="S1439">
        <v>5.4851320699999997</v>
      </c>
      <c r="T1439">
        <v>5.3782152449999998</v>
      </c>
      <c r="U1439">
        <v>5.2640035100000002</v>
      </c>
      <c r="V1439">
        <v>5.0722762149999996</v>
      </c>
      <c r="W1439">
        <v>5.8651431000000001</v>
      </c>
      <c r="X1439">
        <v>6.3674871900000003</v>
      </c>
      <c r="Y1439">
        <v>6.6525028500000003</v>
      </c>
      <c r="Z1439">
        <v>6.9749475250000001</v>
      </c>
      <c r="AA1439">
        <v>6.9637933849999998</v>
      </c>
      <c r="AB1439">
        <v>6.7538948100000002</v>
      </c>
    </row>
    <row r="1440" spans="1:28" hidden="1" x14ac:dyDescent="0.25">
      <c r="A1440" t="s">
        <v>173</v>
      </c>
      <c r="B1440" t="s">
        <v>176</v>
      </c>
      <c r="C1440">
        <v>115</v>
      </c>
      <c r="D1440" t="s">
        <v>3</v>
      </c>
      <c r="E1440">
        <v>2.1271896654</v>
      </c>
      <c r="F1440">
        <v>2.0333596415000001</v>
      </c>
      <c r="G1440">
        <v>1.963664657</v>
      </c>
      <c r="H1440">
        <v>1.9116481511000001</v>
      </c>
      <c r="I1440">
        <v>1.88029226</v>
      </c>
      <c r="J1440">
        <v>1.7950296794</v>
      </c>
      <c r="K1440">
        <v>1.7699540202999999</v>
      </c>
      <c r="L1440">
        <v>1.8813280576</v>
      </c>
      <c r="M1440">
        <v>1.9507551289</v>
      </c>
      <c r="N1440">
        <v>2.0742832634999999</v>
      </c>
      <c r="O1440">
        <v>2.0685820329000002</v>
      </c>
      <c r="P1440">
        <v>2.1538324144000001</v>
      </c>
      <c r="Q1440">
        <v>2.1593776635999999</v>
      </c>
      <c r="R1440">
        <v>2.3342007734000001</v>
      </c>
      <c r="S1440">
        <v>2.3723924643999998</v>
      </c>
      <c r="T1440">
        <v>2.3224490372000002</v>
      </c>
      <c r="U1440">
        <v>2.2279901935000002</v>
      </c>
      <c r="V1440">
        <v>2.0511254691</v>
      </c>
      <c r="W1440">
        <v>2.0417863296999998</v>
      </c>
      <c r="X1440">
        <v>2.0661075784</v>
      </c>
      <c r="Y1440">
        <v>2.1542974287000001</v>
      </c>
      <c r="Z1440">
        <v>2.3103264267000001</v>
      </c>
      <c r="AA1440">
        <v>2.4152151678</v>
      </c>
      <c r="AB1440">
        <v>2.3976289070000001</v>
      </c>
    </row>
    <row r="1441" spans="1:28" hidden="1" x14ac:dyDescent="0.25">
      <c r="A1441" t="s">
        <v>173</v>
      </c>
      <c r="B1441" t="s">
        <v>176</v>
      </c>
      <c r="C1441">
        <v>115</v>
      </c>
      <c r="D1441" t="s">
        <v>4</v>
      </c>
      <c r="E1441">
        <v>9.1790789999999997E-2</v>
      </c>
      <c r="F1441">
        <v>8.8020329999999994E-2</v>
      </c>
      <c r="G1441">
        <v>8.4339405000000006E-2</v>
      </c>
      <c r="H1441">
        <v>8.1733125000000004E-2</v>
      </c>
      <c r="I1441">
        <v>8.0105805000000002E-2</v>
      </c>
      <c r="J1441">
        <v>7.5321285000000002E-2</v>
      </c>
      <c r="K1441">
        <v>6.5342775000000006E-2</v>
      </c>
      <c r="L1441">
        <v>6.5308770000000002E-2</v>
      </c>
      <c r="M1441">
        <v>6.6404489999999997E-2</v>
      </c>
      <c r="N1441">
        <v>6.8626275E-2</v>
      </c>
      <c r="O1441">
        <v>6.9920159999999995E-2</v>
      </c>
      <c r="P1441">
        <v>7.2253214999999996E-2</v>
      </c>
      <c r="Q1441">
        <v>7.4593049999999994E-2</v>
      </c>
      <c r="R1441">
        <v>8.1211320000000004E-2</v>
      </c>
      <c r="S1441">
        <v>8.3529930000000002E-2</v>
      </c>
      <c r="T1441">
        <v>8.1901755000000007E-2</v>
      </c>
      <c r="U1441">
        <v>8.0162490000000003E-2</v>
      </c>
      <c r="V1441">
        <v>7.7242784999999994E-2</v>
      </c>
      <c r="W1441">
        <v>8.9316900000000005E-2</v>
      </c>
      <c r="X1441">
        <v>9.6966810000000001E-2</v>
      </c>
      <c r="Y1441">
        <v>0.10130715</v>
      </c>
      <c r="Z1441">
        <v>0.10621747500000001</v>
      </c>
      <c r="AA1441">
        <v>0.106047615</v>
      </c>
      <c r="AB1441">
        <v>0.10285119</v>
      </c>
    </row>
    <row r="1442" spans="1:28" hidden="1" x14ac:dyDescent="0.25">
      <c r="A1442" t="s">
        <v>173</v>
      </c>
      <c r="B1442" t="s">
        <v>177</v>
      </c>
      <c r="C1442">
        <v>115</v>
      </c>
      <c r="D1442" t="s">
        <v>2</v>
      </c>
      <c r="E1442">
        <v>4.0662346449999998</v>
      </c>
      <c r="F1442">
        <v>3.8808251399999998</v>
      </c>
      <c r="G1442">
        <v>3.7269681399999999</v>
      </c>
      <c r="H1442">
        <v>3.6474037799999999</v>
      </c>
      <c r="I1442">
        <v>3.5767319999999998</v>
      </c>
      <c r="J1442">
        <v>3.4118508799999998</v>
      </c>
      <c r="K1442">
        <v>3.0481760750000002</v>
      </c>
      <c r="L1442">
        <v>3.031190735</v>
      </c>
      <c r="M1442">
        <v>3.0464897550000001</v>
      </c>
      <c r="N1442">
        <v>3.1392403099999999</v>
      </c>
      <c r="O1442">
        <v>3.21232534</v>
      </c>
      <c r="P1442">
        <v>3.3011033900000002</v>
      </c>
      <c r="Q1442">
        <v>3.4447341200000001</v>
      </c>
      <c r="R1442">
        <v>3.6596473299999999</v>
      </c>
      <c r="S1442">
        <v>3.64958063</v>
      </c>
      <c r="T1442">
        <v>3.5886002650000002</v>
      </c>
      <c r="U1442">
        <v>3.5352467550000002</v>
      </c>
      <c r="V1442">
        <v>3.4085934849999999</v>
      </c>
      <c r="W1442">
        <v>3.8830000199999999</v>
      </c>
      <c r="X1442">
        <v>4.2265887050000002</v>
      </c>
      <c r="Y1442">
        <v>4.4370113</v>
      </c>
      <c r="Z1442">
        <v>4.6332528499999999</v>
      </c>
      <c r="AA1442">
        <v>4.6613164850000004</v>
      </c>
      <c r="AB1442">
        <v>4.546406385</v>
      </c>
    </row>
    <row r="1443" spans="1:28" hidden="1" x14ac:dyDescent="0.25">
      <c r="A1443" t="s">
        <v>173</v>
      </c>
      <c r="B1443" t="s">
        <v>177</v>
      </c>
      <c r="C1443">
        <v>115</v>
      </c>
      <c r="D1443" t="s">
        <v>3</v>
      </c>
      <c r="E1443">
        <v>1.0988718163</v>
      </c>
      <c r="F1443">
        <v>1.0492449428999999</v>
      </c>
      <c r="G1443">
        <v>1.0195439423999999</v>
      </c>
      <c r="H1443">
        <v>1.0047422256</v>
      </c>
      <c r="I1443">
        <v>0.98845812600000005</v>
      </c>
      <c r="J1443">
        <v>0.93153275099999999</v>
      </c>
      <c r="K1443">
        <v>0.92442860319999998</v>
      </c>
      <c r="L1443">
        <v>0.96111631090000005</v>
      </c>
      <c r="M1443">
        <v>1.0017651254</v>
      </c>
      <c r="N1443">
        <v>1.0526138985</v>
      </c>
      <c r="O1443">
        <v>1.1066283455000001</v>
      </c>
      <c r="P1443">
        <v>1.1163318832</v>
      </c>
      <c r="Q1443">
        <v>1.1643041561</v>
      </c>
      <c r="R1443">
        <v>1.2360521187</v>
      </c>
      <c r="S1443">
        <v>1.213360481</v>
      </c>
      <c r="T1443">
        <v>1.1747974655</v>
      </c>
      <c r="U1443">
        <v>1.1560726369000001</v>
      </c>
      <c r="V1443">
        <v>1.0709438887</v>
      </c>
      <c r="W1443">
        <v>1.0402188152</v>
      </c>
      <c r="X1443">
        <v>1.0490796495000001</v>
      </c>
      <c r="Y1443">
        <v>1.1178267436</v>
      </c>
      <c r="Z1443">
        <v>1.2090132311999999</v>
      </c>
      <c r="AA1443">
        <v>1.2707698206</v>
      </c>
      <c r="AB1443">
        <v>1.2686971404</v>
      </c>
    </row>
    <row r="1444" spans="1:28" hidden="1" x14ac:dyDescent="0.25">
      <c r="A1444" t="s">
        <v>173</v>
      </c>
      <c r="B1444" t="s">
        <v>177</v>
      </c>
      <c r="C1444">
        <v>115</v>
      </c>
      <c r="D1444" t="s">
        <v>4</v>
      </c>
      <c r="E1444">
        <v>6.1922354999999998E-2</v>
      </c>
      <c r="F1444">
        <v>5.9098860000000003E-2</v>
      </c>
      <c r="G1444">
        <v>5.6755859999999998E-2</v>
      </c>
      <c r="H1444">
        <v>5.5544219999999998E-2</v>
      </c>
      <c r="I1444">
        <v>5.4468000000000003E-2</v>
      </c>
      <c r="J1444">
        <v>5.1957120000000002E-2</v>
      </c>
      <c r="K1444">
        <v>4.6418925E-2</v>
      </c>
      <c r="L1444">
        <v>4.6160264999999999E-2</v>
      </c>
      <c r="M1444">
        <v>4.6393245E-2</v>
      </c>
      <c r="N1444">
        <v>4.7805689999999998E-2</v>
      </c>
      <c r="O1444">
        <v>4.8918660000000003E-2</v>
      </c>
      <c r="P1444">
        <v>5.027061E-2</v>
      </c>
      <c r="Q1444">
        <v>5.2457879999999998E-2</v>
      </c>
      <c r="R1444">
        <v>5.5730670000000003E-2</v>
      </c>
      <c r="S1444">
        <v>5.5577370000000001E-2</v>
      </c>
      <c r="T1444">
        <v>5.4648734999999997E-2</v>
      </c>
      <c r="U1444">
        <v>5.3836244999999998E-2</v>
      </c>
      <c r="V1444">
        <v>5.1907515000000001E-2</v>
      </c>
      <c r="W1444">
        <v>5.9131980000000001E-2</v>
      </c>
      <c r="X1444">
        <v>6.4364295000000002E-2</v>
      </c>
      <c r="Y1444">
        <v>6.7568699999999995E-2</v>
      </c>
      <c r="Z1444">
        <v>7.0557149999999999E-2</v>
      </c>
      <c r="AA1444">
        <v>7.0984514999999998E-2</v>
      </c>
      <c r="AB1444">
        <v>6.9234614999999999E-2</v>
      </c>
    </row>
    <row r="1445" spans="1:28" hidden="1" x14ac:dyDescent="0.25">
      <c r="A1445" t="s">
        <v>173</v>
      </c>
      <c r="B1445" t="s">
        <v>178</v>
      </c>
      <c r="C1445">
        <v>115</v>
      </c>
      <c r="D1445" t="s">
        <v>2</v>
      </c>
      <c r="E1445">
        <v>5.1067118149999997</v>
      </c>
      <c r="F1445">
        <v>4.9598502849999999</v>
      </c>
      <c r="G1445">
        <v>4.9234151349999999</v>
      </c>
      <c r="H1445">
        <v>4.8733131099999998</v>
      </c>
      <c r="I1445">
        <v>5.0117469799999999</v>
      </c>
      <c r="J1445">
        <v>5.3698624449999999</v>
      </c>
      <c r="K1445">
        <v>5.6880154750000003</v>
      </c>
      <c r="L1445">
        <v>5.6201332150000001</v>
      </c>
      <c r="M1445">
        <v>5.6540999550000004</v>
      </c>
      <c r="N1445">
        <v>5.9272936449999998</v>
      </c>
      <c r="O1445">
        <v>6.16554643</v>
      </c>
      <c r="P1445">
        <v>6.2618873099999997</v>
      </c>
      <c r="Q1445">
        <v>6.1681005349999998</v>
      </c>
      <c r="R1445">
        <v>6.2144398599999997</v>
      </c>
      <c r="S1445">
        <v>6.247639285</v>
      </c>
      <c r="T1445">
        <v>6.3557893300000003</v>
      </c>
      <c r="U1445">
        <v>6.4082179249999998</v>
      </c>
      <c r="V1445">
        <v>6.5043076299999996</v>
      </c>
      <c r="W1445">
        <v>7.6253105200000002</v>
      </c>
      <c r="X1445">
        <v>7.8182680800000002</v>
      </c>
      <c r="Y1445">
        <v>7.4271708749999998</v>
      </c>
      <c r="Z1445">
        <v>6.8068405299999997</v>
      </c>
      <c r="AA1445">
        <v>6.1352399499999999</v>
      </c>
      <c r="AB1445">
        <v>5.6729498999999999</v>
      </c>
    </row>
    <row r="1446" spans="1:28" hidden="1" x14ac:dyDescent="0.25">
      <c r="A1446" t="s">
        <v>173</v>
      </c>
      <c r="B1446" t="s">
        <v>178</v>
      </c>
      <c r="C1446">
        <v>115</v>
      </c>
      <c r="D1446" t="s">
        <v>3</v>
      </c>
      <c r="E1446">
        <v>1.8725672589</v>
      </c>
      <c r="F1446">
        <v>1.8275269771</v>
      </c>
      <c r="G1446">
        <v>1.8197570270000001</v>
      </c>
      <c r="H1446">
        <v>1.7993207774</v>
      </c>
      <c r="I1446">
        <v>1.8056895041000001</v>
      </c>
      <c r="J1446">
        <v>1.8131193141999999</v>
      </c>
      <c r="K1446">
        <v>1.9400835506</v>
      </c>
      <c r="L1446">
        <v>2.0091099626000002</v>
      </c>
      <c r="M1446">
        <v>2.0764534821999998</v>
      </c>
      <c r="N1446">
        <v>2.2288754870999998</v>
      </c>
      <c r="O1446">
        <v>2.3346270060999998</v>
      </c>
      <c r="P1446">
        <v>2.4067279747999999</v>
      </c>
      <c r="Q1446">
        <v>2.4463175986999999</v>
      </c>
      <c r="R1446">
        <v>2.4794958069000002</v>
      </c>
      <c r="S1446">
        <v>2.4629314225000001</v>
      </c>
      <c r="T1446">
        <v>2.4846897285999998</v>
      </c>
      <c r="U1446">
        <v>2.4639943862</v>
      </c>
      <c r="V1446">
        <v>2.3341118338000002</v>
      </c>
      <c r="W1446">
        <v>2.3177085495999998</v>
      </c>
      <c r="X1446">
        <v>2.2477308212999998</v>
      </c>
      <c r="Y1446">
        <v>2.1731574537</v>
      </c>
      <c r="Z1446">
        <v>2.1017256619000002</v>
      </c>
      <c r="AA1446">
        <v>2.0728285389000001</v>
      </c>
      <c r="AB1446">
        <v>2.0593822136000002</v>
      </c>
    </row>
    <row r="1447" spans="1:28" hidden="1" x14ac:dyDescent="0.25">
      <c r="A1447" t="s">
        <v>173</v>
      </c>
      <c r="B1447" t="s">
        <v>178</v>
      </c>
      <c r="C1447">
        <v>115</v>
      </c>
      <c r="D1447" t="s">
        <v>4</v>
      </c>
      <c r="E1447">
        <v>7.7767185000000003E-2</v>
      </c>
      <c r="F1447">
        <v>7.5530714999999998E-2</v>
      </c>
      <c r="G1447">
        <v>7.4975865000000003E-2</v>
      </c>
      <c r="H1447">
        <v>7.4212890000000004E-2</v>
      </c>
      <c r="I1447">
        <v>7.6321020000000003E-2</v>
      </c>
      <c r="J1447">
        <v>8.1774554999999999E-2</v>
      </c>
      <c r="K1447">
        <v>8.6619525000000003E-2</v>
      </c>
      <c r="L1447">
        <v>8.5585784999999998E-2</v>
      </c>
      <c r="M1447">
        <v>8.6103045000000003E-2</v>
      </c>
      <c r="N1447">
        <v>9.0263355000000003E-2</v>
      </c>
      <c r="O1447">
        <v>9.3891569999999994E-2</v>
      </c>
      <c r="P1447">
        <v>9.5358689999999996E-2</v>
      </c>
      <c r="Q1447">
        <v>9.3930465000000005E-2</v>
      </c>
      <c r="R1447">
        <v>9.4636139999999994E-2</v>
      </c>
      <c r="S1447">
        <v>9.5141715000000002E-2</v>
      </c>
      <c r="T1447">
        <v>9.6788669999999993E-2</v>
      </c>
      <c r="U1447">
        <v>9.7587074999999995E-2</v>
      </c>
      <c r="V1447">
        <v>9.9050369999999999E-2</v>
      </c>
      <c r="W1447">
        <v>0.11612148</v>
      </c>
      <c r="X1447">
        <v>0.11905992</v>
      </c>
      <c r="Y1447">
        <v>0.113104125</v>
      </c>
      <c r="Z1447">
        <v>0.10365747</v>
      </c>
      <c r="AA1447">
        <v>9.3430050000000001E-2</v>
      </c>
      <c r="AB1447">
        <v>8.6390099999999997E-2</v>
      </c>
    </row>
    <row r="1448" spans="1:28" hidden="1" x14ac:dyDescent="0.25">
      <c r="A1448" t="s">
        <v>173</v>
      </c>
      <c r="B1448" t="s">
        <v>179</v>
      </c>
      <c r="C1448">
        <v>115</v>
      </c>
      <c r="D1448" t="s">
        <v>2</v>
      </c>
      <c r="E1448">
        <v>23.222982519999999</v>
      </c>
      <c r="F1448">
        <v>22.187600754999998</v>
      </c>
      <c r="G1448">
        <v>21.467244645000001</v>
      </c>
      <c r="H1448">
        <v>20.950914539999999</v>
      </c>
      <c r="I1448">
        <v>20.788269369999998</v>
      </c>
      <c r="J1448">
        <v>20.408084980000002</v>
      </c>
      <c r="K1448">
        <v>20.26893403</v>
      </c>
      <c r="L1448">
        <v>22.822380065000001</v>
      </c>
      <c r="M1448">
        <v>25.579447120000001</v>
      </c>
      <c r="N1448">
        <v>27.437191595000002</v>
      </c>
      <c r="O1448">
        <v>28.53754593</v>
      </c>
      <c r="P1448">
        <v>28.895823920000002</v>
      </c>
      <c r="Q1448">
        <v>27.193137310000001</v>
      </c>
      <c r="R1448">
        <v>29.462767414999998</v>
      </c>
      <c r="S1448">
        <v>31.26586803</v>
      </c>
      <c r="T1448">
        <v>31.725849239999999</v>
      </c>
      <c r="U1448">
        <v>31.2699873</v>
      </c>
      <c r="V1448">
        <v>30.301287080000002</v>
      </c>
      <c r="W1448">
        <v>30.391818430000001</v>
      </c>
      <c r="X1448">
        <v>28.669028805</v>
      </c>
      <c r="Y1448">
        <v>28.445703694999999</v>
      </c>
      <c r="Z1448">
        <v>28.20650925</v>
      </c>
      <c r="AA1448">
        <v>27.221075849999998</v>
      </c>
      <c r="AB1448">
        <v>26.049971920000001</v>
      </c>
    </row>
    <row r="1449" spans="1:28" hidden="1" x14ac:dyDescent="0.25">
      <c r="A1449" t="s">
        <v>173</v>
      </c>
      <c r="B1449" t="s">
        <v>179</v>
      </c>
      <c r="C1449">
        <v>115</v>
      </c>
      <c r="D1449" t="s">
        <v>3</v>
      </c>
      <c r="E1449">
        <v>8.0765128406999995</v>
      </c>
      <c r="F1449">
        <v>8.0028738811999993</v>
      </c>
      <c r="G1449">
        <v>7.9654961320000002</v>
      </c>
      <c r="H1449">
        <v>7.8565369422</v>
      </c>
      <c r="I1449">
        <v>7.7508942043999998</v>
      </c>
      <c r="J1449">
        <v>7.4064687662999997</v>
      </c>
      <c r="K1449">
        <v>7.8420418320999996</v>
      </c>
      <c r="L1449">
        <v>8.7146145709000002</v>
      </c>
      <c r="M1449">
        <v>9.4787896645000007</v>
      </c>
      <c r="N1449">
        <v>10.0409711567</v>
      </c>
      <c r="O1449">
        <v>10.557194441</v>
      </c>
      <c r="P1449">
        <v>10.6622557532</v>
      </c>
      <c r="Q1449">
        <v>10.2687501202</v>
      </c>
      <c r="R1449">
        <v>10.647557647699999</v>
      </c>
      <c r="S1449">
        <v>11.094103180199999</v>
      </c>
      <c r="T1449">
        <v>11.226312892299999</v>
      </c>
      <c r="U1449">
        <v>11.081872339</v>
      </c>
      <c r="V1449">
        <v>10.7630582017</v>
      </c>
      <c r="W1449">
        <v>9.6597196809000003</v>
      </c>
      <c r="X1449">
        <v>8.7697994477000005</v>
      </c>
      <c r="Y1449">
        <v>8.3702712716000001</v>
      </c>
      <c r="Z1449">
        <v>8.4315553984000005</v>
      </c>
      <c r="AA1449">
        <v>8.5973884277000003</v>
      </c>
      <c r="AB1449">
        <v>8.7247455534</v>
      </c>
    </row>
    <row r="1450" spans="1:28" hidden="1" x14ac:dyDescent="0.25">
      <c r="A1450" t="s">
        <v>173</v>
      </c>
      <c r="B1450" t="s">
        <v>179</v>
      </c>
      <c r="C1450">
        <v>115</v>
      </c>
      <c r="D1450" t="s">
        <v>4</v>
      </c>
      <c r="E1450">
        <v>0.35364948000000002</v>
      </c>
      <c r="F1450">
        <v>0.33788224500000003</v>
      </c>
      <c r="G1450">
        <v>0.32691235499999999</v>
      </c>
      <c r="H1450">
        <v>0.31904946000000001</v>
      </c>
      <c r="I1450">
        <v>0.31657263000000002</v>
      </c>
      <c r="J1450">
        <v>0.31078302000000002</v>
      </c>
      <c r="K1450">
        <v>0.30866397000000001</v>
      </c>
      <c r="L1450">
        <v>0.347548935</v>
      </c>
      <c r="M1450">
        <v>0.38953472770000003</v>
      </c>
      <c r="N1450">
        <v>0.41782525269999998</v>
      </c>
      <c r="O1450">
        <v>0.43458191769999999</v>
      </c>
      <c r="P1450">
        <v>0.4400379277</v>
      </c>
      <c r="Q1450">
        <v>0.41410869</v>
      </c>
      <c r="R1450">
        <v>0.44867158499999998</v>
      </c>
      <c r="S1450">
        <v>0.47612997000000001</v>
      </c>
      <c r="T1450">
        <v>0.48313476</v>
      </c>
      <c r="U1450">
        <v>0.47619270000000002</v>
      </c>
      <c r="V1450">
        <v>0.46144091999999998</v>
      </c>
      <c r="W1450">
        <v>0.46281957000000001</v>
      </c>
      <c r="X1450">
        <v>0.43658419500000001</v>
      </c>
      <c r="Y1450">
        <v>0.43318330500000002</v>
      </c>
      <c r="Z1450">
        <v>0.42954075000000003</v>
      </c>
      <c r="AA1450">
        <v>0.41453414999999999</v>
      </c>
      <c r="AB1450">
        <v>0.39670008000000001</v>
      </c>
    </row>
    <row r="1451" spans="1:28" hidden="1" x14ac:dyDescent="0.25">
      <c r="A1451" t="s">
        <v>173</v>
      </c>
      <c r="B1451" t="s">
        <v>180</v>
      </c>
      <c r="C1451">
        <v>34</v>
      </c>
      <c r="D1451" t="s">
        <v>2</v>
      </c>
      <c r="E1451">
        <v>21.00850638</v>
      </c>
      <c r="F1451">
        <v>20.381037630000002</v>
      </c>
      <c r="G1451">
        <v>19.865923009999999</v>
      </c>
      <c r="H1451">
        <v>19.30518056</v>
      </c>
      <c r="I1451">
        <v>19.760859400000001</v>
      </c>
      <c r="J1451">
        <v>20.405470959999999</v>
      </c>
      <c r="K1451">
        <v>20.65365225</v>
      </c>
      <c r="L1451">
        <v>22.992738379999999</v>
      </c>
      <c r="M1451">
        <v>23.186929469999999</v>
      </c>
      <c r="N1451">
        <v>23.60156276</v>
      </c>
      <c r="O1451">
        <v>24.196080609999999</v>
      </c>
      <c r="P1451">
        <v>24.4371033</v>
      </c>
      <c r="Q1451">
        <v>21.77442323</v>
      </c>
      <c r="R1451">
        <v>25.347354209999999</v>
      </c>
      <c r="S1451">
        <v>26.432728919999999</v>
      </c>
      <c r="T1451">
        <v>27.253563289999999</v>
      </c>
      <c r="U1451">
        <v>27.440984749999998</v>
      </c>
      <c r="V1451">
        <v>26.023948610000001</v>
      </c>
      <c r="W1451">
        <v>28.54969766</v>
      </c>
      <c r="X1451">
        <v>28.543554650000001</v>
      </c>
      <c r="Y1451">
        <v>27.534613029999999</v>
      </c>
      <c r="Z1451">
        <v>26.08665135</v>
      </c>
      <c r="AA1451">
        <v>24.411465230000001</v>
      </c>
      <c r="AB1451">
        <v>23.468834749999999</v>
      </c>
    </row>
    <row r="1452" spans="1:28" hidden="1" x14ac:dyDescent="0.25">
      <c r="A1452" t="s">
        <v>173</v>
      </c>
      <c r="B1452" t="s">
        <v>180</v>
      </c>
      <c r="C1452">
        <v>34</v>
      </c>
      <c r="D1452" t="s">
        <v>3</v>
      </c>
      <c r="E1452">
        <v>7.1153885215999999</v>
      </c>
      <c r="F1452">
        <v>6.8808916238000002</v>
      </c>
      <c r="G1452">
        <v>6.9035662952000001</v>
      </c>
      <c r="H1452">
        <v>6.7920662163000003</v>
      </c>
      <c r="I1452">
        <v>6.8576057968999997</v>
      </c>
      <c r="J1452">
        <v>6.9189426140999997</v>
      </c>
      <c r="K1452">
        <v>7.6196250305</v>
      </c>
      <c r="L1452">
        <v>9.1868003141999992</v>
      </c>
      <c r="M1452">
        <v>9.9779722483000004</v>
      </c>
      <c r="N1452">
        <v>10.4597455119</v>
      </c>
      <c r="O1452">
        <v>11.175081799699999</v>
      </c>
      <c r="P1452">
        <v>11.160904066300001</v>
      </c>
      <c r="Q1452">
        <v>9.7909283682999995</v>
      </c>
      <c r="R1452">
        <v>11.231200401800001</v>
      </c>
      <c r="S1452">
        <v>11.7596879069</v>
      </c>
      <c r="T1452">
        <v>11.606682817599999</v>
      </c>
      <c r="U1452">
        <v>11.3756278642</v>
      </c>
      <c r="V1452">
        <v>9.8272377462999998</v>
      </c>
      <c r="W1452">
        <v>9.5539611418000003</v>
      </c>
      <c r="X1452">
        <v>9.1786818704000002</v>
      </c>
      <c r="Y1452">
        <v>8.7044553275999998</v>
      </c>
      <c r="Z1452">
        <v>8.2676378601000007</v>
      </c>
      <c r="AA1452">
        <v>8.1194121320000008</v>
      </c>
      <c r="AB1452">
        <v>8.0832717543000001</v>
      </c>
    </row>
    <row r="1453" spans="1:28" hidden="1" x14ac:dyDescent="0.25">
      <c r="A1453" t="s">
        <v>173</v>
      </c>
      <c r="B1453" t="s">
        <v>180</v>
      </c>
      <c r="C1453">
        <v>34</v>
      </c>
      <c r="D1453" t="s">
        <v>4</v>
      </c>
      <c r="E1453">
        <v>0.64974761999999997</v>
      </c>
      <c r="F1453">
        <v>0.63034137000000001</v>
      </c>
      <c r="G1453">
        <v>0.61440998999999996</v>
      </c>
      <c r="H1453">
        <v>0.59706744</v>
      </c>
      <c r="I1453">
        <v>0.61116060000000005</v>
      </c>
      <c r="J1453">
        <v>0.63109704</v>
      </c>
      <c r="K1453">
        <v>0.63877275</v>
      </c>
      <c r="L1453">
        <v>0.71111561999999995</v>
      </c>
      <c r="M1453">
        <v>0.71712153000000001</v>
      </c>
      <c r="N1453">
        <v>0.72994524000000005</v>
      </c>
      <c r="O1453">
        <v>0.74833238999999996</v>
      </c>
      <c r="P1453">
        <v>0.75578670000000003</v>
      </c>
      <c r="Q1453">
        <v>0.67343576999999999</v>
      </c>
      <c r="R1453">
        <v>0.78393879</v>
      </c>
      <c r="S1453">
        <v>0.81750708000000005</v>
      </c>
      <c r="T1453">
        <v>0.84289371000000002</v>
      </c>
      <c r="U1453">
        <v>0.84869024999999998</v>
      </c>
      <c r="V1453">
        <v>0.80486438999999999</v>
      </c>
      <c r="W1453">
        <v>0.88298034000000003</v>
      </c>
      <c r="X1453">
        <v>0.88279034999999995</v>
      </c>
      <c r="Y1453">
        <v>0.85158597000000003</v>
      </c>
      <c r="Z1453">
        <v>0.80680364999999998</v>
      </c>
      <c r="AA1453">
        <v>0.75499377000000001</v>
      </c>
      <c r="AB1453">
        <v>0.72584024999999996</v>
      </c>
    </row>
    <row r="1454" spans="1:28" hidden="1" x14ac:dyDescent="0.25">
      <c r="A1454" t="s">
        <v>173</v>
      </c>
      <c r="B1454" t="s">
        <v>181</v>
      </c>
      <c r="C1454">
        <v>115</v>
      </c>
      <c r="D1454" t="s">
        <v>2</v>
      </c>
      <c r="E1454">
        <v>20.247456105000001</v>
      </c>
      <c r="F1454">
        <v>19.465982714999999</v>
      </c>
      <c r="G1454">
        <v>19.003317379999999</v>
      </c>
      <c r="H1454">
        <v>18.418957265</v>
      </c>
      <c r="I1454">
        <v>18.475820330000001</v>
      </c>
      <c r="J1454">
        <v>18.45876604</v>
      </c>
      <c r="K1454">
        <v>18.238288565000001</v>
      </c>
      <c r="L1454">
        <v>19.336989084999999</v>
      </c>
      <c r="M1454">
        <v>20.280844649999999</v>
      </c>
      <c r="N1454">
        <v>21.087334084999998</v>
      </c>
      <c r="O1454">
        <v>21.742397499999999</v>
      </c>
      <c r="P1454">
        <v>21.451501390000001</v>
      </c>
      <c r="Q1454">
        <v>20.128054405</v>
      </c>
      <c r="R1454">
        <v>22.58135549</v>
      </c>
      <c r="S1454">
        <v>23.29028954</v>
      </c>
      <c r="T1454">
        <v>22.927688385</v>
      </c>
      <c r="U1454">
        <v>22.470736049999999</v>
      </c>
      <c r="V1454">
        <v>21.468425660000001</v>
      </c>
      <c r="W1454">
        <v>23.122918339999998</v>
      </c>
      <c r="X1454">
        <v>23.55295555</v>
      </c>
      <c r="Y1454">
        <v>23.725351235000002</v>
      </c>
      <c r="Z1454">
        <v>23.897673045000001</v>
      </c>
      <c r="AA1454">
        <v>23.512313464999998</v>
      </c>
      <c r="AB1454">
        <v>22.498678529999999</v>
      </c>
    </row>
    <row r="1455" spans="1:28" hidden="1" x14ac:dyDescent="0.25">
      <c r="A1455" t="s">
        <v>173</v>
      </c>
      <c r="B1455" t="s">
        <v>181</v>
      </c>
      <c r="C1455">
        <v>115</v>
      </c>
      <c r="D1455" t="s">
        <v>3</v>
      </c>
      <c r="E1455">
        <v>8.2940923511999998</v>
      </c>
      <c r="F1455">
        <v>7.9961438636000004</v>
      </c>
      <c r="G1455">
        <v>7.8597640337000003</v>
      </c>
      <c r="H1455">
        <v>7.7030271653</v>
      </c>
      <c r="I1455">
        <v>7.7341199905</v>
      </c>
      <c r="J1455">
        <v>7.7297896088</v>
      </c>
      <c r="K1455">
        <v>8.3319058882999997</v>
      </c>
      <c r="L1455">
        <v>9.3959799330999996</v>
      </c>
      <c r="M1455">
        <v>10.3024444575</v>
      </c>
      <c r="N1455">
        <v>10.8337068388</v>
      </c>
      <c r="O1455">
        <v>11.326204881100001</v>
      </c>
      <c r="P1455">
        <v>11.1480933459</v>
      </c>
      <c r="Q1455">
        <v>10.0700570643</v>
      </c>
      <c r="R1455">
        <v>11.143047091</v>
      </c>
      <c r="S1455">
        <v>11.6703394273</v>
      </c>
      <c r="T1455">
        <v>11.4918478601</v>
      </c>
      <c r="U1455">
        <v>11.175460258399999</v>
      </c>
      <c r="V1455">
        <v>10.1758747482</v>
      </c>
      <c r="W1455">
        <v>9.4819561878999998</v>
      </c>
      <c r="X1455">
        <v>9.0215456330000006</v>
      </c>
      <c r="Y1455">
        <v>8.7894010562999991</v>
      </c>
      <c r="Z1455">
        <v>8.8790332292999992</v>
      </c>
      <c r="AA1455">
        <v>9.0059783966999998</v>
      </c>
      <c r="AB1455">
        <v>9.0013470074999997</v>
      </c>
    </row>
    <row r="1456" spans="1:28" hidden="1" x14ac:dyDescent="0.25">
      <c r="A1456" t="s">
        <v>173</v>
      </c>
      <c r="B1456" t="s">
        <v>181</v>
      </c>
      <c r="C1456">
        <v>115</v>
      </c>
      <c r="D1456" t="s">
        <v>4</v>
      </c>
      <c r="E1456">
        <v>0.308336895</v>
      </c>
      <c r="F1456">
        <v>0.29643628500000002</v>
      </c>
      <c r="G1456">
        <v>0.28939061999999999</v>
      </c>
      <c r="H1456">
        <v>0.28049173500000002</v>
      </c>
      <c r="I1456">
        <v>0.28135767</v>
      </c>
      <c r="J1456">
        <v>0.28109795999999998</v>
      </c>
      <c r="K1456">
        <v>0.27774043500000001</v>
      </c>
      <c r="L1456">
        <v>0.29447191499999997</v>
      </c>
      <c r="M1456">
        <v>0.30884535000000002</v>
      </c>
      <c r="N1456">
        <v>0.32112691500000001</v>
      </c>
      <c r="O1456">
        <v>0.33110250000000002</v>
      </c>
      <c r="P1456">
        <v>0.32667260999999997</v>
      </c>
      <c r="Q1456">
        <v>0.306518595</v>
      </c>
      <c r="R1456">
        <v>0.34387851000000003</v>
      </c>
      <c r="S1456">
        <v>0.35467446000000002</v>
      </c>
      <c r="T1456">
        <v>0.349152615</v>
      </c>
      <c r="U1456">
        <v>0.34219395000000002</v>
      </c>
      <c r="V1456">
        <v>0.32693033999999999</v>
      </c>
      <c r="W1456">
        <v>0.35212566000000001</v>
      </c>
      <c r="X1456">
        <v>0.35867444999999998</v>
      </c>
      <c r="Y1456">
        <v>0.36129976499999999</v>
      </c>
      <c r="Z1456">
        <v>0.36392395500000002</v>
      </c>
      <c r="AA1456">
        <v>0.35805553499999998</v>
      </c>
      <c r="AB1456">
        <v>0.34261946999999998</v>
      </c>
    </row>
    <row r="1457" spans="1:28" hidden="1" x14ac:dyDescent="0.25">
      <c r="A1457" t="s">
        <v>173</v>
      </c>
      <c r="B1457" t="s">
        <v>182</v>
      </c>
      <c r="C1457">
        <v>34</v>
      </c>
      <c r="D1457" t="s">
        <v>2</v>
      </c>
      <c r="E1457">
        <v>1.3284896900000001</v>
      </c>
      <c r="F1457">
        <v>1.28142917</v>
      </c>
      <c r="G1457">
        <v>1.2591075300000001</v>
      </c>
      <c r="H1457">
        <v>1.25629744</v>
      </c>
      <c r="I1457">
        <v>1.33654457</v>
      </c>
      <c r="J1457">
        <v>1.59862499</v>
      </c>
      <c r="K1457">
        <v>1.0215972099999999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0.14697246</v>
      </c>
      <c r="V1457">
        <v>1.52280397</v>
      </c>
      <c r="W1457">
        <v>2.4538022100000001</v>
      </c>
      <c r="X1457">
        <v>2.4405491000000001</v>
      </c>
      <c r="Y1457">
        <v>2.2767413200000002</v>
      </c>
      <c r="Z1457">
        <v>2.0039841100000002</v>
      </c>
      <c r="AA1457">
        <v>1.71235458</v>
      </c>
      <c r="AB1457">
        <v>1.5267285900000001</v>
      </c>
    </row>
    <row r="1458" spans="1:28" hidden="1" x14ac:dyDescent="0.25">
      <c r="A1458" t="s">
        <v>173</v>
      </c>
      <c r="B1458" t="s">
        <v>182</v>
      </c>
      <c r="C1458">
        <v>34</v>
      </c>
      <c r="D1458" t="s">
        <v>3</v>
      </c>
      <c r="E1458">
        <v>0.45068547120000002</v>
      </c>
      <c r="F1458">
        <v>0.43409735090000001</v>
      </c>
      <c r="G1458">
        <v>0.42727891489999997</v>
      </c>
      <c r="H1458">
        <v>0.41904516619999999</v>
      </c>
      <c r="I1458">
        <v>0.43825665940000003</v>
      </c>
      <c r="J1458">
        <v>0.49401748309999999</v>
      </c>
      <c r="K1458">
        <v>0.83048884489999997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0.97786462100000004</v>
      </c>
      <c r="V1458">
        <v>0.81117659929999997</v>
      </c>
      <c r="W1458">
        <v>0.70170394800000002</v>
      </c>
      <c r="X1458">
        <v>0.66204730739999995</v>
      </c>
      <c r="Y1458">
        <v>0.61761120089999999</v>
      </c>
      <c r="Z1458">
        <v>0.57496118839999999</v>
      </c>
      <c r="AA1458">
        <v>0.54537338260000001</v>
      </c>
      <c r="AB1458">
        <v>0.51613342090000003</v>
      </c>
    </row>
    <row r="1459" spans="1:28" hidden="1" x14ac:dyDescent="0.25">
      <c r="A1459" t="s">
        <v>173</v>
      </c>
      <c r="B1459" t="s">
        <v>182</v>
      </c>
      <c r="C1459">
        <v>34</v>
      </c>
      <c r="D1459" t="s">
        <v>4</v>
      </c>
      <c r="E1459">
        <v>4.1087310000000002E-2</v>
      </c>
      <c r="F1459">
        <v>3.963183E-2</v>
      </c>
      <c r="G1459">
        <v>3.8941469999999999E-2</v>
      </c>
      <c r="H1459">
        <v>3.8854560000000003E-2</v>
      </c>
      <c r="I1459">
        <v>4.133643E-2</v>
      </c>
      <c r="J1459">
        <v>4.9442010000000002E-2</v>
      </c>
      <c r="K1459">
        <v>3.1595789999999999E-2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4.5455399999999998E-3</v>
      </c>
      <c r="V1459">
        <v>4.7097029999999998E-2</v>
      </c>
      <c r="W1459">
        <v>7.589079E-2</v>
      </c>
      <c r="X1459">
        <v>7.5480900000000004E-2</v>
      </c>
      <c r="Y1459">
        <v>7.0414679999999993E-2</v>
      </c>
      <c r="Z1459">
        <v>6.1978890000000002E-2</v>
      </c>
      <c r="AA1459">
        <v>5.295942E-2</v>
      </c>
      <c r="AB1459">
        <v>4.7218410000000002E-2</v>
      </c>
    </row>
    <row r="1460" spans="1:28" hidden="1" x14ac:dyDescent="0.25">
      <c r="A1460" t="s">
        <v>173</v>
      </c>
      <c r="B1460" t="s">
        <v>183</v>
      </c>
      <c r="C1460">
        <v>14</v>
      </c>
      <c r="D1460" t="s">
        <v>2</v>
      </c>
      <c r="E1460">
        <v>9.0915370499999995</v>
      </c>
      <c r="F1460">
        <v>8.6193404999999998</v>
      </c>
      <c r="G1460">
        <v>8.3901083500000002</v>
      </c>
      <c r="H1460">
        <v>8.1991498000000007</v>
      </c>
      <c r="I1460">
        <v>8.5021646499999992</v>
      </c>
      <c r="J1460">
        <v>9.7838238999999998</v>
      </c>
      <c r="K1460">
        <v>10.667388499999999</v>
      </c>
      <c r="L1460">
        <v>11.772323999999999</v>
      </c>
      <c r="M1460">
        <v>12.7727994</v>
      </c>
      <c r="N1460">
        <v>13.6129889</v>
      </c>
      <c r="O1460">
        <v>14.44026695</v>
      </c>
      <c r="P1460">
        <v>14.942550949999999</v>
      </c>
      <c r="Q1460">
        <v>14.0267576</v>
      </c>
      <c r="R1460">
        <v>13.90587485</v>
      </c>
      <c r="S1460">
        <v>14.27828055</v>
      </c>
      <c r="T1460">
        <v>14.654643950000001</v>
      </c>
      <c r="U1460">
        <v>14.76906005</v>
      </c>
      <c r="V1460">
        <v>14.621000649999999</v>
      </c>
      <c r="W1460">
        <v>16.937041749999999</v>
      </c>
      <c r="X1460">
        <v>16.770058349999999</v>
      </c>
      <c r="Y1460">
        <v>15.785921050000001</v>
      </c>
      <c r="Z1460">
        <v>14.452612200000001</v>
      </c>
      <c r="AA1460">
        <v>12.462346999999999</v>
      </c>
      <c r="AB1460">
        <v>10.8185734</v>
      </c>
    </row>
    <row r="1461" spans="1:28" hidden="1" x14ac:dyDescent="0.25">
      <c r="A1461" t="s">
        <v>173</v>
      </c>
      <c r="B1461" t="s">
        <v>183</v>
      </c>
      <c r="C1461">
        <v>14</v>
      </c>
      <c r="D1461" t="s">
        <v>3</v>
      </c>
      <c r="E1461">
        <v>3.8754447732999999</v>
      </c>
      <c r="F1461">
        <v>3.7215326728</v>
      </c>
      <c r="G1461">
        <v>3.6175339857000002</v>
      </c>
      <c r="H1461">
        <v>3.5393726985999998</v>
      </c>
      <c r="I1461">
        <v>3.5575184552999999</v>
      </c>
      <c r="J1461">
        <v>3.7396753073000002</v>
      </c>
      <c r="K1461">
        <v>4.4041791238999997</v>
      </c>
      <c r="L1461">
        <v>5.2009100731000002</v>
      </c>
      <c r="M1461">
        <v>5.7616563171999999</v>
      </c>
      <c r="N1461">
        <v>6.2592298443000001</v>
      </c>
      <c r="O1461">
        <v>6.7609442566000002</v>
      </c>
      <c r="P1461">
        <v>6.9561038159999997</v>
      </c>
      <c r="Q1461">
        <v>6.5386745471000003</v>
      </c>
      <c r="R1461">
        <v>6.5602352883000004</v>
      </c>
      <c r="S1461">
        <v>6.6674377028</v>
      </c>
      <c r="T1461">
        <v>6.7113830896</v>
      </c>
      <c r="U1461">
        <v>6.6123427405999999</v>
      </c>
      <c r="V1461">
        <v>6.2509773655999998</v>
      </c>
      <c r="W1461">
        <v>5.9920941956</v>
      </c>
      <c r="X1461">
        <v>5.6072831561000003</v>
      </c>
      <c r="Y1461">
        <v>5.2765635518999998</v>
      </c>
      <c r="Z1461">
        <v>4.9145264187000004</v>
      </c>
      <c r="AA1461">
        <v>4.526121238</v>
      </c>
      <c r="AB1461">
        <v>4.3242757837000001</v>
      </c>
    </row>
    <row r="1462" spans="1:28" hidden="1" x14ac:dyDescent="0.25">
      <c r="A1462" t="s">
        <v>173</v>
      </c>
      <c r="B1462" t="s">
        <v>183</v>
      </c>
      <c r="C1462">
        <v>14</v>
      </c>
      <c r="D1462" t="s">
        <v>4</v>
      </c>
      <c r="E1462">
        <v>0.47850195000000001</v>
      </c>
      <c r="F1462">
        <v>0.45364949999999998</v>
      </c>
      <c r="G1462">
        <v>0.44158465000000002</v>
      </c>
      <c r="H1462">
        <v>0.43153419999999998</v>
      </c>
      <c r="I1462">
        <v>0.44748234999999997</v>
      </c>
      <c r="J1462">
        <v>0.51493809999999995</v>
      </c>
      <c r="K1462">
        <v>0.56144150000000004</v>
      </c>
      <c r="L1462">
        <v>0.61959600000000004</v>
      </c>
      <c r="M1462">
        <v>0.67225259999999998</v>
      </c>
      <c r="N1462">
        <v>0.71647309999999997</v>
      </c>
      <c r="O1462">
        <v>0.76001405</v>
      </c>
      <c r="P1462">
        <v>0.78645005000000001</v>
      </c>
      <c r="Q1462">
        <v>0.73825039999999997</v>
      </c>
      <c r="R1462">
        <v>0.73188814999999996</v>
      </c>
      <c r="S1462">
        <v>0.75148844999999997</v>
      </c>
      <c r="T1462">
        <v>0.77129705000000004</v>
      </c>
      <c r="U1462">
        <v>0.77731894999999995</v>
      </c>
      <c r="V1462">
        <v>0.76952635000000003</v>
      </c>
      <c r="W1462">
        <v>0.89142325</v>
      </c>
      <c r="X1462">
        <v>0.88263464999999997</v>
      </c>
      <c r="Y1462">
        <v>0.83083795000000005</v>
      </c>
      <c r="Z1462">
        <v>0.7606638</v>
      </c>
      <c r="AA1462">
        <v>0.65591299999999997</v>
      </c>
      <c r="AB1462">
        <v>0.56939859999999998</v>
      </c>
    </row>
    <row r="1463" spans="1:28" hidden="1" x14ac:dyDescent="0.25">
      <c r="A1463" t="s">
        <v>173</v>
      </c>
      <c r="B1463" t="s">
        <v>184</v>
      </c>
      <c r="C1463">
        <v>230</v>
      </c>
      <c r="D1463" t="s">
        <v>2</v>
      </c>
      <c r="E1463">
        <v>0.52937500000000004</v>
      </c>
      <c r="F1463">
        <v>0.51865600000000001</v>
      </c>
      <c r="G1463">
        <v>0.50705100000000003</v>
      </c>
      <c r="H1463">
        <v>0.50794600000000001</v>
      </c>
      <c r="I1463">
        <v>0.51560799999999996</v>
      </c>
      <c r="J1463">
        <v>0.52949900000000005</v>
      </c>
      <c r="K1463">
        <v>0.53331899999999999</v>
      </c>
      <c r="L1463">
        <v>0.56790200000000002</v>
      </c>
      <c r="M1463">
        <v>0.59929500000000002</v>
      </c>
      <c r="N1463">
        <v>0.62053499999999995</v>
      </c>
      <c r="O1463">
        <v>0.64206600000000003</v>
      </c>
      <c r="P1463">
        <v>0.65933399999999998</v>
      </c>
      <c r="Q1463">
        <v>0.65555200000000002</v>
      </c>
      <c r="R1463">
        <v>0.66829700000000003</v>
      </c>
      <c r="S1463">
        <v>0.67423299999999997</v>
      </c>
      <c r="T1463">
        <v>0.66586800000000002</v>
      </c>
      <c r="U1463">
        <v>0.67236099999999999</v>
      </c>
      <c r="V1463">
        <v>0.68721299999999996</v>
      </c>
      <c r="W1463">
        <v>0.83159300000000003</v>
      </c>
      <c r="X1463">
        <v>0.81272800000000001</v>
      </c>
      <c r="Y1463">
        <v>0.752803</v>
      </c>
      <c r="Z1463">
        <v>0.682666</v>
      </c>
      <c r="AA1463">
        <v>0.61514199999999997</v>
      </c>
      <c r="AB1463">
        <v>0.57729600000000003</v>
      </c>
    </row>
    <row r="1464" spans="1:28" hidden="1" x14ac:dyDescent="0.25">
      <c r="A1464" t="s">
        <v>173</v>
      </c>
      <c r="B1464" t="s">
        <v>184</v>
      </c>
      <c r="C1464">
        <v>230</v>
      </c>
      <c r="D1464" t="s">
        <v>3</v>
      </c>
      <c r="E1464">
        <v>0.1723006161</v>
      </c>
      <c r="F1464">
        <v>0.1736555384</v>
      </c>
      <c r="G1464">
        <v>0.16827345890000001</v>
      </c>
      <c r="H1464">
        <v>0.17268886650000001</v>
      </c>
      <c r="I1464">
        <v>0.16401173190000001</v>
      </c>
      <c r="J1464">
        <v>0.1596841832</v>
      </c>
      <c r="K1464">
        <v>0.1703419213</v>
      </c>
      <c r="L1464">
        <v>0.19159229559999999</v>
      </c>
      <c r="M1464">
        <v>0.20589755500000001</v>
      </c>
      <c r="N1464">
        <v>0.21291720140000001</v>
      </c>
      <c r="O1464">
        <v>0.21915297489999999</v>
      </c>
      <c r="P1464">
        <v>0.2279285764</v>
      </c>
      <c r="Q1464">
        <v>0.2219611064</v>
      </c>
      <c r="R1464">
        <v>0.25002299350000001</v>
      </c>
      <c r="S1464">
        <v>0.23939771979999999</v>
      </c>
      <c r="T1464">
        <v>0.23674117680000001</v>
      </c>
      <c r="U1464">
        <v>0.2364175188</v>
      </c>
      <c r="V1464">
        <v>0.20221539569999999</v>
      </c>
      <c r="W1464">
        <v>0.1667180486</v>
      </c>
      <c r="X1464">
        <v>0.15330701099999999</v>
      </c>
      <c r="Y1464">
        <v>0.15132010670000001</v>
      </c>
      <c r="Z1464">
        <v>0.16438760090000001</v>
      </c>
      <c r="AA1464">
        <v>0.1787479897</v>
      </c>
      <c r="AB1464">
        <v>0.18214089980000001</v>
      </c>
    </row>
    <row r="1465" spans="1:28" hidden="1" x14ac:dyDescent="0.25">
      <c r="A1465" t="s">
        <v>173</v>
      </c>
      <c r="B1465" t="s">
        <v>184</v>
      </c>
      <c r="C1465">
        <v>230</v>
      </c>
      <c r="D1465" t="s">
        <v>4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</row>
    <row r="1466" spans="1:28" hidden="1" x14ac:dyDescent="0.25">
      <c r="A1466" t="s">
        <v>173</v>
      </c>
      <c r="B1466" t="s">
        <v>185</v>
      </c>
      <c r="C1466">
        <v>115</v>
      </c>
      <c r="D1466" t="s">
        <v>2</v>
      </c>
      <c r="E1466">
        <v>17.824458544999999</v>
      </c>
      <c r="F1466">
        <v>17.149857655000002</v>
      </c>
      <c r="G1466">
        <v>16.539390115</v>
      </c>
      <c r="H1466">
        <v>16.554103059999999</v>
      </c>
      <c r="I1466">
        <v>16.262784385</v>
      </c>
      <c r="J1466">
        <v>16.21172494</v>
      </c>
      <c r="K1466">
        <v>18.066125339999999</v>
      </c>
      <c r="L1466">
        <v>20.711542795</v>
      </c>
      <c r="M1466">
        <v>23.021915454999998</v>
      </c>
      <c r="N1466">
        <v>24.382062555000001</v>
      </c>
      <c r="O1466">
        <v>25.673525604999998</v>
      </c>
      <c r="P1466">
        <v>26.201800805000001</v>
      </c>
      <c r="Q1466">
        <v>24.961489790000002</v>
      </c>
      <c r="R1466">
        <v>25.733523925</v>
      </c>
      <c r="S1466">
        <v>26.979840485</v>
      </c>
      <c r="T1466">
        <v>27.328330529999999</v>
      </c>
      <c r="U1466">
        <v>27.445578035</v>
      </c>
      <c r="V1466">
        <v>26.233838915</v>
      </c>
      <c r="W1466">
        <v>25.345795420000002</v>
      </c>
      <c r="X1466">
        <v>23.387326815000002</v>
      </c>
      <c r="Y1466">
        <v>22.275485410000002</v>
      </c>
      <c r="Z1466">
        <v>21.443907039999999</v>
      </c>
      <c r="AA1466">
        <v>20.181191214999998</v>
      </c>
      <c r="AB1466">
        <v>19.529432475</v>
      </c>
    </row>
    <row r="1467" spans="1:28" hidden="1" x14ac:dyDescent="0.25">
      <c r="A1467" t="s">
        <v>173</v>
      </c>
      <c r="B1467" t="s">
        <v>185</v>
      </c>
      <c r="C1467">
        <v>115</v>
      </c>
      <c r="D1467" t="s">
        <v>3</v>
      </c>
      <c r="E1467">
        <v>6.5594730671999999</v>
      </c>
      <c r="F1467">
        <v>6.3881620590999999</v>
      </c>
      <c r="G1467">
        <v>6.2766301283999999</v>
      </c>
      <c r="H1467">
        <v>6.3327946671999999</v>
      </c>
      <c r="I1467">
        <v>6.1931352278</v>
      </c>
      <c r="J1467">
        <v>6.0809333315999998</v>
      </c>
      <c r="K1467">
        <v>6.8641719220999997</v>
      </c>
      <c r="L1467">
        <v>7.9987610497999997</v>
      </c>
      <c r="M1467">
        <v>8.7745285461000009</v>
      </c>
      <c r="N1467">
        <v>9.1527100209000007</v>
      </c>
      <c r="O1467">
        <v>9.8986833872000002</v>
      </c>
      <c r="P1467">
        <v>10.1824862057</v>
      </c>
      <c r="Q1467">
        <v>9.6599755402999996</v>
      </c>
      <c r="R1467">
        <v>9.8270470505999992</v>
      </c>
      <c r="S1467">
        <v>10.210876433399999</v>
      </c>
      <c r="T1467">
        <v>10.268456743</v>
      </c>
      <c r="U1467">
        <v>10.1280308472</v>
      </c>
      <c r="V1467">
        <v>9.7032404393</v>
      </c>
      <c r="W1467">
        <v>8.8855195791000003</v>
      </c>
      <c r="X1467">
        <v>8.1631620833999996</v>
      </c>
      <c r="Y1467">
        <v>7.8114236312000003</v>
      </c>
      <c r="Z1467">
        <v>7.4767940324</v>
      </c>
      <c r="AA1467">
        <v>7.1656699695999997</v>
      </c>
      <c r="AB1467">
        <v>7.1971785041</v>
      </c>
    </row>
    <row r="1468" spans="1:28" hidden="1" x14ac:dyDescent="0.25">
      <c r="A1468" t="s">
        <v>173</v>
      </c>
      <c r="B1468" t="s">
        <v>185</v>
      </c>
      <c r="C1468">
        <v>115</v>
      </c>
      <c r="D1468" t="s">
        <v>4</v>
      </c>
      <c r="E1468">
        <v>0.27143845500000002</v>
      </c>
      <c r="F1468">
        <v>0.26116534499999999</v>
      </c>
      <c r="G1468">
        <v>0.25186888499999999</v>
      </c>
      <c r="H1468">
        <v>0.25209293999999999</v>
      </c>
      <c r="I1468">
        <v>0.247656615</v>
      </c>
      <c r="J1468">
        <v>0.24687906000000001</v>
      </c>
      <c r="K1468">
        <v>0.27511866000000001</v>
      </c>
      <c r="L1468">
        <v>0.31540420499999999</v>
      </c>
      <c r="M1468">
        <v>0.350587545</v>
      </c>
      <c r="N1468">
        <v>0.37130044499999998</v>
      </c>
      <c r="O1468">
        <v>0.390967395</v>
      </c>
      <c r="P1468">
        <v>0.39901219500000001</v>
      </c>
      <c r="Q1468">
        <v>0.38012421000000002</v>
      </c>
      <c r="R1468">
        <v>0.39188107500000002</v>
      </c>
      <c r="S1468">
        <v>0.41086051499999998</v>
      </c>
      <c r="T1468">
        <v>0.41616746999999998</v>
      </c>
      <c r="U1468">
        <v>0.41795296500000001</v>
      </c>
      <c r="V1468">
        <v>0.399500085</v>
      </c>
      <c r="W1468">
        <v>0.38597658000000001</v>
      </c>
      <c r="X1468">
        <v>0.35615218500000001</v>
      </c>
      <c r="Y1468">
        <v>0.33922058999999999</v>
      </c>
      <c r="Z1468">
        <v>0.32655696000000001</v>
      </c>
      <c r="AA1468">
        <v>0.30732778500000002</v>
      </c>
      <c r="AB1468">
        <v>0.29740252499999997</v>
      </c>
    </row>
    <row r="1469" spans="1:28" hidden="1" x14ac:dyDescent="0.25">
      <c r="A1469" t="s">
        <v>173</v>
      </c>
      <c r="B1469" t="s">
        <v>186</v>
      </c>
      <c r="C1469">
        <v>115</v>
      </c>
      <c r="D1469" t="s">
        <v>2</v>
      </c>
      <c r="E1469">
        <v>13.896954255000001</v>
      </c>
      <c r="F1469">
        <v>13.2300866</v>
      </c>
      <c r="G1469">
        <v>12.703654335</v>
      </c>
      <c r="H1469">
        <v>12.408538484999999</v>
      </c>
      <c r="I1469">
        <v>12.25814179</v>
      </c>
      <c r="J1469">
        <v>11.93713226</v>
      </c>
      <c r="K1469">
        <v>13.007168295</v>
      </c>
      <c r="L1469">
        <v>15.930484785000001</v>
      </c>
      <c r="M1469">
        <v>18.830746365</v>
      </c>
      <c r="N1469">
        <v>19.588755084999999</v>
      </c>
      <c r="O1469">
        <v>20.346582564999999</v>
      </c>
      <c r="P1469">
        <v>20.926841140000001</v>
      </c>
      <c r="Q1469">
        <v>19.155424034999999</v>
      </c>
      <c r="R1469">
        <v>20.496342949999999</v>
      </c>
      <c r="S1469">
        <v>22.383274945</v>
      </c>
      <c r="T1469">
        <v>22.890210119999999</v>
      </c>
      <c r="U1469">
        <v>22.899816824999998</v>
      </c>
      <c r="V1469">
        <v>21.928721084999999</v>
      </c>
      <c r="W1469">
        <v>20.321656154999999</v>
      </c>
      <c r="X1469">
        <v>18.111759405000001</v>
      </c>
      <c r="Y1469">
        <v>17.452646654999999</v>
      </c>
      <c r="Z1469">
        <v>17.043645105</v>
      </c>
      <c r="AA1469">
        <v>16.466792659999999</v>
      </c>
      <c r="AB1469">
        <v>15.935222635000001</v>
      </c>
    </row>
    <row r="1470" spans="1:28" hidden="1" x14ac:dyDescent="0.25">
      <c r="A1470" t="s">
        <v>173</v>
      </c>
      <c r="B1470" t="s">
        <v>186</v>
      </c>
      <c r="C1470">
        <v>115</v>
      </c>
      <c r="D1470" t="s">
        <v>3</v>
      </c>
      <c r="E1470">
        <v>5.1633277592000004</v>
      </c>
      <c r="F1470">
        <v>4.9917029648</v>
      </c>
      <c r="G1470">
        <v>4.8148375739000002</v>
      </c>
      <c r="H1470">
        <v>4.7862162453000003</v>
      </c>
      <c r="I1470">
        <v>4.7188083755000001</v>
      </c>
      <c r="J1470">
        <v>4.5400926854000003</v>
      </c>
      <c r="K1470">
        <v>5.1795450866000001</v>
      </c>
      <c r="L1470">
        <v>6.6986464485999999</v>
      </c>
      <c r="M1470">
        <v>7.6800674988999997</v>
      </c>
      <c r="N1470">
        <v>7.8847676373000004</v>
      </c>
      <c r="O1470">
        <v>8.4228173032000004</v>
      </c>
      <c r="P1470">
        <v>8.7537655877000002</v>
      </c>
      <c r="Q1470">
        <v>7.7031902381000004</v>
      </c>
      <c r="R1470">
        <v>8.2341302292999998</v>
      </c>
      <c r="S1470">
        <v>8.9012548406000001</v>
      </c>
      <c r="T1470">
        <v>9.0121886104000009</v>
      </c>
      <c r="U1470">
        <v>8.9472249345999995</v>
      </c>
      <c r="V1470">
        <v>8.4611368339999995</v>
      </c>
      <c r="W1470">
        <v>7.3244276258000003</v>
      </c>
      <c r="X1470">
        <v>6.4515857261000003</v>
      </c>
      <c r="Y1470">
        <v>6.132610788</v>
      </c>
      <c r="Z1470">
        <v>5.8515155554999998</v>
      </c>
      <c r="AA1470">
        <v>5.8667384081999998</v>
      </c>
      <c r="AB1470">
        <v>5.7540625013</v>
      </c>
    </row>
    <row r="1471" spans="1:28" hidden="1" x14ac:dyDescent="0.25">
      <c r="A1471" t="s">
        <v>173</v>
      </c>
      <c r="B1471" t="s">
        <v>186</v>
      </c>
      <c r="C1471">
        <v>115</v>
      </c>
      <c r="D1471" t="s">
        <v>4</v>
      </c>
      <c r="E1471">
        <v>0.21162874500000001</v>
      </c>
      <c r="F1471">
        <v>0.2014734</v>
      </c>
      <c r="G1471">
        <v>0.193456665</v>
      </c>
      <c r="H1471">
        <v>0.188962515</v>
      </c>
      <c r="I1471">
        <v>0.18667221000000001</v>
      </c>
      <c r="J1471">
        <v>0.18178374</v>
      </c>
      <c r="K1471">
        <v>0.19807870499999999</v>
      </c>
      <c r="L1471">
        <v>0.242596215</v>
      </c>
      <c r="M1471">
        <v>0.28676263499999999</v>
      </c>
      <c r="N1471">
        <v>0.29830591499999998</v>
      </c>
      <c r="O1471">
        <v>0.30984643499999998</v>
      </c>
      <c r="P1471">
        <v>0.31868286000000001</v>
      </c>
      <c r="Q1471">
        <v>0.29170696499999998</v>
      </c>
      <c r="R1471">
        <v>0.31212705000000002</v>
      </c>
      <c r="S1471">
        <v>0.340862055</v>
      </c>
      <c r="T1471">
        <v>0.34858188000000001</v>
      </c>
      <c r="U1471">
        <v>0.34872817499999997</v>
      </c>
      <c r="V1471">
        <v>0.33393991499999998</v>
      </c>
      <c r="W1471">
        <v>0.30946684499999999</v>
      </c>
      <c r="X1471">
        <v>0.27581359500000002</v>
      </c>
      <c r="Y1471">
        <v>0.26577634500000002</v>
      </c>
      <c r="Z1471">
        <v>0.25954789499999997</v>
      </c>
      <c r="AA1471">
        <v>0.25076334</v>
      </c>
      <c r="AB1471">
        <v>0.242668365</v>
      </c>
    </row>
    <row r="1472" spans="1:28" hidden="1" x14ac:dyDescent="0.25">
      <c r="A1472" t="s">
        <v>173</v>
      </c>
      <c r="B1472" t="s">
        <v>187</v>
      </c>
      <c r="C1472">
        <v>115</v>
      </c>
      <c r="D1472" t="s">
        <v>2</v>
      </c>
      <c r="E1472">
        <v>60.328568830000002</v>
      </c>
      <c r="F1472">
        <v>57.101284294999999</v>
      </c>
      <c r="G1472">
        <v>54.845692409999998</v>
      </c>
      <c r="H1472">
        <v>53.140772654999999</v>
      </c>
      <c r="I1472">
        <v>52.185708775000002</v>
      </c>
      <c r="J1472">
        <v>50.94089237</v>
      </c>
      <c r="K1472">
        <v>52.324443070000001</v>
      </c>
      <c r="L1472">
        <v>59.089094080000002</v>
      </c>
      <c r="M1472">
        <v>65.89948158</v>
      </c>
      <c r="N1472">
        <v>70.877827210000007</v>
      </c>
      <c r="O1472">
        <v>74.952892379999994</v>
      </c>
      <c r="P1472">
        <v>76.963888080000004</v>
      </c>
      <c r="Q1472">
        <v>73.260715585</v>
      </c>
      <c r="R1472">
        <v>78.972397654999995</v>
      </c>
      <c r="S1472">
        <v>86.021877175</v>
      </c>
      <c r="T1472">
        <v>87.903528585000004</v>
      </c>
      <c r="U1472">
        <v>87.134346024999999</v>
      </c>
      <c r="V1472">
        <v>81.433204439999997</v>
      </c>
      <c r="W1472">
        <v>80.195509584999996</v>
      </c>
      <c r="X1472">
        <v>77.388282239999995</v>
      </c>
      <c r="Y1472">
        <v>76.46308947</v>
      </c>
      <c r="Z1472">
        <v>75.444449750000004</v>
      </c>
      <c r="AA1472">
        <v>72.239138595</v>
      </c>
      <c r="AB1472">
        <v>68.083447234999994</v>
      </c>
    </row>
    <row r="1473" spans="1:28" hidden="1" x14ac:dyDescent="0.25">
      <c r="A1473" t="s">
        <v>173</v>
      </c>
      <c r="B1473" t="s">
        <v>187</v>
      </c>
      <c r="C1473">
        <v>115</v>
      </c>
      <c r="D1473" t="s">
        <v>3</v>
      </c>
      <c r="E1473">
        <v>21.053103384500002</v>
      </c>
      <c r="F1473">
        <v>19.9463001431</v>
      </c>
      <c r="G1473">
        <v>19.3480977778</v>
      </c>
      <c r="H1473">
        <v>18.813026359999999</v>
      </c>
      <c r="I1473">
        <v>18.550477110399999</v>
      </c>
      <c r="J1473">
        <v>18.212280874400001</v>
      </c>
      <c r="K1473">
        <v>19.6555029453</v>
      </c>
      <c r="L1473">
        <v>22.878485893099999</v>
      </c>
      <c r="M1473">
        <v>26.107286069400001</v>
      </c>
      <c r="N1473">
        <v>28.4918764938</v>
      </c>
      <c r="O1473">
        <v>30.587843786400001</v>
      </c>
      <c r="P1473">
        <v>31.6432612961</v>
      </c>
      <c r="Q1473">
        <v>30.176999431399999</v>
      </c>
      <c r="R1473">
        <v>32.757243299599999</v>
      </c>
      <c r="S1473">
        <v>35.261527312799998</v>
      </c>
      <c r="T1473">
        <v>35.641814326599999</v>
      </c>
      <c r="U1473">
        <v>35.262396567099998</v>
      </c>
      <c r="V1473">
        <v>32.2382287569</v>
      </c>
      <c r="W1473">
        <v>29.093780464799998</v>
      </c>
      <c r="X1473">
        <v>27.0933544948</v>
      </c>
      <c r="Y1473">
        <v>26.117235431099999</v>
      </c>
      <c r="Z1473">
        <v>25.4499587283</v>
      </c>
      <c r="AA1473">
        <v>24.883503179800002</v>
      </c>
      <c r="AB1473">
        <v>23.838079085299999</v>
      </c>
    </row>
    <row r="1474" spans="1:28" hidden="1" x14ac:dyDescent="0.25">
      <c r="A1474" t="s">
        <v>173</v>
      </c>
      <c r="B1474" t="s">
        <v>187</v>
      </c>
      <c r="C1474">
        <v>115</v>
      </c>
      <c r="D1474" t="s">
        <v>4</v>
      </c>
      <c r="E1474">
        <v>0.91870916999999996</v>
      </c>
      <c r="F1474">
        <v>0.86956270499999999</v>
      </c>
      <c r="G1474">
        <v>0.83521358999999995</v>
      </c>
      <c r="H1474">
        <v>0.80925034500000004</v>
      </c>
      <c r="I1474">
        <v>0.79470622499999999</v>
      </c>
      <c r="J1474">
        <v>0.77574962999999997</v>
      </c>
      <c r="K1474">
        <v>0.79681893000000004</v>
      </c>
      <c r="L1474">
        <v>0.89983391999999995</v>
      </c>
      <c r="M1474">
        <v>1.0035454047000001</v>
      </c>
      <c r="N1474">
        <v>1.0793577747</v>
      </c>
      <c r="O1474">
        <v>1.1414146047</v>
      </c>
      <c r="P1474">
        <v>1.1720389046999999</v>
      </c>
      <c r="Q1474">
        <v>1.1156454149999999</v>
      </c>
      <c r="R1474">
        <v>1.202625345</v>
      </c>
      <c r="S1474">
        <v>1.309977825</v>
      </c>
      <c r="T1474">
        <v>1.338632415</v>
      </c>
      <c r="U1474">
        <v>1.3269189749999999</v>
      </c>
      <c r="V1474">
        <v>1.24009956</v>
      </c>
      <c r="W1474">
        <v>1.221251415</v>
      </c>
      <c r="X1474">
        <v>1.1785017600000001</v>
      </c>
      <c r="Y1474">
        <v>1.1644125299999999</v>
      </c>
      <c r="Z1474">
        <v>1.1489002500000001</v>
      </c>
      <c r="AA1474">
        <v>1.1000884049999999</v>
      </c>
      <c r="AB1474">
        <v>1.0368037649999999</v>
      </c>
    </row>
    <row r="1475" spans="1:28" hidden="1" x14ac:dyDescent="0.25">
      <c r="A1475" t="s">
        <v>173</v>
      </c>
      <c r="B1475" t="s">
        <v>188</v>
      </c>
      <c r="C1475">
        <v>115</v>
      </c>
      <c r="D1475" t="s">
        <v>2</v>
      </c>
      <c r="E1475">
        <v>16.757670054999998</v>
      </c>
      <c r="F1475">
        <v>16.217451730000001</v>
      </c>
      <c r="G1475">
        <v>15.64038948</v>
      </c>
      <c r="H1475">
        <v>15.232893995</v>
      </c>
      <c r="I1475">
        <v>15.130332839999999</v>
      </c>
      <c r="J1475">
        <v>14.936083945</v>
      </c>
      <c r="K1475">
        <v>14.468350785</v>
      </c>
      <c r="L1475">
        <v>14.123245199999999</v>
      </c>
      <c r="M1475">
        <v>14.267427530000001</v>
      </c>
      <c r="N1475">
        <v>15.055487615000001</v>
      </c>
      <c r="O1475">
        <v>15.089290845000001</v>
      </c>
      <c r="P1475">
        <v>15.583817975000001</v>
      </c>
      <c r="Q1475">
        <v>16.224022665</v>
      </c>
      <c r="R1475">
        <v>17.541366589999999</v>
      </c>
      <c r="S1475">
        <v>17.829753905</v>
      </c>
      <c r="T1475">
        <v>17.843057314999999</v>
      </c>
      <c r="U1475">
        <v>17.7819489</v>
      </c>
      <c r="V1475">
        <v>17.602544940000001</v>
      </c>
      <c r="W1475">
        <v>18.989806134999998</v>
      </c>
      <c r="X1475">
        <v>19.541070250000001</v>
      </c>
      <c r="Y1475">
        <v>19.604838165</v>
      </c>
      <c r="Z1475">
        <v>19.349948730000001</v>
      </c>
      <c r="AA1475">
        <v>18.800268495000001</v>
      </c>
      <c r="AB1475">
        <v>18.351926044999999</v>
      </c>
    </row>
    <row r="1476" spans="1:28" hidden="1" x14ac:dyDescent="0.25">
      <c r="A1476" t="s">
        <v>173</v>
      </c>
      <c r="B1476" t="s">
        <v>188</v>
      </c>
      <c r="C1476">
        <v>115</v>
      </c>
      <c r="D1476" t="s">
        <v>3</v>
      </c>
      <c r="E1476">
        <v>5.8827250857999998</v>
      </c>
      <c r="F1476">
        <v>5.6985809315999996</v>
      </c>
      <c r="G1476">
        <v>5.5728351803000002</v>
      </c>
      <c r="H1476">
        <v>5.3974079313000001</v>
      </c>
      <c r="I1476">
        <v>5.4032800749999996</v>
      </c>
      <c r="J1476">
        <v>5.2791422703000004</v>
      </c>
      <c r="K1476">
        <v>5.2743145073999997</v>
      </c>
      <c r="L1476">
        <v>5.3897161337000004</v>
      </c>
      <c r="M1476">
        <v>5.3890909458999996</v>
      </c>
      <c r="N1476">
        <v>5.5186740698000003</v>
      </c>
      <c r="O1476">
        <v>5.5939979332999998</v>
      </c>
      <c r="P1476">
        <v>5.7819204718000003</v>
      </c>
      <c r="Q1476">
        <v>5.9528875656000002</v>
      </c>
      <c r="R1476">
        <v>6.4599066498999997</v>
      </c>
      <c r="S1476">
        <v>6.4677873397000001</v>
      </c>
      <c r="T1476">
        <v>6.4548342748999996</v>
      </c>
      <c r="U1476">
        <v>6.5186599924999999</v>
      </c>
      <c r="V1476">
        <v>6.4644887833000002</v>
      </c>
      <c r="W1476">
        <v>6.4553985485999998</v>
      </c>
      <c r="X1476">
        <v>6.3483360454</v>
      </c>
      <c r="Y1476">
        <v>6.3676491263999999</v>
      </c>
      <c r="Z1476">
        <v>6.4359188189000003</v>
      </c>
      <c r="AA1476">
        <v>6.3766200095999999</v>
      </c>
      <c r="AB1476">
        <v>6.2696723354000001</v>
      </c>
    </row>
    <row r="1477" spans="1:28" hidden="1" x14ac:dyDescent="0.25">
      <c r="A1477" t="s">
        <v>173</v>
      </c>
      <c r="B1477" t="s">
        <v>188</v>
      </c>
      <c r="C1477">
        <v>115</v>
      </c>
      <c r="D1477" t="s">
        <v>4</v>
      </c>
      <c r="E1477">
        <v>0.255192945</v>
      </c>
      <c r="F1477">
        <v>0.24696626999999999</v>
      </c>
      <c r="G1477">
        <v>0.23817852</v>
      </c>
      <c r="H1477">
        <v>0.23197300500000001</v>
      </c>
      <c r="I1477">
        <v>0.23041116</v>
      </c>
      <c r="J1477">
        <v>0.22745305499999999</v>
      </c>
      <c r="K1477">
        <v>0.220330215</v>
      </c>
      <c r="L1477">
        <v>0.21507480000000001</v>
      </c>
      <c r="M1477">
        <v>0.21727046999999999</v>
      </c>
      <c r="N1477">
        <v>0.22927138499999999</v>
      </c>
      <c r="O1477">
        <v>0.22978615499999999</v>
      </c>
      <c r="P1477">
        <v>0.23731702499999999</v>
      </c>
      <c r="Q1477">
        <v>0.247066335</v>
      </c>
      <c r="R1477">
        <v>0.26712741000000001</v>
      </c>
      <c r="S1477">
        <v>0.27151909499999999</v>
      </c>
      <c r="T1477">
        <v>0.27172168499999999</v>
      </c>
      <c r="U1477">
        <v>0.27079110000000001</v>
      </c>
      <c r="V1477">
        <v>0.26805906000000002</v>
      </c>
      <c r="W1477">
        <v>0.28918486500000001</v>
      </c>
      <c r="X1477">
        <v>0.29757974999999998</v>
      </c>
      <c r="Y1477">
        <v>0.29855083500000001</v>
      </c>
      <c r="Z1477">
        <v>0.29466926999999998</v>
      </c>
      <c r="AA1477">
        <v>0.28629850499999998</v>
      </c>
      <c r="AB1477">
        <v>0.27947095500000002</v>
      </c>
    </row>
    <row r="1478" spans="1:28" hidden="1" x14ac:dyDescent="0.25">
      <c r="A1478" t="s">
        <v>173</v>
      </c>
      <c r="B1478" t="s">
        <v>189</v>
      </c>
      <c r="C1478">
        <v>220</v>
      </c>
      <c r="D1478" t="s">
        <v>2</v>
      </c>
      <c r="E1478">
        <v>7.3918290000000004</v>
      </c>
      <c r="F1478">
        <v>7.012321</v>
      </c>
      <c r="G1478">
        <v>6.8237730000000001</v>
      </c>
      <c r="H1478">
        <v>6.7528230000000002</v>
      </c>
      <c r="I1478">
        <v>7.2953109999999999</v>
      </c>
      <c r="J1478">
        <v>9.4956879999999995</v>
      </c>
      <c r="K1478">
        <v>10.74705</v>
      </c>
      <c r="L1478">
        <v>10.918771</v>
      </c>
      <c r="M1478">
        <v>10.907168</v>
      </c>
      <c r="N1478">
        <v>11.177797</v>
      </c>
      <c r="O1478">
        <v>11.240401</v>
      </c>
      <c r="P1478">
        <v>11.485079000000001</v>
      </c>
      <c r="Q1478">
        <v>11.166328999999999</v>
      </c>
      <c r="R1478">
        <v>11.428761</v>
      </c>
      <c r="S1478">
        <v>11.318368</v>
      </c>
      <c r="T1478">
        <v>11.475125</v>
      </c>
      <c r="U1478">
        <v>11.641634</v>
      </c>
      <c r="V1478">
        <v>12.223236</v>
      </c>
      <c r="W1478">
        <v>14.619531</v>
      </c>
      <c r="X1478">
        <v>14.36753</v>
      </c>
      <c r="Y1478">
        <v>13.308707999999999</v>
      </c>
      <c r="Z1478">
        <v>11.764015000000001</v>
      </c>
      <c r="AA1478">
        <v>10.013939000000001</v>
      </c>
      <c r="AB1478">
        <v>8.7656340000000004</v>
      </c>
    </row>
    <row r="1479" spans="1:28" hidden="1" x14ac:dyDescent="0.25">
      <c r="A1479" t="s">
        <v>173</v>
      </c>
      <c r="B1479" t="s">
        <v>189</v>
      </c>
      <c r="C1479">
        <v>220</v>
      </c>
      <c r="D1479" t="s">
        <v>3</v>
      </c>
      <c r="E1479">
        <v>3.4008939424000002</v>
      </c>
      <c r="F1479">
        <v>3.3273964175000001</v>
      </c>
      <c r="G1479">
        <v>3.3120517202999999</v>
      </c>
      <c r="H1479">
        <v>3.3191594027</v>
      </c>
      <c r="I1479">
        <v>3.4039142029999998</v>
      </c>
      <c r="J1479">
        <v>3.7421736972000001</v>
      </c>
      <c r="K1479">
        <v>4.4915982013000004</v>
      </c>
      <c r="L1479">
        <v>4.8186494267000004</v>
      </c>
      <c r="M1479">
        <v>4.9675463426000004</v>
      </c>
      <c r="N1479">
        <v>5.1999782434000004</v>
      </c>
      <c r="O1479">
        <v>5.2985836406000004</v>
      </c>
      <c r="P1479">
        <v>5.4818763406000004</v>
      </c>
      <c r="Q1479">
        <v>5.4144236393999998</v>
      </c>
      <c r="R1479">
        <v>5.5096041009999999</v>
      </c>
      <c r="S1479">
        <v>5.2202375943000003</v>
      </c>
      <c r="T1479">
        <v>5.2325653894000004</v>
      </c>
      <c r="U1479">
        <v>5.1473031219000003</v>
      </c>
      <c r="V1479">
        <v>5.0251375666999998</v>
      </c>
      <c r="W1479">
        <v>5.3400578562999996</v>
      </c>
      <c r="X1479">
        <v>5.1168895860000001</v>
      </c>
      <c r="Y1479">
        <v>4.7491786802</v>
      </c>
      <c r="Z1479">
        <v>4.3631549138999999</v>
      </c>
      <c r="AA1479">
        <v>4.0254607742999999</v>
      </c>
      <c r="AB1479">
        <v>3.8330713604</v>
      </c>
    </row>
    <row r="1480" spans="1:28" hidden="1" x14ac:dyDescent="0.25">
      <c r="A1480" t="s">
        <v>173</v>
      </c>
      <c r="B1480" t="s">
        <v>189</v>
      </c>
      <c r="C1480">
        <v>220</v>
      </c>
      <c r="D1480" t="s">
        <v>4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</row>
    <row r="1481" spans="1:28" hidden="1" x14ac:dyDescent="0.25">
      <c r="A1481" t="s">
        <v>173</v>
      </c>
      <c r="B1481" t="s">
        <v>190</v>
      </c>
      <c r="C1481">
        <v>115</v>
      </c>
      <c r="D1481" t="s">
        <v>2</v>
      </c>
      <c r="E1481">
        <v>5.0923603650000002</v>
      </c>
      <c r="F1481">
        <v>4.9598502849999999</v>
      </c>
      <c r="G1481">
        <v>4.863481825</v>
      </c>
      <c r="H1481">
        <v>4.773681345</v>
      </c>
      <c r="I1481">
        <v>4.7351176099999996</v>
      </c>
      <c r="J1481">
        <v>4.7027042149999998</v>
      </c>
      <c r="K1481">
        <v>4.6771070200000002</v>
      </c>
      <c r="L1481">
        <v>4.98186208</v>
      </c>
      <c r="M1481">
        <v>5.4795746999999997</v>
      </c>
      <c r="N1481">
        <v>5.6994247299999996</v>
      </c>
      <c r="O1481">
        <v>5.8033589750000001</v>
      </c>
      <c r="P1481">
        <v>5.8024547450000004</v>
      </c>
      <c r="Q1481">
        <v>5.6574696400000004</v>
      </c>
      <c r="R1481">
        <v>5.9534513049999997</v>
      </c>
      <c r="S1481">
        <v>6.124654155</v>
      </c>
      <c r="T1481">
        <v>5.9934935249999999</v>
      </c>
      <c r="U1481">
        <v>5.7614885950000003</v>
      </c>
      <c r="V1481">
        <v>5.4784192950000001</v>
      </c>
      <c r="W1481">
        <v>5.6869378849999999</v>
      </c>
      <c r="X1481">
        <v>5.8736692599999998</v>
      </c>
      <c r="Y1481">
        <v>5.9501771650000004</v>
      </c>
      <c r="Z1481">
        <v>6.0046476650000002</v>
      </c>
      <c r="AA1481">
        <v>5.9295108799999996</v>
      </c>
      <c r="AB1481">
        <v>5.7909686599999999</v>
      </c>
    </row>
    <row r="1482" spans="1:28" hidden="1" x14ac:dyDescent="0.25">
      <c r="A1482" t="s">
        <v>173</v>
      </c>
      <c r="B1482" t="s">
        <v>190</v>
      </c>
      <c r="C1482">
        <v>115</v>
      </c>
      <c r="D1482" t="s">
        <v>3</v>
      </c>
      <c r="E1482">
        <v>1.8408376869</v>
      </c>
      <c r="F1482">
        <v>1.8118422034999999</v>
      </c>
      <c r="G1482">
        <v>1.7993582689000001</v>
      </c>
      <c r="H1482">
        <v>1.7876354848</v>
      </c>
      <c r="I1482">
        <v>1.7784238917999999</v>
      </c>
      <c r="J1482">
        <v>1.7917746396000001</v>
      </c>
      <c r="K1482">
        <v>1.908989268</v>
      </c>
      <c r="L1482">
        <v>1.9990672403</v>
      </c>
      <c r="M1482">
        <v>2.3087745681</v>
      </c>
      <c r="N1482">
        <v>2.4917587215000001</v>
      </c>
      <c r="O1482">
        <v>2.6203726794</v>
      </c>
      <c r="P1482">
        <v>2.5983624909</v>
      </c>
      <c r="Q1482">
        <v>2.6127671385000002</v>
      </c>
      <c r="R1482">
        <v>2.7822729346999999</v>
      </c>
      <c r="S1482">
        <v>2.8216090436000001</v>
      </c>
      <c r="T1482">
        <v>2.7362996900000001</v>
      </c>
      <c r="U1482">
        <v>2.6514614304999999</v>
      </c>
      <c r="V1482">
        <v>2.4136700879999999</v>
      </c>
      <c r="W1482">
        <v>2.2436840338000001</v>
      </c>
      <c r="X1482">
        <v>2.1709830711000002</v>
      </c>
      <c r="Y1482">
        <v>2.1211094724000001</v>
      </c>
      <c r="Z1482">
        <v>2.1294225959999999</v>
      </c>
      <c r="AA1482">
        <v>2.1357589935000001</v>
      </c>
      <c r="AB1482">
        <v>2.1255741032</v>
      </c>
    </row>
    <row r="1483" spans="1:28" hidden="1" x14ac:dyDescent="0.25">
      <c r="A1483" t="s">
        <v>173</v>
      </c>
      <c r="B1483" t="s">
        <v>190</v>
      </c>
      <c r="C1483">
        <v>115</v>
      </c>
      <c r="D1483" t="s">
        <v>4</v>
      </c>
      <c r="E1483">
        <v>7.7548635000000005E-2</v>
      </c>
      <c r="F1483">
        <v>7.5530714999999998E-2</v>
      </c>
      <c r="G1483">
        <v>7.4063174999999995E-2</v>
      </c>
      <c r="H1483">
        <v>7.2695654999999998E-2</v>
      </c>
      <c r="I1483">
        <v>7.2108389999999994E-2</v>
      </c>
      <c r="J1483">
        <v>7.1614785E-2</v>
      </c>
      <c r="K1483">
        <v>7.1224979999999993E-2</v>
      </c>
      <c r="L1483">
        <v>7.5865920000000003E-2</v>
      </c>
      <c r="M1483">
        <v>8.34453E-2</v>
      </c>
      <c r="N1483">
        <v>8.6793270000000006E-2</v>
      </c>
      <c r="O1483">
        <v>8.8376024999999997E-2</v>
      </c>
      <c r="P1483">
        <v>8.8362255000000001E-2</v>
      </c>
      <c r="Q1483">
        <v>8.6154359999999999E-2</v>
      </c>
      <c r="R1483">
        <v>9.0661695E-2</v>
      </c>
      <c r="S1483">
        <v>9.3268845000000003E-2</v>
      </c>
      <c r="T1483">
        <v>9.1271475000000005E-2</v>
      </c>
      <c r="U1483">
        <v>8.7738405000000005E-2</v>
      </c>
      <c r="V1483">
        <v>8.3427705000000005E-2</v>
      </c>
      <c r="W1483">
        <v>8.6603114999999994E-2</v>
      </c>
      <c r="X1483">
        <v>8.9446739999999997E-2</v>
      </c>
      <c r="Y1483">
        <v>9.0611835000000002E-2</v>
      </c>
      <c r="Z1483">
        <v>9.1441334999999999E-2</v>
      </c>
      <c r="AA1483">
        <v>9.0297119999999995E-2</v>
      </c>
      <c r="AB1483">
        <v>8.8187340000000003E-2</v>
      </c>
    </row>
    <row r="1484" spans="1:28" hidden="1" x14ac:dyDescent="0.25">
      <c r="A1484" t="s">
        <v>191</v>
      </c>
      <c r="B1484" t="s">
        <v>192</v>
      </c>
      <c r="C1484">
        <v>110</v>
      </c>
      <c r="D1484" t="s">
        <v>2</v>
      </c>
      <c r="E1484">
        <v>0.40604162500000002</v>
      </c>
      <c r="F1484">
        <v>0.40604162500000002</v>
      </c>
      <c r="G1484">
        <v>0.40604162500000002</v>
      </c>
      <c r="H1484">
        <v>0.39100264499999998</v>
      </c>
      <c r="I1484">
        <v>0.40604162500000002</v>
      </c>
      <c r="J1484">
        <v>0.40604162500000002</v>
      </c>
      <c r="K1484">
        <v>0.39100264499999998</v>
      </c>
      <c r="L1484">
        <v>0.39100264499999998</v>
      </c>
      <c r="M1484">
        <v>0.40604162500000002</v>
      </c>
      <c r="N1484">
        <v>0.42107961999999999</v>
      </c>
      <c r="O1484">
        <v>0.46619557499999997</v>
      </c>
      <c r="P1484">
        <v>0.46619557499999997</v>
      </c>
      <c r="Q1484">
        <v>0.45115659499999999</v>
      </c>
      <c r="R1484">
        <v>0.43611860000000002</v>
      </c>
      <c r="S1484">
        <v>0.43611860000000002</v>
      </c>
      <c r="T1484">
        <v>0.43611860000000002</v>
      </c>
      <c r="U1484">
        <v>0.43611860000000002</v>
      </c>
      <c r="V1484">
        <v>0.42107961999999999</v>
      </c>
      <c r="W1484">
        <v>0.42107961999999999</v>
      </c>
      <c r="X1484">
        <v>0.40604162500000002</v>
      </c>
      <c r="Y1484">
        <v>0.40604162500000002</v>
      </c>
      <c r="Z1484">
        <v>0.40604162500000002</v>
      </c>
      <c r="AA1484">
        <v>0.42107961999999999</v>
      </c>
      <c r="AB1484">
        <v>0.40604162500000002</v>
      </c>
    </row>
    <row r="1485" spans="1:28" hidden="1" x14ac:dyDescent="0.25">
      <c r="A1485" t="s">
        <v>191</v>
      </c>
      <c r="B1485" t="s">
        <v>192</v>
      </c>
      <c r="C1485">
        <v>110</v>
      </c>
      <c r="D1485" t="s">
        <v>3</v>
      </c>
      <c r="E1485">
        <v>0.13186774179999999</v>
      </c>
      <c r="F1485">
        <v>0.13186774179999999</v>
      </c>
      <c r="G1485">
        <v>0.13186774179999999</v>
      </c>
      <c r="H1485">
        <v>0.12698362099999999</v>
      </c>
      <c r="I1485">
        <v>0.13186774179999999</v>
      </c>
      <c r="J1485">
        <v>0.13186774179999999</v>
      </c>
      <c r="K1485">
        <v>0.12698362099999999</v>
      </c>
      <c r="L1485">
        <v>0.12698362099999999</v>
      </c>
      <c r="M1485">
        <v>0.13186774179999999</v>
      </c>
      <c r="N1485">
        <v>0.13675154270000001</v>
      </c>
      <c r="O1485">
        <v>0.15140358509999999</v>
      </c>
      <c r="P1485">
        <v>0.15140358509999999</v>
      </c>
      <c r="Q1485">
        <v>0.14651946439999999</v>
      </c>
      <c r="R1485">
        <v>0.14163566350000001</v>
      </c>
      <c r="S1485">
        <v>0.14163566350000001</v>
      </c>
      <c r="T1485">
        <v>0.14163566350000001</v>
      </c>
      <c r="U1485">
        <v>0.14163566350000001</v>
      </c>
      <c r="V1485">
        <v>0.13675154270000001</v>
      </c>
      <c r="W1485">
        <v>0.13675154270000001</v>
      </c>
      <c r="X1485">
        <v>0.13186774179999999</v>
      </c>
      <c r="Y1485">
        <v>0.13186774179999999</v>
      </c>
      <c r="Z1485">
        <v>0.13186774179999999</v>
      </c>
      <c r="AA1485">
        <v>0.13675154270000001</v>
      </c>
      <c r="AB1485">
        <v>0.13186774179999999</v>
      </c>
    </row>
    <row r="1486" spans="1:28" hidden="1" x14ac:dyDescent="0.25">
      <c r="A1486" t="s">
        <v>191</v>
      </c>
      <c r="B1486" t="s">
        <v>192</v>
      </c>
      <c r="C1486">
        <v>110</v>
      </c>
      <c r="D1486" t="s">
        <v>4</v>
      </c>
      <c r="E1486">
        <v>6.1833749999999996E-3</v>
      </c>
      <c r="F1486">
        <v>6.1833749999999996E-3</v>
      </c>
      <c r="G1486">
        <v>6.1833749999999996E-3</v>
      </c>
      <c r="H1486">
        <v>5.9543549999999997E-3</v>
      </c>
      <c r="I1486">
        <v>6.1833749999999996E-3</v>
      </c>
      <c r="J1486">
        <v>6.1833749999999996E-3</v>
      </c>
      <c r="K1486">
        <v>5.9543549999999997E-3</v>
      </c>
      <c r="L1486">
        <v>5.9543549999999997E-3</v>
      </c>
      <c r="M1486">
        <v>6.1833749999999996E-3</v>
      </c>
      <c r="N1486">
        <v>6.4123799999999996E-3</v>
      </c>
      <c r="O1486">
        <v>7.0994250000000004E-3</v>
      </c>
      <c r="P1486">
        <v>7.0994250000000004E-3</v>
      </c>
      <c r="Q1486">
        <v>6.8704049999999996E-3</v>
      </c>
      <c r="R1486">
        <v>6.6414000000000004E-3</v>
      </c>
      <c r="S1486">
        <v>6.6414000000000004E-3</v>
      </c>
      <c r="T1486">
        <v>6.6414000000000004E-3</v>
      </c>
      <c r="U1486">
        <v>6.6414000000000004E-3</v>
      </c>
      <c r="V1486">
        <v>6.4123799999999996E-3</v>
      </c>
      <c r="W1486">
        <v>6.4123799999999996E-3</v>
      </c>
      <c r="X1486">
        <v>6.1833749999999996E-3</v>
      </c>
      <c r="Y1486">
        <v>6.1833749999999996E-3</v>
      </c>
      <c r="Z1486">
        <v>6.1833749999999996E-3</v>
      </c>
      <c r="AA1486">
        <v>6.4123799999999996E-3</v>
      </c>
      <c r="AB1486">
        <v>6.1833749999999996E-3</v>
      </c>
    </row>
    <row r="1487" spans="1:28" hidden="1" x14ac:dyDescent="0.25">
      <c r="A1487" t="s">
        <v>191</v>
      </c>
      <c r="B1487" t="s">
        <v>193</v>
      </c>
      <c r="C1487">
        <v>110</v>
      </c>
      <c r="D1487" t="s">
        <v>2</v>
      </c>
      <c r="E1487">
        <v>149.97959281000001</v>
      </c>
      <c r="F1487">
        <v>149.97959281000001</v>
      </c>
      <c r="G1487">
        <v>149.97959281000001</v>
      </c>
      <c r="H1487">
        <v>149.99463179</v>
      </c>
      <c r="I1487">
        <v>149.97959281000001</v>
      </c>
      <c r="J1487">
        <v>149.97959281000001</v>
      </c>
      <c r="K1487">
        <v>149.99463179</v>
      </c>
      <c r="L1487">
        <v>149.99463179</v>
      </c>
      <c r="M1487">
        <v>149.97959281000001</v>
      </c>
      <c r="N1487">
        <v>149.96455481500001</v>
      </c>
      <c r="O1487">
        <v>149.91943886000001</v>
      </c>
      <c r="P1487">
        <v>149.91943886000001</v>
      </c>
      <c r="Q1487">
        <v>149.93447784</v>
      </c>
      <c r="R1487">
        <v>149.949515835</v>
      </c>
      <c r="S1487">
        <v>149.949515835</v>
      </c>
      <c r="T1487">
        <v>149.949515835</v>
      </c>
      <c r="U1487">
        <v>149.949515835</v>
      </c>
      <c r="V1487">
        <v>149.96455481500001</v>
      </c>
      <c r="W1487">
        <v>149.96455481500001</v>
      </c>
      <c r="X1487">
        <v>149.97959281000001</v>
      </c>
      <c r="Y1487">
        <v>149.97959281000001</v>
      </c>
      <c r="Z1487">
        <v>149.97959281000001</v>
      </c>
      <c r="AA1487">
        <v>149.96455481500001</v>
      </c>
      <c r="AB1487">
        <v>149.97959281000001</v>
      </c>
    </row>
    <row r="1488" spans="1:28" hidden="1" x14ac:dyDescent="0.25">
      <c r="A1488" t="s">
        <v>191</v>
      </c>
      <c r="B1488" t="s">
        <v>193</v>
      </c>
      <c r="C1488">
        <v>110</v>
      </c>
      <c r="D1488" t="s">
        <v>3</v>
      </c>
      <c r="E1488">
        <v>31.406836343399998</v>
      </c>
      <c r="F1488">
        <v>30.9765072617</v>
      </c>
      <c r="G1488">
        <v>30.798242012599999</v>
      </c>
      <c r="H1488">
        <v>30.559585742300001</v>
      </c>
      <c r="I1488">
        <v>32.065353046299997</v>
      </c>
      <c r="J1488">
        <v>32.364202442900002</v>
      </c>
      <c r="K1488">
        <v>39.651261942200001</v>
      </c>
      <c r="L1488">
        <v>40.430026945599998</v>
      </c>
      <c r="M1488">
        <v>40.159468088899999</v>
      </c>
      <c r="N1488">
        <v>42.190044803900001</v>
      </c>
      <c r="O1488">
        <v>42.611708219999997</v>
      </c>
      <c r="P1488">
        <v>46.684085240900004</v>
      </c>
      <c r="Q1488">
        <v>42.509190443800001</v>
      </c>
      <c r="R1488">
        <v>45.554531809700002</v>
      </c>
      <c r="S1488">
        <v>48.853672428499998</v>
      </c>
      <c r="T1488">
        <v>41.488186234200001</v>
      </c>
      <c r="U1488">
        <v>37.350868503199997</v>
      </c>
      <c r="V1488">
        <v>34.276554758300001</v>
      </c>
      <c r="W1488">
        <v>33.431994471199999</v>
      </c>
      <c r="X1488">
        <v>32.349317013399997</v>
      </c>
      <c r="Y1488">
        <v>33.4353469311</v>
      </c>
      <c r="Z1488">
        <v>32.527553631300002</v>
      </c>
      <c r="AA1488">
        <v>33.366827253799997</v>
      </c>
      <c r="AB1488">
        <v>32.534963463099999</v>
      </c>
    </row>
    <row r="1489" spans="1:28" hidden="1" x14ac:dyDescent="0.25">
      <c r="A1489" t="s">
        <v>191</v>
      </c>
      <c r="B1489" t="s">
        <v>193</v>
      </c>
      <c r="C1489">
        <v>110</v>
      </c>
      <c r="D1489" t="s">
        <v>4</v>
      </c>
      <c r="E1489">
        <v>2.2839531900000001</v>
      </c>
      <c r="F1489">
        <v>2.2839531900000001</v>
      </c>
      <c r="G1489">
        <v>2.2839531900000001</v>
      </c>
      <c r="H1489">
        <v>2.28418221</v>
      </c>
      <c r="I1489">
        <v>2.2839531900000001</v>
      </c>
      <c r="J1489">
        <v>2.2839531900000001</v>
      </c>
      <c r="K1489">
        <v>2.28418221</v>
      </c>
      <c r="L1489">
        <v>2.28418221</v>
      </c>
      <c r="M1489">
        <v>2.2839531900000001</v>
      </c>
      <c r="N1489">
        <v>2.2837241850000001</v>
      </c>
      <c r="O1489">
        <v>2.2830371399999998</v>
      </c>
      <c r="P1489">
        <v>2.2830371399999998</v>
      </c>
      <c r="Q1489">
        <v>2.2832661600000002</v>
      </c>
      <c r="R1489">
        <v>2.2834951650000002</v>
      </c>
      <c r="S1489">
        <v>2.2834951650000002</v>
      </c>
      <c r="T1489">
        <v>2.2834951650000002</v>
      </c>
      <c r="U1489">
        <v>2.2834951650000002</v>
      </c>
      <c r="V1489">
        <v>2.2837241850000001</v>
      </c>
      <c r="W1489">
        <v>2.2837241850000001</v>
      </c>
      <c r="X1489">
        <v>2.2839531900000001</v>
      </c>
      <c r="Y1489">
        <v>2.2839531900000001</v>
      </c>
      <c r="Z1489">
        <v>2.2839531900000001</v>
      </c>
      <c r="AA1489">
        <v>2.2837241850000001</v>
      </c>
      <c r="AB1489">
        <v>2.2839531900000001</v>
      </c>
    </row>
    <row r="1490" spans="1:28" hidden="1" x14ac:dyDescent="0.25">
      <c r="A1490" t="s">
        <v>194</v>
      </c>
      <c r="B1490" t="s">
        <v>195</v>
      </c>
      <c r="C1490">
        <v>115</v>
      </c>
      <c r="D1490" t="s">
        <v>2</v>
      </c>
      <c r="E1490">
        <v>25.348409610000001</v>
      </c>
      <c r="F1490">
        <v>25.205210309999998</v>
      </c>
      <c r="G1490">
        <v>24.218139839999999</v>
      </c>
      <c r="H1490">
        <v>22.196924764999999</v>
      </c>
      <c r="I1490">
        <v>20.278482619999998</v>
      </c>
      <c r="J1490">
        <v>21.136494450000001</v>
      </c>
      <c r="K1490">
        <v>18.217774954999999</v>
      </c>
      <c r="L1490">
        <v>17.635987660000001</v>
      </c>
      <c r="M1490">
        <v>16.771604849999999</v>
      </c>
      <c r="N1490">
        <v>17.212964634999999</v>
      </c>
      <c r="O1490">
        <v>18.483405815000001</v>
      </c>
      <c r="P1490">
        <v>20.53838275</v>
      </c>
      <c r="Q1490">
        <v>23.116199654999999</v>
      </c>
      <c r="R1490">
        <v>25.283509930000001</v>
      </c>
      <c r="S1490">
        <v>25.796778655000001</v>
      </c>
      <c r="T1490">
        <v>25.837519239999999</v>
      </c>
      <c r="U1490">
        <v>25.190799760000001</v>
      </c>
      <c r="V1490">
        <v>25.604056509999999</v>
      </c>
      <c r="W1490">
        <v>26.61018279</v>
      </c>
      <c r="X1490">
        <v>25.319121620000001</v>
      </c>
      <c r="Y1490">
        <v>29.221474919999999</v>
      </c>
      <c r="Z1490">
        <v>29.743437255</v>
      </c>
      <c r="AA1490">
        <v>29.244856850000001</v>
      </c>
      <c r="AB1490">
        <v>26.97695148</v>
      </c>
    </row>
    <row r="1491" spans="1:28" hidden="1" x14ac:dyDescent="0.25">
      <c r="A1491" t="s">
        <v>194</v>
      </c>
      <c r="B1491" t="s">
        <v>195</v>
      </c>
      <c r="C1491">
        <v>115</v>
      </c>
      <c r="D1491" t="s">
        <v>3</v>
      </c>
      <c r="E1491">
        <v>11.597754418599999</v>
      </c>
      <c r="F1491">
        <v>11.1302230715</v>
      </c>
      <c r="G1491">
        <v>11.0065842753</v>
      </c>
      <c r="H1491">
        <v>9.9639822300999992</v>
      </c>
      <c r="I1491">
        <v>8.9888186180999998</v>
      </c>
      <c r="J1491">
        <v>9.2137190765000003</v>
      </c>
      <c r="K1491">
        <v>8.1038537066000007</v>
      </c>
      <c r="L1491">
        <v>7.7971618964999996</v>
      </c>
      <c r="M1491">
        <v>7.5497531853000002</v>
      </c>
      <c r="N1491">
        <v>8.1961840848000005</v>
      </c>
      <c r="O1491">
        <v>8.9555863303999992</v>
      </c>
      <c r="P1491">
        <v>9.6225817952000003</v>
      </c>
      <c r="Q1491">
        <v>10.6622818615</v>
      </c>
      <c r="R1491">
        <v>12.281145478599999</v>
      </c>
      <c r="S1491">
        <v>13.2852974494</v>
      </c>
      <c r="T1491">
        <v>13.078490866299999</v>
      </c>
      <c r="U1491">
        <v>13.7483242767</v>
      </c>
      <c r="V1491">
        <v>13.8377005167</v>
      </c>
      <c r="W1491">
        <v>12.4060624231</v>
      </c>
      <c r="X1491">
        <v>11.226166453299999</v>
      </c>
      <c r="Y1491">
        <v>12.9969316205</v>
      </c>
      <c r="Z1491">
        <v>13.1280726744</v>
      </c>
      <c r="AA1491">
        <v>12.9711025569</v>
      </c>
      <c r="AB1491">
        <v>12.238363511599999</v>
      </c>
    </row>
    <row r="1492" spans="1:28" hidden="1" x14ac:dyDescent="0.25">
      <c r="A1492" t="s">
        <v>194</v>
      </c>
      <c r="B1492" t="s">
        <v>195</v>
      </c>
      <c r="C1492">
        <v>115</v>
      </c>
      <c r="D1492" t="s">
        <v>4</v>
      </c>
      <c r="E1492">
        <v>0.38601638999999999</v>
      </c>
      <c r="F1492">
        <v>0.38383569000000001</v>
      </c>
      <c r="G1492">
        <v>0.36880415999999999</v>
      </c>
      <c r="H1492">
        <v>0.33802423500000001</v>
      </c>
      <c r="I1492">
        <v>0.30880938000000002</v>
      </c>
      <c r="J1492">
        <v>0.32187555000000001</v>
      </c>
      <c r="K1492">
        <v>0.27742804500000001</v>
      </c>
      <c r="L1492">
        <v>0.26856834000000002</v>
      </c>
      <c r="M1492">
        <v>0.25540515000000003</v>
      </c>
      <c r="N1492">
        <v>0.26212636499999997</v>
      </c>
      <c r="O1492">
        <v>0.28147318500000001</v>
      </c>
      <c r="P1492">
        <v>0.31276725</v>
      </c>
      <c r="Q1492">
        <v>0.35202334499999999</v>
      </c>
      <c r="R1492">
        <v>0.38502807</v>
      </c>
      <c r="S1492">
        <v>0.39284434499999998</v>
      </c>
      <c r="T1492">
        <v>0.39346476000000002</v>
      </c>
      <c r="U1492">
        <v>0.38361624</v>
      </c>
      <c r="V1492">
        <v>0.38990949000000003</v>
      </c>
      <c r="W1492">
        <v>0.40523121000000001</v>
      </c>
      <c r="X1492">
        <v>0.38557037999999999</v>
      </c>
      <c r="Y1492">
        <v>0.44499707999999999</v>
      </c>
      <c r="Z1492">
        <v>0.45294574500000001</v>
      </c>
      <c r="AA1492">
        <v>0.44535314999999998</v>
      </c>
      <c r="AB1492">
        <v>0.41081652000000002</v>
      </c>
    </row>
    <row r="1493" spans="1:28" hidden="1" x14ac:dyDescent="0.25">
      <c r="A1493" t="s">
        <v>194</v>
      </c>
      <c r="B1493" t="s">
        <v>196</v>
      </c>
      <c r="C1493">
        <v>34</v>
      </c>
      <c r="D1493" t="s">
        <v>2</v>
      </c>
      <c r="E1493">
        <v>6.6410904500000001</v>
      </c>
      <c r="F1493">
        <v>6.3782728300000002</v>
      </c>
      <c r="G1493">
        <v>6.5083634100000003</v>
      </c>
      <c r="H1493">
        <v>6.2446883099999999</v>
      </c>
      <c r="I1493">
        <v>5.7895274499999996</v>
      </c>
      <c r="J1493">
        <v>5.8595973399999997</v>
      </c>
      <c r="K1493">
        <v>5.1617201699999997</v>
      </c>
      <c r="L1493">
        <v>5.22162931</v>
      </c>
      <c r="M1493">
        <v>5.3492861600000001</v>
      </c>
      <c r="N1493">
        <v>5.3601239700000001</v>
      </c>
      <c r="O1493">
        <v>5.5530181699999996</v>
      </c>
      <c r="P1493">
        <v>6.0820804199999996</v>
      </c>
      <c r="Q1493">
        <v>6.1181295000000002</v>
      </c>
      <c r="R1493">
        <v>6.4387406900000004</v>
      </c>
      <c r="S1493">
        <v>6.8059923900000001</v>
      </c>
      <c r="T1493">
        <v>7.3054851599999999</v>
      </c>
      <c r="U1493">
        <v>6.7295777299999999</v>
      </c>
      <c r="V1493">
        <v>6.2531767800000004</v>
      </c>
      <c r="W1493">
        <v>6.9901885999999998</v>
      </c>
      <c r="X1493">
        <v>7.2163838699999996</v>
      </c>
      <c r="Y1493">
        <v>7.3974867499999997</v>
      </c>
      <c r="Z1493">
        <v>7.50891938</v>
      </c>
      <c r="AA1493">
        <v>7.5310751500000004</v>
      </c>
      <c r="AB1493">
        <v>6.8748119499999998</v>
      </c>
    </row>
    <row r="1494" spans="1:28" hidden="1" x14ac:dyDescent="0.25">
      <c r="A1494" t="s">
        <v>194</v>
      </c>
      <c r="B1494" t="s">
        <v>196</v>
      </c>
      <c r="C1494">
        <v>34</v>
      </c>
      <c r="D1494" t="s">
        <v>3</v>
      </c>
      <c r="E1494">
        <v>1.8113100743999999</v>
      </c>
      <c r="F1494">
        <v>1.6930348607000001</v>
      </c>
      <c r="G1494">
        <v>1.7346148305</v>
      </c>
      <c r="H1494">
        <v>1.6638204429000001</v>
      </c>
      <c r="I1494">
        <v>1.5258580506999999</v>
      </c>
      <c r="J1494">
        <v>1.5020551881999999</v>
      </c>
      <c r="K1494">
        <v>1.3906680508</v>
      </c>
      <c r="L1494">
        <v>1.4775305824</v>
      </c>
      <c r="M1494">
        <v>1.6168513533</v>
      </c>
      <c r="N1494">
        <v>1.5795079562000001</v>
      </c>
      <c r="O1494">
        <v>1.6469989639</v>
      </c>
      <c r="P1494">
        <v>1.8443001188999999</v>
      </c>
      <c r="Q1494">
        <v>1.8906641372999999</v>
      </c>
      <c r="R1494">
        <v>2.0234559557999998</v>
      </c>
      <c r="S1494">
        <v>2.1991168739</v>
      </c>
      <c r="T1494">
        <v>2.3722978526</v>
      </c>
      <c r="U1494">
        <v>2.2214427951000002</v>
      </c>
      <c r="V1494">
        <v>1.9495109245</v>
      </c>
      <c r="W1494">
        <v>1.8942197117999999</v>
      </c>
      <c r="X1494">
        <v>1.7981603712000001</v>
      </c>
      <c r="Y1494">
        <v>1.8488044304</v>
      </c>
      <c r="Z1494">
        <v>1.9666921083</v>
      </c>
      <c r="AA1494">
        <v>2.0522014678999998</v>
      </c>
      <c r="AB1494">
        <v>1.9261573754000001</v>
      </c>
    </row>
    <row r="1495" spans="1:28" hidden="1" x14ac:dyDescent="0.25">
      <c r="A1495" t="s">
        <v>194</v>
      </c>
      <c r="B1495" t="s">
        <v>196</v>
      </c>
      <c r="C1495">
        <v>34</v>
      </c>
      <c r="D1495" t="s">
        <v>4</v>
      </c>
      <c r="E1495">
        <v>0.20539455000000001</v>
      </c>
      <c r="F1495">
        <v>0.19726616999999999</v>
      </c>
      <c r="G1495">
        <v>0.20128958999999999</v>
      </c>
      <c r="H1495">
        <v>0.19313469</v>
      </c>
      <c r="I1495">
        <v>0.17905755000000001</v>
      </c>
      <c r="J1495">
        <v>0.18122466000000001</v>
      </c>
      <c r="K1495">
        <v>0.15964083000000001</v>
      </c>
      <c r="L1495">
        <v>0.16149369</v>
      </c>
      <c r="M1495">
        <v>0.16544184000000001</v>
      </c>
      <c r="N1495">
        <v>0.16577702999999999</v>
      </c>
      <c r="O1495">
        <v>0.17174283000000001</v>
      </c>
      <c r="P1495">
        <v>0.18810557999999999</v>
      </c>
      <c r="Q1495">
        <v>0.18922050000000001</v>
      </c>
      <c r="R1495">
        <v>0.19913631000000001</v>
      </c>
      <c r="S1495">
        <v>0.21049461</v>
      </c>
      <c r="T1495">
        <v>0.22594284000000001</v>
      </c>
      <c r="U1495">
        <v>0.20813127000000001</v>
      </c>
      <c r="V1495">
        <v>0.19339722000000001</v>
      </c>
      <c r="W1495">
        <v>0.21619140000000001</v>
      </c>
      <c r="X1495">
        <v>0.22318713000000001</v>
      </c>
      <c r="Y1495">
        <v>0.22878825</v>
      </c>
      <c r="Z1495">
        <v>0.23223462</v>
      </c>
      <c r="AA1495">
        <v>0.23291985000000001</v>
      </c>
      <c r="AB1495">
        <v>0.21262305000000001</v>
      </c>
    </row>
    <row r="1496" spans="1:28" hidden="1" x14ac:dyDescent="0.25">
      <c r="A1496" t="s">
        <v>194</v>
      </c>
      <c r="B1496" t="s">
        <v>197</v>
      </c>
      <c r="C1496">
        <v>34</v>
      </c>
      <c r="D1496" t="s">
        <v>2</v>
      </c>
      <c r="E1496">
        <v>20.90333219</v>
      </c>
      <c r="F1496">
        <v>20.124135070000001</v>
      </c>
      <c r="G1496">
        <v>18.98941258</v>
      </c>
      <c r="H1496">
        <v>18.168404580000001</v>
      </c>
      <c r="I1496">
        <v>18.255589149999999</v>
      </c>
      <c r="J1496">
        <v>17.320109510000002</v>
      </c>
      <c r="K1496">
        <v>14.296779559999999</v>
      </c>
      <c r="L1496">
        <v>13.588240150000001</v>
      </c>
      <c r="M1496">
        <v>13.50862643</v>
      </c>
      <c r="N1496">
        <v>13.832373629999999</v>
      </c>
      <c r="O1496">
        <v>14.50215281</v>
      </c>
      <c r="P1496">
        <v>15.962161890000001</v>
      </c>
      <c r="Q1496">
        <v>17.399878430000001</v>
      </c>
      <c r="R1496">
        <v>19.19780059</v>
      </c>
      <c r="S1496">
        <v>20.211825009999998</v>
      </c>
      <c r="T1496">
        <v>19.975982120000001</v>
      </c>
      <c r="U1496">
        <v>19.049302319999999</v>
      </c>
      <c r="V1496">
        <v>19.67878091</v>
      </c>
      <c r="W1496">
        <v>21.717905210000001</v>
      </c>
      <c r="X1496">
        <v>23.62289015</v>
      </c>
      <c r="Y1496">
        <v>23.882951030000001</v>
      </c>
      <c r="Z1496">
        <v>23.861746830000001</v>
      </c>
      <c r="AA1496">
        <v>23.55954624</v>
      </c>
      <c r="AB1496">
        <v>21.906378149999998</v>
      </c>
    </row>
    <row r="1497" spans="1:28" hidden="1" x14ac:dyDescent="0.25">
      <c r="A1497" t="s">
        <v>194</v>
      </c>
      <c r="B1497" t="s">
        <v>197</v>
      </c>
      <c r="C1497">
        <v>34</v>
      </c>
      <c r="D1497" t="s">
        <v>3</v>
      </c>
      <c r="E1497">
        <v>8.2180595682999993</v>
      </c>
      <c r="F1497">
        <v>7.9174356673000004</v>
      </c>
      <c r="G1497">
        <v>7.4121648196000001</v>
      </c>
      <c r="H1497">
        <v>6.9240864586999997</v>
      </c>
      <c r="I1497">
        <v>6.8694929216</v>
      </c>
      <c r="J1497">
        <v>6.3453582705000002</v>
      </c>
      <c r="K1497">
        <v>5.4071098448999999</v>
      </c>
      <c r="L1497">
        <v>5.3116653294000002</v>
      </c>
      <c r="M1497">
        <v>5.478532478</v>
      </c>
      <c r="N1497">
        <v>5.8892299934999999</v>
      </c>
      <c r="O1497">
        <v>6.1713316839000001</v>
      </c>
      <c r="P1497">
        <v>6.7298840055999998</v>
      </c>
      <c r="Q1497">
        <v>7.0383172331999999</v>
      </c>
      <c r="R1497">
        <v>8.1283752800000002</v>
      </c>
      <c r="S1497">
        <v>8.7322096596000005</v>
      </c>
      <c r="T1497">
        <v>8.6075892252999999</v>
      </c>
      <c r="U1497">
        <v>7.9602626538000001</v>
      </c>
      <c r="V1497">
        <v>7.7384950572999998</v>
      </c>
      <c r="W1497">
        <v>8.2187263407</v>
      </c>
      <c r="X1497">
        <v>8.5048245109000007</v>
      </c>
      <c r="Y1497">
        <v>9.0071566588999996</v>
      </c>
      <c r="Z1497">
        <v>9.2564091362000003</v>
      </c>
      <c r="AA1497">
        <v>9.4287251813000008</v>
      </c>
      <c r="AB1497">
        <v>8.775319756</v>
      </c>
    </row>
    <row r="1498" spans="1:28" hidden="1" x14ac:dyDescent="0.25">
      <c r="A1498" t="s">
        <v>194</v>
      </c>
      <c r="B1498" t="s">
        <v>197</v>
      </c>
      <c r="C1498">
        <v>34</v>
      </c>
      <c r="D1498" t="s">
        <v>4</v>
      </c>
      <c r="E1498">
        <v>0.64649480999999998</v>
      </c>
      <c r="F1498">
        <v>0.62239593000000004</v>
      </c>
      <c r="G1498">
        <v>0.58730141999999996</v>
      </c>
      <c r="H1498">
        <v>0.56190941999999999</v>
      </c>
      <c r="I1498">
        <v>0.56460584999999996</v>
      </c>
      <c r="J1498">
        <v>0.53567348999999997</v>
      </c>
      <c r="K1498">
        <v>0.44216844</v>
      </c>
      <c r="L1498">
        <v>0.42025485000000001</v>
      </c>
      <c r="M1498">
        <v>0.41779256999999997</v>
      </c>
      <c r="N1498">
        <v>0.42780537000000002</v>
      </c>
      <c r="O1498">
        <v>0.44852018999999999</v>
      </c>
      <c r="P1498">
        <v>0.49367510999999997</v>
      </c>
      <c r="Q1498">
        <v>0.53814057000000004</v>
      </c>
      <c r="R1498">
        <v>0.59374640999999995</v>
      </c>
      <c r="S1498">
        <v>0.62510798999999995</v>
      </c>
      <c r="T1498">
        <v>0.61781388000000004</v>
      </c>
      <c r="U1498">
        <v>0.58915368000000001</v>
      </c>
      <c r="V1498">
        <v>0.60862209</v>
      </c>
      <c r="W1498">
        <v>0.67168779000000001</v>
      </c>
      <c r="X1498">
        <v>0.73060484999999997</v>
      </c>
      <c r="Y1498">
        <v>0.73864797000000004</v>
      </c>
      <c r="Z1498">
        <v>0.73799216999999995</v>
      </c>
      <c r="AA1498">
        <v>0.72864576000000003</v>
      </c>
      <c r="AB1498">
        <v>0.67751684999999995</v>
      </c>
    </row>
    <row r="1499" spans="1:28" hidden="1" x14ac:dyDescent="0.25">
      <c r="A1499" t="s">
        <v>194</v>
      </c>
      <c r="B1499" t="s">
        <v>198</v>
      </c>
      <c r="C1499">
        <v>110</v>
      </c>
      <c r="D1499" t="s">
        <v>2</v>
      </c>
      <c r="E1499">
        <v>37.042903865</v>
      </c>
      <c r="F1499">
        <v>36.841316720000002</v>
      </c>
      <c r="G1499">
        <v>36.632038694999999</v>
      </c>
      <c r="H1499">
        <v>35.823285730000002</v>
      </c>
      <c r="I1499">
        <v>34.962732600000002</v>
      </c>
      <c r="J1499">
        <v>34.32452352</v>
      </c>
      <c r="K1499">
        <v>30.04442272</v>
      </c>
      <c r="L1499">
        <v>27.503282290000001</v>
      </c>
      <c r="M1499">
        <v>27.904427479999999</v>
      </c>
      <c r="N1499">
        <v>28.463716389999998</v>
      </c>
      <c r="O1499">
        <v>29.427884625000001</v>
      </c>
      <c r="P1499">
        <v>31.175462759999998</v>
      </c>
      <c r="Q1499">
        <v>33.537822734999999</v>
      </c>
      <c r="R1499">
        <v>33.784988785000003</v>
      </c>
      <c r="S1499">
        <v>36.458210819999998</v>
      </c>
      <c r="T1499">
        <v>35.929131859999998</v>
      </c>
      <c r="U1499">
        <v>35.803944270000002</v>
      </c>
      <c r="V1499">
        <v>37.044780289999999</v>
      </c>
      <c r="W1499">
        <v>39.176187315</v>
      </c>
      <c r="X1499">
        <v>41.346909629999999</v>
      </c>
      <c r="Y1499">
        <v>41.534763904999998</v>
      </c>
      <c r="Z1499">
        <v>40.382424225000001</v>
      </c>
      <c r="AA1499">
        <v>39.440515019999999</v>
      </c>
      <c r="AB1499">
        <v>37.228724114999999</v>
      </c>
    </row>
    <row r="1500" spans="1:28" hidden="1" x14ac:dyDescent="0.25">
      <c r="A1500" t="s">
        <v>194</v>
      </c>
      <c r="B1500" t="s">
        <v>198</v>
      </c>
      <c r="C1500">
        <v>110</v>
      </c>
      <c r="D1500" t="s">
        <v>3</v>
      </c>
      <c r="E1500">
        <v>13.501225614100001</v>
      </c>
      <c r="F1500">
        <v>13.374056482</v>
      </c>
      <c r="G1500">
        <v>13.188439627999999</v>
      </c>
      <c r="H1500">
        <v>13.3485142549</v>
      </c>
      <c r="I1500">
        <v>13.247911004400001</v>
      </c>
      <c r="J1500">
        <v>13.181490971700001</v>
      </c>
      <c r="K1500">
        <v>12.031529986300001</v>
      </c>
      <c r="L1500">
        <v>11.3584848717</v>
      </c>
      <c r="M1500">
        <v>12.193031006</v>
      </c>
      <c r="N1500">
        <v>12.7327850505</v>
      </c>
      <c r="O1500">
        <v>13.044463048200001</v>
      </c>
      <c r="P1500">
        <v>13.4296744038</v>
      </c>
      <c r="Q1500">
        <v>14.3415923002</v>
      </c>
      <c r="R1500">
        <v>14.2718911875</v>
      </c>
      <c r="S1500">
        <v>15.537726599799999</v>
      </c>
      <c r="T1500">
        <v>15.160232928899999</v>
      </c>
      <c r="U1500">
        <v>15.0737564536</v>
      </c>
      <c r="V1500">
        <v>15.672483571500001</v>
      </c>
      <c r="W1500">
        <v>13.856035455700001</v>
      </c>
      <c r="X1500">
        <v>13.9563504445</v>
      </c>
      <c r="Y1500">
        <v>13.682743714000001</v>
      </c>
      <c r="Z1500">
        <v>13.1825636605</v>
      </c>
      <c r="AA1500">
        <v>13.910895779700001</v>
      </c>
      <c r="AB1500">
        <v>13.936471278899999</v>
      </c>
    </row>
    <row r="1501" spans="1:28" hidden="1" x14ac:dyDescent="0.25">
      <c r="A1501" t="s">
        <v>194</v>
      </c>
      <c r="B1501" t="s">
        <v>198</v>
      </c>
      <c r="C1501">
        <v>110</v>
      </c>
      <c r="D1501" t="s">
        <v>4</v>
      </c>
      <c r="E1501">
        <v>0.56410513500000004</v>
      </c>
      <c r="F1501">
        <v>0.56103528000000003</v>
      </c>
      <c r="G1501">
        <v>0.55784830500000004</v>
      </c>
      <c r="H1501">
        <v>0.54553227000000004</v>
      </c>
      <c r="I1501">
        <v>0.5324274</v>
      </c>
      <c r="J1501">
        <v>0.52270848000000003</v>
      </c>
      <c r="K1501">
        <v>0.45752927999999998</v>
      </c>
      <c r="L1501">
        <v>0.41883171000000002</v>
      </c>
      <c r="M1501">
        <v>0.42494051999999999</v>
      </c>
      <c r="N1501">
        <v>0.43345760999999999</v>
      </c>
      <c r="O1501">
        <v>0.44814037499999998</v>
      </c>
      <c r="P1501">
        <v>0.47475324000000002</v>
      </c>
      <c r="Q1501">
        <v>0.51072826500000001</v>
      </c>
      <c r="R1501">
        <v>0.51449221499999997</v>
      </c>
      <c r="S1501">
        <v>0.55520117999999996</v>
      </c>
      <c r="T1501">
        <v>0.54714414</v>
      </c>
      <c r="U1501">
        <v>0.54523772999999998</v>
      </c>
      <c r="V1501">
        <v>0.56413371000000001</v>
      </c>
      <c r="W1501">
        <v>0.59659168500000004</v>
      </c>
      <c r="X1501">
        <v>0.62964836999999996</v>
      </c>
      <c r="Y1501">
        <v>0.63250909499999997</v>
      </c>
      <c r="Z1501">
        <v>0.61496077500000002</v>
      </c>
      <c r="AA1501">
        <v>0.60061697999999997</v>
      </c>
      <c r="AB1501">
        <v>0.566934885</v>
      </c>
    </row>
    <row r="1502" spans="1:28" hidden="1" x14ac:dyDescent="0.25">
      <c r="A1502" t="s">
        <v>194</v>
      </c>
      <c r="B1502" t="s">
        <v>199</v>
      </c>
      <c r="C1502">
        <v>110</v>
      </c>
      <c r="D1502" t="s">
        <v>2</v>
      </c>
      <c r="E1502">
        <v>14.2544275</v>
      </c>
      <c r="F1502">
        <v>14.004709314999999</v>
      </c>
      <c r="G1502">
        <v>13.990601160000001</v>
      </c>
      <c r="H1502">
        <v>13.60864771</v>
      </c>
      <c r="I1502">
        <v>13.138411665</v>
      </c>
      <c r="J1502">
        <v>12.226425774999999</v>
      </c>
      <c r="K1502">
        <v>10.368735474999999</v>
      </c>
      <c r="L1502">
        <v>10.133429810000001</v>
      </c>
      <c r="M1502">
        <v>9.9624702549999995</v>
      </c>
      <c r="N1502">
        <v>10.240244195000001</v>
      </c>
      <c r="O1502">
        <v>10.78803323</v>
      </c>
      <c r="P1502">
        <v>11.484927624999999</v>
      </c>
      <c r="Q1502">
        <v>12.04665441</v>
      </c>
      <c r="R1502">
        <v>13.057040815000001</v>
      </c>
      <c r="S1502">
        <v>13.209410464999999</v>
      </c>
      <c r="T1502">
        <v>13.299997960000001</v>
      </c>
      <c r="U1502">
        <v>13.082888199999999</v>
      </c>
      <c r="V1502">
        <v>12.567221</v>
      </c>
      <c r="W1502">
        <v>14.882318704999999</v>
      </c>
      <c r="X1502">
        <v>15.785514455</v>
      </c>
      <c r="Y1502">
        <v>16.224114270000001</v>
      </c>
      <c r="Z1502">
        <v>15.75239777</v>
      </c>
      <c r="AA1502">
        <v>15.415353424999999</v>
      </c>
      <c r="AB1502">
        <v>14.673643500000001</v>
      </c>
    </row>
    <row r="1503" spans="1:28" hidden="1" x14ac:dyDescent="0.25">
      <c r="A1503" t="s">
        <v>194</v>
      </c>
      <c r="B1503" t="s">
        <v>199</v>
      </c>
      <c r="C1503">
        <v>110</v>
      </c>
      <c r="D1503" t="s">
        <v>3</v>
      </c>
      <c r="E1503">
        <v>6.5727505996</v>
      </c>
      <c r="F1503">
        <v>6.4478678905000004</v>
      </c>
      <c r="G1503">
        <v>6.3738987116999999</v>
      </c>
      <c r="H1503">
        <v>6.1589943243</v>
      </c>
      <c r="I1503">
        <v>5.9338835852000003</v>
      </c>
      <c r="J1503">
        <v>5.5094667559000001</v>
      </c>
      <c r="K1503">
        <v>4.8683552613999996</v>
      </c>
      <c r="L1503">
        <v>4.9562467101000003</v>
      </c>
      <c r="M1503">
        <v>5.1394623158000003</v>
      </c>
      <c r="N1503">
        <v>5.4643405710000001</v>
      </c>
      <c r="O1503">
        <v>5.7481088465000001</v>
      </c>
      <c r="P1503">
        <v>6.0864744233000003</v>
      </c>
      <c r="Q1503">
        <v>6.1813542428000003</v>
      </c>
      <c r="R1503">
        <v>6.5528517943000004</v>
      </c>
      <c r="S1503">
        <v>6.6470072902000004</v>
      </c>
      <c r="T1503">
        <v>6.7151952905999996</v>
      </c>
      <c r="U1503">
        <v>6.7463401181</v>
      </c>
      <c r="V1503">
        <v>6.4793890503</v>
      </c>
      <c r="W1503">
        <v>6.7879515967000001</v>
      </c>
      <c r="X1503">
        <v>6.8411264407000001</v>
      </c>
      <c r="Y1503">
        <v>6.8570386371999996</v>
      </c>
      <c r="Z1503">
        <v>6.7285254922000002</v>
      </c>
      <c r="AA1503">
        <v>6.9134680600999996</v>
      </c>
      <c r="AB1503">
        <v>6.7239207512999997</v>
      </c>
    </row>
    <row r="1504" spans="1:28" hidden="1" x14ac:dyDescent="0.25">
      <c r="A1504" t="s">
        <v>194</v>
      </c>
      <c r="B1504" t="s">
        <v>199</v>
      </c>
      <c r="C1504">
        <v>110</v>
      </c>
      <c r="D1504" t="s">
        <v>4</v>
      </c>
      <c r="E1504">
        <v>0.2170725</v>
      </c>
      <c r="F1504">
        <v>0.21326968499999999</v>
      </c>
      <c r="G1504">
        <v>0.21305484</v>
      </c>
      <c r="H1504">
        <v>0.20723828999999999</v>
      </c>
      <c r="I1504">
        <v>0.200077335</v>
      </c>
      <c r="J1504">
        <v>0.18618922500000001</v>
      </c>
      <c r="K1504">
        <v>0.15789952500000001</v>
      </c>
      <c r="L1504">
        <v>0.15431618999999999</v>
      </c>
      <c r="M1504">
        <v>0.15171274500000001</v>
      </c>
      <c r="N1504">
        <v>0.15594280499999999</v>
      </c>
      <c r="O1504">
        <v>0.16428477</v>
      </c>
      <c r="P1504">
        <v>0.17489737499999999</v>
      </c>
      <c r="Q1504">
        <v>0.18345159</v>
      </c>
      <c r="R1504">
        <v>0.198838185</v>
      </c>
      <c r="S1504">
        <v>0.201158535</v>
      </c>
      <c r="T1504">
        <v>0.20253804</v>
      </c>
      <c r="U1504">
        <v>0.19923179999999999</v>
      </c>
      <c r="V1504">
        <v>0.19137899999999999</v>
      </c>
      <c r="W1504">
        <v>0.22663429500000001</v>
      </c>
      <c r="X1504">
        <v>0.24038854500000001</v>
      </c>
      <c r="Y1504">
        <v>0.24706773000000001</v>
      </c>
      <c r="Z1504">
        <v>0.23988423</v>
      </c>
      <c r="AA1504">
        <v>0.23475157499999999</v>
      </c>
      <c r="AB1504">
        <v>0.2234565</v>
      </c>
    </row>
    <row r="1505" spans="1:28" hidden="1" x14ac:dyDescent="0.25">
      <c r="A1505" t="s">
        <v>194</v>
      </c>
      <c r="B1505" t="s">
        <v>200</v>
      </c>
      <c r="C1505">
        <v>34</v>
      </c>
      <c r="D1505" t="s">
        <v>2</v>
      </c>
      <c r="E1505">
        <v>31.200909419999999</v>
      </c>
      <c r="F1505">
        <v>29.483761099999999</v>
      </c>
      <c r="G1505">
        <v>28.538463119999999</v>
      </c>
      <c r="H1505">
        <v>26.202272440000002</v>
      </c>
      <c r="I1505">
        <v>25.543441649999998</v>
      </c>
      <c r="J1505">
        <v>23.683211539999999</v>
      </c>
      <c r="K1505">
        <v>22.251499299999999</v>
      </c>
      <c r="L1505">
        <v>25.181857659999999</v>
      </c>
      <c r="M1505">
        <v>29.010763879999999</v>
      </c>
      <c r="N1505">
        <v>30.869835810000001</v>
      </c>
      <c r="O1505">
        <v>34.88554851</v>
      </c>
      <c r="P1505">
        <v>36.775591570000003</v>
      </c>
      <c r="Q1505">
        <v>37.179601419999997</v>
      </c>
      <c r="R1505">
        <v>39.387024599999997</v>
      </c>
      <c r="S1505">
        <v>44.38767627</v>
      </c>
      <c r="T1505">
        <v>44.377658109999999</v>
      </c>
      <c r="U1505">
        <v>43.10747027</v>
      </c>
      <c r="V1505">
        <v>41.093924870000002</v>
      </c>
      <c r="W1505">
        <v>38.963770920000002</v>
      </c>
      <c r="X1505">
        <v>38.892249909999997</v>
      </c>
      <c r="Y1505">
        <v>39.062416040000002</v>
      </c>
      <c r="Z1505">
        <v>38.546630180000001</v>
      </c>
      <c r="AA1505">
        <v>37.181565669999998</v>
      </c>
      <c r="AB1505">
        <v>33.624081940000003</v>
      </c>
    </row>
    <row r="1506" spans="1:28" hidden="1" x14ac:dyDescent="0.25">
      <c r="A1506" t="s">
        <v>194</v>
      </c>
      <c r="B1506" t="s">
        <v>200</v>
      </c>
      <c r="C1506">
        <v>34</v>
      </c>
      <c r="D1506" t="s">
        <v>3</v>
      </c>
      <c r="E1506">
        <v>10.363344897199999</v>
      </c>
      <c r="F1506">
        <v>9.9129535109999996</v>
      </c>
      <c r="G1506">
        <v>9.6548028866000006</v>
      </c>
      <c r="H1506">
        <v>8.8990295450999994</v>
      </c>
      <c r="I1506">
        <v>8.7194901095000006</v>
      </c>
      <c r="J1506">
        <v>8.0853015576999994</v>
      </c>
      <c r="K1506">
        <v>7.3656975018999997</v>
      </c>
      <c r="L1506">
        <v>7.9918829594999998</v>
      </c>
      <c r="M1506">
        <v>9.4941353548999992</v>
      </c>
      <c r="N1506">
        <v>10.270766654899999</v>
      </c>
      <c r="O1506">
        <v>11.805714887800001</v>
      </c>
      <c r="P1506">
        <v>12.628525490099999</v>
      </c>
      <c r="Q1506">
        <v>12.864270293900001</v>
      </c>
      <c r="R1506">
        <v>13.591596497999999</v>
      </c>
      <c r="S1506">
        <v>15.269955879899999</v>
      </c>
      <c r="T1506">
        <v>15.8687807392</v>
      </c>
      <c r="U1506">
        <v>15.447768805100001</v>
      </c>
      <c r="V1506">
        <v>14.5523285678</v>
      </c>
      <c r="W1506">
        <v>13.3329358916</v>
      </c>
      <c r="X1506">
        <v>13.1940594762</v>
      </c>
      <c r="Y1506">
        <v>12.8848806336</v>
      </c>
      <c r="Z1506">
        <v>12.499236949</v>
      </c>
      <c r="AA1506">
        <v>12.0085708741</v>
      </c>
      <c r="AB1506">
        <v>11.2438201339</v>
      </c>
    </row>
    <row r="1507" spans="1:28" hidden="1" x14ac:dyDescent="0.25">
      <c r="A1507" t="s">
        <v>194</v>
      </c>
      <c r="B1507" t="s">
        <v>200</v>
      </c>
      <c r="C1507">
        <v>34</v>
      </c>
      <c r="D1507" t="s">
        <v>4</v>
      </c>
      <c r="E1507">
        <v>0.96497657999999997</v>
      </c>
      <c r="F1507">
        <v>0.91186889999999998</v>
      </c>
      <c r="G1507">
        <v>0.88263287999999995</v>
      </c>
      <c r="H1507">
        <v>0.81037956</v>
      </c>
      <c r="I1507">
        <v>0.79000334999999999</v>
      </c>
      <c r="J1507">
        <v>0.73247046000000005</v>
      </c>
      <c r="K1507">
        <v>0.68819070000000004</v>
      </c>
      <c r="L1507">
        <v>0.77882034</v>
      </c>
      <c r="M1507">
        <v>0.89724011999999997</v>
      </c>
      <c r="N1507">
        <v>0.95473719000000001</v>
      </c>
      <c r="O1507">
        <v>1.07893449</v>
      </c>
      <c r="P1507">
        <v>1.13738943</v>
      </c>
      <c r="Q1507">
        <v>1.1498845799999999</v>
      </c>
      <c r="R1507">
        <v>1.2181554000000001</v>
      </c>
      <c r="S1507">
        <v>1.37281473</v>
      </c>
      <c r="T1507">
        <v>1.3725048900000001</v>
      </c>
      <c r="U1507">
        <v>1.3332207300000001</v>
      </c>
      <c r="V1507">
        <v>1.27094613</v>
      </c>
      <c r="W1507">
        <v>1.20506508</v>
      </c>
      <c r="X1507">
        <v>1.2028530900000001</v>
      </c>
      <c r="Y1507">
        <v>1.20811596</v>
      </c>
      <c r="Z1507">
        <v>1.19216382</v>
      </c>
      <c r="AA1507">
        <v>1.14994533</v>
      </c>
      <c r="AB1507">
        <v>1.03992006</v>
      </c>
    </row>
    <row r="1508" spans="1:28" hidden="1" x14ac:dyDescent="0.25">
      <c r="A1508" t="s">
        <v>194</v>
      </c>
      <c r="B1508" t="s">
        <v>201</v>
      </c>
      <c r="C1508">
        <v>110</v>
      </c>
      <c r="D1508" t="s">
        <v>2</v>
      </c>
      <c r="E1508">
        <v>6.80299312</v>
      </c>
      <c r="F1508">
        <v>6.6184779950000001</v>
      </c>
      <c r="G1508">
        <v>6.2568785849999999</v>
      </c>
      <c r="H1508">
        <v>5.99711734</v>
      </c>
      <c r="I1508">
        <v>5.3727022</v>
      </c>
      <c r="J1508">
        <v>5.0706952899999997</v>
      </c>
      <c r="K1508">
        <v>4.2818511450000001</v>
      </c>
      <c r="L1508">
        <v>4.1200067799999998</v>
      </c>
      <c r="M1508">
        <v>4.4580912850000001</v>
      </c>
      <c r="N1508">
        <v>4.6878129849999999</v>
      </c>
      <c r="O1508">
        <v>4.7909021000000003</v>
      </c>
      <c r="P1508">
        <v>5.4257385400000002</v>
      </c>
      <c r="Q1508">
        <v>5.9776064599999996</v>
      </c>
      <c r="R1508">
        <v>6.6166114199999999</v>
      </c>
      <c r="S1508">
        <v>6.7168519150000003</v>
      </c>
      <c r="T1508">
        <v>6.5812262800000001</v>
      </c>
      <c r="U1508">
        <v>6.4577486500000001</v>
      </c>
      <c r="V1508">
        <v>6.2259889849999999</v>
      </c>
      <c r="W1508">
        <v>6.9702766550000002</v>
      </c>
      <c r="X1508">
        <v>7.425516075</v>
      </c>
      <c r="Y1508">
        <v>7.5957762799999999</v>
      </c>
      <c r="Z1508">
        <v>7.69265694</v>
      </c>
      <c r="AA1508">
        <v>7.5050932399999999</v>
      </c>
      <c r="AB1508">
        <v>6.9457018899999996</v>
      </c>
    </row>
    <row r="1509" spans="1:28" hidden="1" x14ac:dyDescent="0.25">
      <c r="A1509" t="s">
        <v>194</v>
      </c>
      <c r="B1509" t="s">
        <v>201</v>
      </c>
      <c r="C1509">
        <v>110</v>
      </c>
      <c r="D1509" t="s">
        <v>3</v>
      </c>
      <c r="E1509">
        <v>2.2634378530000001</v>
      </c>
      <c r="F1509">
        <v>2.1957540547000001</v>
      </c>
      <c r="G1509">
        <v>2.0671744670000001</v>
      </c>
      <c r="H1509">
        <v>1.9995299567</v>
      </c>
      <c r="I1509">
        <v>1.8254661302999999</v>
      </c>
      <c r="J1509">
        <v>1.7293509689</v>
      </c>
      <c r="K1509">
        <v>1.4481396547000001</v>
      </c>
      <c r="L1509">
        <v>1.4217237856</v>
      </c>
      <c r="M1509">
        <v>1.5720928826</v>
      </c>
      <c r="N1509">
        <v>1.6805273569000001</v>
      </c>
      <c r="O1509">
        <v>1.7230851698</v>
      </c>
      <c r="P1509">
        <v>1.9224793553999999</v>
      </c>
      <c r="Q1509">
        <v>2.0827714770000001</v>
      </c>
      <c r="R1509">
        <v>2.2775676029</v>
      </c>
      <c r="S1509">
        <v>2.2217536486</v>
      </c>
      <c r="T1509">
        <v>2.1778221731</v>
      </c>
      <c r="U1509">
        <v>2.2213301423999998</v>
      </c>
      <c r="V1509">
        <v>2.2104321088000001</v>
      </c>
      <c r="W1509">
        <v>2.2441774307000002</v>
      </c>
      <c r="X1509">
        <v>2.1864189639</v>
      </c>
      <c r="Y1509">
        <v>2.1891172386000002</v>
      </c>
      <c r="Z1509">
        <v>2.2284483487000002</v>
      </c>
      <c r="AA1509">
        <v>2.2625051314000002</v>
      </c>
      <c r="AB1509">
        <v>2.1853193925999999</v>
      </c>
    </row>
    <row r="1510" spans="1:28" hidden="1" x14ac:dyDescent="0.25">
      <c r="A1510" t="s">
        <v>194</v>
      </c>
      <c r="B1510" t="s">
        <v>201</v>
      </c>
      <c r="C1510">
        <v>110</v>
      </c>
      <c r="D1510" t="s">
        <v>4</v>
      </c>
      <c r="E1510">
        <v>0.10359888</v>
      </c>
      <c r="F1510">
        <v>0.100789005</v>
      </c>
      <c r="G1510">
        <v>9.5282414999999995E-2</v>
      </c>
      <c r="H1510">
        <v>9.1326660000000004E-2</v>
      </c>
      <c r="I1510">
        <v>8.1817799999999996E-2</v>
      </c>
      <c r="J1510">
        <v>7.7218709999999996E-2</v>
      </c>
      <c r="K1510">
        <v>6.5205854999999993E-2</v>
      </c>
      <c r="L1510">
        <v>6.274122E-2</v>
      </c>
      <c r="M1510">
        <v>6.7889715000000003E-2</v>
      </c>
      <c r="N1510">
        <v>7.1388014999999999E-2</v>
      </c>
      <c r="O1510">
        <v>7.2957900000000006E-2</v>
      </c>
      <c r="P1510">
        <v>8.2625459999999998E-2</v>
      </c>
      <c r="Q1510">
        <v>9.1029540000000006E-2</v>
      </c>
      <c r="R1510">
        <v>0.10076058</v>
      </c>
      <c r="S1510">
        <v>0.102287085</v>
      </c>
      <c r="T1510">
        <v>0.10022172</v>
      </c>
      <c r="U1510">
        <v>9.8341349999999994E-2</v>
      </c>
      <c r="V1510">
        <v>9.4812014999999999E-2</v>
      </c>
      <c r="W1510">
        <v>0.106146345</v>
      </c>
      <c r="X1510">
        <v>0.113078925</v>
      </c>
      <c r="Y1510">
        <v>0.11567172000000001</v>
      </c>
      <c r="Z1510">
        <v>0.11714706</v>
      </c>
      <c r="AA1510">
        <v>0.11429076000000001</v>
      </c>
      <c r="AB1510">
        <v>0.10577211</v>
      </c>
    </row>
    <row r="1511" spans="1:28" hidden="1" x14ac:dyDescent="0.25">
      <c r="A1511" t="s">
        <v>194</v>
      </c>
      <c r="B1511" t="s">
        <v>202</v>
      </c>
      <c r="C1511">
        <v>110</v>
      </c>
      <c r="D1511" t="s">
        <v>2</v>
      </c>
      <c r="E1511">
        <v>6.9101266450000001</v>
      </c>
      <c r="F1511">
        <v>6.7137659100000002</v>
      </c>
      <c r="G1511">
        <v>6.3278301050000003</v>
      </c>
      <c r="H1511">
        <v>6.0527865849999998</v>
      </c>
      <c r="I1511">
        <v>5.886359015</v>
      </c>
      <c r="J1511">
        <v>5.0753858599999999</v>
      </c>
      <c r="K1511">
        <v>4.257348285</v>
      </c>
      <c r="L1511">
        <v>4.6400867799999999</v>
      </c>
      <c r="M1511">
        <v>4.4415491950000003</v>
      </c>
      <c r="N1511">
        <v>4.6835223250000002</v>
      </c>
      <c r="O1511">
        <v>4.7954370400000004</v>
      </c>
      <c r="P1511">
        <v>5.3355942949999999</v>
      </c>
      <c r="Q1511">
        <v>6.0429218100000002</v>
      </c>
      <c r="R1511">
        <v>6.7116934700000002</v>
      </c>
      <c r="S1511">
        <v>6.8155410349999999</v>
      </c>
      <c r="T1511">
        <v>6.6769101649999998</v>
      </c>
      <c r="U1511">
        <v>6.5341019100000004</v>
      </c>
      <c r="V1511">
        <v>6.2778482499999999</v>
      </c>
      <c r="W1511">
        <v>7.0525674949999999</v>
      </c>
      <c r="X1511">
        <v>7.5356400600000004</v>
      </c>
      <c r="Y1511">
        <v>7.7280736000000001</v>
      </c>
      <c r="Z1511">
        <v>7.8311183900000003</v>
      </c>
      <c r="AA1511">
        <v>7.6380386900000001</v>
      </c>
      <c r="AB1511">
        <v>7.0578717199999996</v>
      </c>
    </row>
    <row r="1512" spans="1:28" hidden="1" x14ac:dyDescent="0.25">
      <c r="A1512" t="s">
        <v>194</v>
      </c>
      <c r="B1512" t="s">
        <v>202</v>
      </c>
      <c r="C1512">
        <v>110</v>
      </c>
      <c r="D1512" t="s">
        <v>3</v>
      </c>
      <c r="E1512">
        <v>1.3769114897000001</v>
      </c>
      <c r="F1512">
        <v>1.3092966480999999</v>
      </c>
      <c r="G1512">
        <v>1.2084012897</v>
      </c>
      <c r="H1512">
        <v>1.1461414799</v>
      </c>
      <c r="I1512">
        <v>1.1331696484</v>
      </c>
      <c r="J1512">
        <v>0.96585619349999996</v>
      </c>
      <c r="K1512">
        <v>0.75817839369999995</v>
      </c>
      <c r="L1512">
        <v>0.7904041544</v>
      </c>
      <c r="M1512">
        <v>0.77115387479999997</v>
      </c>
      <c r="N1512">
        <v>0.83462548660000002</v>
      </c>
      <c r="O1512">
        <v>0.87906885459999995</v>
      </c>
      <c r="P1512">
        <v>0.98449109859999995</v>
      </c>
      <c r="Q1512">
        <v>1.1283612966000001</v>
      </c>
      <c r="R1512">
        <v>1.2604086301999999</v>
      </c>
      <c r="S1512">
        <v>1.2791455457000001</v>
      </c>
      <c r="T1512">
        <v>1.2354026271</v>
      </c>
      <c r="U1512">
        <v>1.2423659162</v>
      </c>
      <c r="V1512">
        <v>1.2300608884999999</v>
      </c>
      <c r="W1512">
        <v>1.2052361398</v>
      </c>
      <c r="X1512">
        <v>1.1705259415</v>
      </c>
      <c r="Y1512">
        <v>1.2045355956999999</v>
      </c>
      <c r="Z1512">
        <v>1.2585913671</v>
      </c>
      <c r="AA1512">
        <v>1.3118077194</v>
      </c>
      <c r="AB1512">
        <v>1.2852822815</v>
      </c>
    </row>
    <row r="1513" spans="1:28" hidden="1" x14ac:dyDescent="0.25">
      <c r="A1513" t="s">
        <v>194</v>
      </c>
      <c r="B1513" t="s">
        <v>202</v>
      </c>
      <c r="C1513">
        <v>110</v>
      </c>
      <c r="D1513" t="s">
        <v>4</v>
      </c>
      <c r="E1513">
        <v>0.105230355</v>
      </c>
      <c r="F1513">
        <v>0.10224009000000001</v>
      </c>
      <c r="G1513">
        <v>9.6362895000000004E-2</v>
      </c>
      <c r="H1513">
        <v>9.2174414999999996E-2</v>
      </c>
      <c r="I1513">
        <v>8.9639985000000005E-2</v>
      </c>
      <c r="J1513">
        <v>7.7290139999999993E-2</v>
      </c>
      <c r="K1513">
        <v>6.4832714999999999E-2</v>
      </c>
      <c r="L1513">
        <v>7.0661219999999997E-2</v>
      </c>
      <c r="M1513">
        <v>6.7637804999999995E-2</v>
      </c>
      <c r="N1513">
        <v>7.1322675000000002E-2</v>
      </c>
      <c r="O1513">
        <v>7.3026960000000002E-2</v>
      </c>
      <c r="P1513">
        <v>8.1252704999999995E-2</v>
      </c>
      <c r="Q1513">
        <v>9.2024190000000006E-2</v>
      </c>
      <c r="R1513">
        <v>0.10220853000000001</v>
      </c>
      <c r="S1513">
        <v>0.103789965</v>
      </c>
      <c r="T1513">
        <v>0.101678835</v>
      </c>
      <c r="U1513">
        <v>9.9504090000000003E-2</v>
      </c>
      <c r="V1513">
        <v>9.5601749999999999E-2</v>
      </c>
      <c r="W1513">
        <v>0.10739950500000001</v>
      </c>
      <c r="X1513">
        <v>0.11475594</v>
      </c>
      <c r="Y1513">
        <v>0.1176864</v>
      </c>
      <c r="Z1513">
        <v>0.11925561</v>
      </c>
      <c r="AA1513">
        <v>0.11631531000000001</v>
      </c>
      <c r="AB1513">
        <v>0.10748028</v>
      </c>
    </row>
    <row r="1514" spans="1:28" hidden="1" x14ac:dyDescent="0.25">
      <c r="A1514" t="s">
        <v>194</v>
      </c>
      <c r="B1514" t="s">
        <v>203</v>
      </c>
      <c r="C1514">
        <v>110</v>
      </c>
      <c r="D1514" t="s">
        <v>2</v>
      </c>
      <c r="E1514">
        <v>28.226924360000002</v>
      </c>
      <c r="F1514">
        <v>27.57109166</v>
      </c>
      <c r="G1514">
        <v>27.082481425000001</v>
      </c>
      <c r="H1514">
        <v>27.842311410000001</v>
      </c>
      <c r="I1514">
        <v>24.468070784999998</v>
      </c>
      <c r="J1514">
        <v>24.14795268</v>
      </c>
      <c r="K1514">
        <v>18.928353954999999</v>
      </c>
      <c r="L1514">
        <v>20.218102120000001</v>
      </c>
      <c r="M1514">
        <v>19.9394141</v>
      </c>
      <c r="N1514">
        <v>20.649979309999999</v>
      </c>
      <c r="O1514">
        <v>21.932038564999999</v>
      </c>
      <c r="P1514">
        <v>23.442505529999998</v>
      </c>
      <c r="Q1514">
        <v>27.453099495</v>
      </c>
      <c r="R1514">
        <v>28.505122835000002</v>
      </c>
      <c r="S1514">
        <v>29.947709509999999</v>
      </c>
      <c r="T1514">
        <v>29.620004935000001</v>
      </c>
      <c r="U1514">
        <v>29.313891559999998</v>
      </c>
      <c r="V1514">
        <v>28.413099209999999</v>
      </c>
      <c r="W1514">
        <v>32.016948259999999</v>
      </c>
      <c r="X1514">
        <v>35.343568075</v>
      </c>
      <c r="Y1514">
        <v>36.717222479999997</v>
      </c>
      <c r="Z1514">
        <v>34.625006634999998</v>
      </c>
      <c r="AA1514">
        <v>33.907447925</v>
      </c>
      <c r="AB1514">
        <v>32.310943180000002</v>
      </c>
    </row>
    <row r="1515" spans="1:28" hidden="1" x14ac:dyDescent="0.25">
      <c r="A1515" t="s">
        <v>194</v>
      </c>
      <c r="B1515" t="s">
        <v>203</v>
      </c>
      <c r="C1515">
        <v>110</v>
      </c>
      <c r="D1515" t="s">
        <v>3</v>
      </c>
      <c r="E1515">
        <v>12.284362293999999</v>
      </c>
      <c r="F1515">
        <v>11.9808573812</v>
      </c>
      <c r="G1515">
        <v>11.8596385365</v>
      </c>
      <c r="H1515">
        <v>12.170029552000001</v>
      </c>
      <c r="I1515">
        <v>10.6134721081</v>
      </c>
      <c r="J1515">
        <v>10.5214249453</v>
      </c>
      <c r="K1515">
        <v>8.4550512538000007</v>
      </c>
      <c r="L1515">
        <v>9.5572005686000008</v>
      </c>
      <c r="M1515">
        <v>9.4163281714</v>
      </c>
      <c r="N1515">
        <v>9.4786517706000009</v>
      </c>
      <c r="O1515">
        <v>10.0206197779</v>
      </c>
      <c r="P1515">
        <v>10.565711089500001</v>
      </c>
      <c r="Q1515">
        <v>12.161806094399999</v>
      </c>
      <c r="R1515">
        <v>12.5409894974</v>
      </c>
      <c r="S1515">
        <v>12.9429295267</v>
      </c>
      <c r="T1515">
        <v>12.8535233979</v>
      </c>
      <c r="U1515">
        <v>12.9133141129</v>
      </c>
      <c r="V1515">
        <v>12.934629922299999</v>
      </c>
      <c r="W1515">
        <v>14.289313117700001</v>
      </c>
      <c r="X1515">
        <v>14.907800108</v>
      </c>
      <c r="Y1515">
        <v>15.5727636599</v>
      </c>
      <c r="Z1515">
        <v>14.4341558536</v>
      </c>
      <c r="AA1515">
        <v>14.281487329500001</v>
      </c>
      <c r="AB1515">
        <v>13.7302899123</v>
      </c>
    </row>
    <row r="1516" spans="1:28" hidden="1" x14ac:dyDescent="0.25">
      <c r="A1516" t="s">
        <v>194</v>
      </c>
      <c r="B1516" t="s">
        <v>203</v>
      </c>
      <c r="C1516">
        <v>110</v>
      </c>
      <c r="D1516" t="s">
        <v>4</v>
      </c>
      <c r="E1516">
        <v>0.42985163999999998</v>
      </c>
      <c r="F1516">
        <v>0.41986434</v>
      </c>
      <c r="G1516">
        <v>0.41242357499999999</v>
      </c>
      <c r="H1516">
        <v>0.42399459</v>
      </c>
      <c r="I1516">
        <v>0.37261021500000002</v>
      </c>
      <c r="J1516">
        <v>0.36773531999999998</v>
      </c>
      <c r="K1516">
        <v>0.28824904499999998</v>
      </c>
      <c r="L1516">
        <v>0.30788988</v>
      </c>
      <c r="M1516">
        <v>0.30364590000000002</v>
      </c>
      <c r="N1516">
        <v>0.31446668999999999</v>
      </c>
      <c r="O1516">
        <v>0.33399043499999997</v>
      </c>
      <c r="P1516">
        <v>0.35699247000000001</v>
      </c>
      <c r="Q1516">
        <v>0.41806750500000001</v>
      </c>
      <c r="R1516">
        <v>0.43408816500000003</v>
      </c>
      <c r="S1516">
        <v>0.45605648999999998</v>
      </c>
      <c r="T1516">
        <v>0.45106606500000002</v>
      </c>
      <c r="U1516">
        <v>0.44640444000000001</v>
      </c>
      <c r="V1516">
        <v>0.43268678999999999</v>
      </c>
      <c r="W1516">
        <v>0.48756774000000003</v>
      </c>
      <c r="X1516">
        <v>0.53822692500000002</v>
      </c>
      <c r="Y1516">
        <v>0.55914551999999995</v>
      </c>
      <c r="Z1516">
        <v>0.52728436499999998</v>
      </c>
      <c r="AA1516">
        <v>0.51635707500000005</v>
      </c>
      <c r="AB1516">
        <v>0.49204481999999999</v>
      </c>
    </row>
    <row r="1517" spans="1:28" hidden="1" x14ac:dyDescent="0.25">
      <c r="A1517" t="s">
        <v>194</v>
      </c>
      <c r="B1517" t="s">
        <v>204</v>
      </c>
      <c r="C1517">
        <v>34</v>
      </c>
      <c r="D1517" t="s">
        <v>2</v>
      </c>
      <c r="E1517">
        <v>30.98435207</v>
      </c>
      <c r="F1517">
        <v>29.684841129999999</v>
      </c>
      <c r="G1517">
        <v>28.95768936</v>
      </c>
      <c r="H1517">
        <v>26.93239823</v>
      </c>
      <c r="I1517">
        <v>26.79484253</v>
      </c>
      <c r="J1517">
        <v>25.057457100000001</v>
      </c>
      <c r="K1517">
        <v>22.066505750000001</v>
      </c>
      <c r="L1517">
        <v>23.043190020000001</v>
      </c>
      <c r="M1517">
        <v>23.278658490000002</v>
      </c>
      <c r="N1517">
        <v>23.9124497</v>
      </c>
      <c r="O1517">
        <v>25.59255954</v>
      </c>
      <c r="P1517">
        <v>27.214610029999999</v>
      </c>
      <c r="Q1517">
        <v>28.39089993</v>
      </c>
      <c r="R1517">
        <v>32.419525270000001</v>
      </c>
      <c r="S1517">
        <v>34.610136410000003</v>
      </c>
      <c r="T1517">
        <v>34.251271330000002</v>
      </c>
      <c r="U1517">
        <v>34.237846529999999</v>
      </c>
      <c r="V1517">
        <v>32.780945330000002</v>
      </c>
      <c r="W1517">
        <v>34.917926139999999</v>
      </c>
      <c r="X1517">
        <v>36.08191935</v>
      </c>
      <c r="Y1517">
        <v>35.535264210000001</v>
      </c>
      <c r="Z1517">
        <v>35.876650859999998</v>
      </c>
      <c r="AA1517">
        <v>35.460889459999997</v>
      </c>
      <c r="AB1517">
        <v>32.891543759999998</v>
      </c>
    </row>
    <row r="1518" spans="1:28" hidden="1" x14ac:dyDescent="0.25">
      <c r="A1518" t="s">
        <v>194</v>
      </c>
      <c r="B1518" t="s">
        <v>204</v>
      </c>
      <c r="C1518">
        <v>34</v>
      </c>
      <c r="D1518" t="s">
        <v>3</v>
      </c>
      <c r="E1518">
        <v>6.1226484985000003</v>
      </c>
      <c r="F1518">
        <v>5.8976044404000003</v>
      </c>
      <c r="G1518">
        <v>5.5666310073999998</v>
      </c>
      <c r="H1518">
        <v>5.0773185072000002</v>
      </c>
      <c r="I1518">
        <v>5.0243618837000001</v>
      </c>
      <c r="J1518">
        <v>4.6703570666000003</v>
      </c>
      <c r="K1518">
        <v>3.7911906988999999</v>
      </c>
      <c r="L1518">
        <v>3.4859606975999999</v>
      </c>
      <c r="M1518">
        <v>3.5358818063999999</v>
      </c>
      <c r="N1518">
        <v>4.2189303667000004</v>
      </c>
      <c r="O1518">
        <v>4.9393876207999998</v>
      </c>
      <c r="P1518">
        <v>5.6292670621000003</v>
      </c>
      <c r="Q1518">
        <v>6.0500122295000001</v>
      </c>
      <c r="R1518">
        <v>6.9328546469000001</v>
      </c>
      <c r="S1518">
        <v>7.2511431643000002</v>
      </c>
      <c r="T1518">
        <v>7.7506496486999996</v>
      </c>
      <c r="U1518">
        <v>7.9731224255999997</v>
      </c>
      <c r="V1518">
        <v>7.4038700495000001</v>
      </c>
      <c r="W1518">
        <v>7.0003577568999997</v>
      </c>
      <c r="X1518">
        <v>6.8784525276000004</v>
      </c>
      <c r="Y1518">
        <v>6.5729315673000004</v>
      </c>
      <c r="Z1518">
        <v>6.6279128458000001</v>
      </c>
      <c r="AA1518">
        <v>6.6274107902999999</v>
      </c>
      <c r="AB1518">
        <v>6.4036912857999999</v>
      </c>
    </row>
    <row r="1519" spans="1:28" hidden="1" x14ac:dyDescent="0.25">
      <c r="A1519" t="s">
        <v>194</v>
      </c>
      <c r="B1519" t="s">
        <v>204</v>
      </c>
      <c r="C1519">
        <v>34</v>
      </c>
      <c r="D1519" t="s">
        <v>4</v>
      </c>
      <c r="E1519">
        <v>0.95827892999999997</v>
      </c>
      <c r="F1519">
        <v>0.91808787000000003</v>
      </c>
      <c r="G1519">
        <v>0.89559864</v>
      </c>
      <c r="H1519">
        <v>0.83296077000000002</v>
      </c>
      <c r="I1519">
        <v>0.82870646999999997</v>
      </c>
      <c r="J1519">
        <v>0.77497289999999996</v>
      </c>
      <c r="K1519">
        <v>0.68246925000000003</v>
      </c>
      <c r="L1519">
        <v>0.71267597999999999</v>
      </c>
      <c r="M1519">
        <v>0.71995851</v>
      </c>
      <c r="N1519">
        <v>0.73956029999999995</v>
      </c>
      <c r="O1519">
        <v>0.79152246000000004</v>
      </c>
      <c r="P1519">
        <v>0.84168896999999998</v>
      </c>
      <c r="Q1519">
        <v>0.87806907000000001</v>
      </c>
      <c r="R1519">
        <v>1.0026657299999999</v>
      </c>
      <c r="S1519">
        <v>1.07041659</v>
      </c>
      <c r="T1519">
        <v>1.05931767</v>
      </c>
      <c r="U1519">
        <v>1.05890247</v>
      </c>
      <c r="V1519">
        <v>1.01384367</v>
      </c>
      <c r="W1519">
        <v>1.07993586</v>
      </c>
      <c r="X1519">
        <v>1.1159356499999999</v>
      </c>
      <c r="Y1519">
        <v>1.09902879</v>
      </c>
      <c r="Z1519">
        <v>1.1095871399999999</v>
      </c>
      <c r="AA1519">
        <v>1.09672854</v>
      </c>
      <c r="AB1519">
        <v>1.01726424</v>
      </c>
    </row>
    <row r="1520" spans="1:28" hidden="1" x14ac:dyDescent="0.25">
      <c r="A1520" t="s">
        <v>194</v>
      </c>
      <c r="B1520" t="s">
        <v>205</v>
      </c>
      <c r="C1520">
        <v>14</v>
      </c>
      <c r="D1520" t="s">
        <v>2</v>
      </c>
      <c r="E1520">
        <v>23.816865750000002</v>
      </c>
      <c r="F1520">
        <v>22.524054450000001</v>
      </c>
      <c r="G1520">
        <v>18.760084150000001</v>
      </c>
      <c r="H1520">
        <v>17.88897785</v>
      </c>
      <c r="I1520">
        <v>17.968405449999999</v>
      </c>
      <c r="J1520">
        <v>16.528683300000001</v>
      </c>
      <c r="K1520">
        <v>14.679453199999999</v>
      </c>
      <c r="L1520">
        <v>14.507206800000001</v>
      </c>
      <c r="M1520">
        <v>15.846602300000001</v>
      </c>
      <c r="N1520">
        <v>17.242793549999998</v>
      </c>
      <c r="O1520">
        <v>18.108729</v>
      </c>
      <c r="P1520">
        <v>19.2587458</v>
      </c>
      <c r="Q1520">
        <v>19.838048199999999</v>
      </c>
      <c r="R1520">
        <v>21.971143999999999</v>
      </c>
      <c r="S1520">
        <v>23.902357200000001</v>
      </c>
      <c r="T1520">
        <v>24.844454150000001</v>
      </c>
      <c r="U1520">
        <v>24.397658700000001</v>
      </c>
      <c r="V1520">
        <v>23.4605274</v>
      </c>
      <c r="W1520">
        <v>22.413573249999999</v>
      </c>
      <c r="X1520">
        <v>21.521411149999999</v>
      </c>
      <c r="Y1520">
        <v>22.528468149999998</v>
      </c>
      <c r="Z1520">
        <v>23.677207200000002</v>
      </c>
      <c r="AA1520">
        <v>23.75763135</v>
      </c>
      <c r="AB1520">
        <v>24.415540549999999</v>
      </c>
    </row>
    <row r="1521" spans="1:28" hidden="1" x14ac:dyDescent="0.25">
      <c r="A1521" t="s">
        <v>194</v>
      </c>
      <c r="B1521" t="s">
        <v>205</v>
      </c>
      <c r="C1521">
        <v>14</v>
      </c>
      <c r="D1521" t="s">
        <v>3</v>
      </c>
      <c r="E1521">
        <v>9.0345617020999995</v>
      </c>
      <c r="F1521">
        <v>8.9607685135999997</v>
      </c>
      <c r="G1521">
        <v>7.7672080933999998</v>
      </c>
      <c r="H1521">
        <v>7.6465344878000003</v>
      </c>
      <c r="I1521">
        <v>7.8348413744999998</v>
      </c>
      <c r="J1521">
        <v>7.3051608625000002</v>
      </c>
      <c r="K1521">
        <v>6.5117101845000001</v>
      </c>
      <c r="L1521">
        <v>6.6016480756</v>
      </c>
      <c r="M1521">
        <v>7.3970495609000002</v>
      </c>
      <c r="N1521">
        <v>7.9955740453999997</v>
      </c>
      <c r="O1521">
        <v>8.2821974029999996</v>
      </c>
      <c r="P1521">
        <v>8.4707103706000009</v>
      </c>
      <c r="Q1521">
        <v>8.2753494028999999</v>
      </c>
      <c r="R1521">
        <v>9.0630026963999999</v>
      </c>
      <c r="S1521">
        <v>9.4265024393000001</v>
      </c>
      <c r="T1521">
        <v>9.5964688072000008</v>
      </c>
      <c r="U1521">
        <v>9.5115708632999993</v>
      </c>
      <c r="V1521">
        <v>9.4271442600000004</v>
      </c>
      <c r="W1521">
        <v>9.0413173331000003</v>
      </c>
      <c r="X1521">
        <v>7.9623468343999999</v>
      </c>
      <c r="Y1521">
        <v>8.0957706859999998</v>
      </c>
      <c r="Z1521">
        <v>8.3798674386999998</v>
      </c>
      <c r="AA1521">
        <v>8.3279478835000003</v>
      </c>
      <c r="AB1521">
        <v>8.8576078681000006</v>
      </c>
    </row>
    <row r="1522" spans="1:28" hidden="1" x14ac:dyDescent="0.25">
      <c r="A1522" t="s">
        <v>194</v>
      </c>
      <c r="B1522" t="s">
        <v>205</v>
      </c>
      <c r="C1522">
        <v>14</v>
      </c>
      <c r="D1522" t="s">
        <v>4</v>
      </c>
      <c r="E1522">
        <v>1.2535192500000001</v>
      </c>
      <c r="F1522">
        <v>1.18547655</v>
      </c>
      <c r="G1522">
        <v>0.98737284999999997</v>
      </c>
      <c r="H1522">
        <v>0.94152515000000003</v>
      </c>
      <c r="I1522">
        <v>0.94570555000000001</v>
      </c>
      <c r="J1522">
        <v>0.86993069999999995</v>
      </c>
      <c r="K1522">
        <v>0.77260280000000003</v>
      </c>
      <c r="L1522">
        <v>0.76353720000000003</v>
      </c>
      <c r="M1522">
        <v>0.83403170000000004</v>
      </c>
      <c r="N1522">
        <v>0.90751545</v>
      </c>
      <c r="O1522">
        <v>0.95309100000000002</v>
      </c>
      <c r="P1522">
        <v>1.0136182</v>
      </c>
      <c r="Q1522">
        <v>1.0441077999999999</v>
      </c>
      <c r="R1522">
        <v>1.1563760000000001</v>
      </c>
      <c r="S1522">
        <v>1.2580188000000001</v>
      </c>
      <c r="T1522">
        <v>1.3076028500000001</v>
      </c>
      <c r="U1522">
        <v>1.2840872999999999</v>
      </c>
      <c r="V1522">
        <v>1.2347646000000001</v>
      </c>
      <c r="W1522">
        <v>1.17966175</v>
      </c>
      <c r="X1522">
        <v>1.13270585</v>
      </c>
      <c r="Y1522">
        <v>1.1857088499999999</v>
      </c>
      <c r="Z1522">
        <v>1.2461688</v>
      </c>
      <c r="AA1522">
        <v>1.2504016499999999</v>
      </c>
      <c r="AB1522">
        <v>1.28502845</v>
      </c>
    </row>
    <row r="1523" spans="1:28" hidden="1" x14ac:dyDescent="0.25">
      <c r="A1523" t="s">
        <v>194</v>
      </c>
      <c r="B1523" t="s">
        <v>206</v>
      </c>
      <c r="C1523">
        <v>34</v>
      </c>
      <c r="D1523" t="s">
        <v>2</v>
      </c>
      <c r="E1523">
        <v>13.27385151</v>
      </c>
      <c r="F1523">
        <v>12.83697806</v>
      </c>
      <c r="G1523">
        <v>12.633730079999999</v>
      </c>
      <c r="H1523">
        <v>12.21776013</v>
      </c>
      <c r="I1523">
        <v>11.85234852</v>
      </c>
      <c r="J1523">
        <v>11.85084502</v>
      </c>
      <c r="K1523">
        <v>11.1358037</v>
      </c>
      <c r="L1523">
        <v>10.10315237</v>
      </c>
      <c r="M1523">
        <v>9.7700320600000001</v>
      </c>
      <c r="N1523">
        <v>10.192052869999999</v>
      </c>
      <c r="O1523">
        <v>10.440657079999999</v>
      </c>
      <c r="P1523">
        <v>11.08450137</v>
      </c>
      <c r="Q1523">
        <v>12.24140485</v>
      </c>
      <c r="R1523">
        <v>12.94082141</v>
      </c>
      <c r="S1523">
        <v>13.89176382</v>
      </c>
      <c r="T1523">
        <v>14.07505793</v>
      </c>
      <c r="U1523">
        <v>14.20527946</v>
      </c>
      <c r="V1523">
        <v>14.41578498</v>
      </c>
      <c r="W1523">
        <v>14.700705019999999</v>
      </c>
      <c r="X1523">
        <v>16.10595275</v>
      </c>
      <c r="Y1523">
        <v>16.228077689999999</v>
      </c>
      <c r="Z1523">
        <v>15.899374760000001</v>
      </c>
      <c r="AA1523">
        <v>15.454912999999999</v>
      </c>
      <c r="AB1523">
        <v>13.674045380000001</v>
      </c>
    </row>
    <row r="1524" spans="1:28" hidden="1" x14ac:dyDescent="0.25">
      <c r="A1524" t="s">
        <v>194</v>
      </c>
      <c r="B1524" t="s">
        <v>206</v>
      </c>
      <c r="C1524">
        <v>34</v>
      </c>
      <c r="D1524" t="s">
        <v>3</v>
      </c>
      <c r="E1524">
        <v>5.4218989637000004</v>
      </c>
      <c r="F1524">
        <v>5.4293685519999997</v>
      </c>
      <c r="G1524">
        <v>5.4165445832000003</v>
      </c>
      <c r="H1524">
        <v>5.2675234996000002</v>
      </c>
      <c r="I1524">
        <v>5.1181431303</v>
      </c>
      <c r="J1524">
        <v>5.1536034769999999</v>
      </c>
      <c r="K1524">
        <v>4.9601263899000001</v>
      </c>
      <c r="L1524">
        <v>5.0833673593000004</v>
      </c>
      <c r="M1524">
        <v>5.108282483</v>
      </c>
      <c r="N1524">
        <v>5.2331088642000001</v>
      </c>
      <c r="O1524">
        <v>5.2970661834000001</v>
      </c>
      <c r="P1524">
        <v>5.3948127282999998</v>
      </c>
      <c r="Q1524">
        <v>5.6069040064999998</v>
      </c>
      <c r="R1524">
        <v>5.7610705517999996</v>
      </c>
      <c r="S1524">
        <v>5.9341869595999999</v>
      </c>
      <c r="T1524">
        <v>5.8253187163</v>
      </c>
      <c r="U1524">
        <v>5.9308631486000003</v>
      </c>
      <c r="V1524">
        <v>6.2324317850000002</v>
      </c>
      <c r="W1524">
        <v>6.2122872548999997</v>
      </c>
      <c r="X1524">
        <v>6.0705088224999999</v>
      </c>
      <c r="Y1524">
        <v>6.0437488440999996</v>
      </c>
      <c r="Z1524">
        <v>5.8332445508999999</v>
      </c>
      <c r="AA1524">
        <v>5.8040819672000001</v>
      </c>
      <c r="AB1524">
        <v>5.3802090414999997</v>
      </c>
    </row>
    <row r="1525" spans="1:28" hidden="1" x14ac:dyDescent="0.25">
      <c r="A1525" t="s">
        <v>194</v>
      </c>
      <c r="B1525" t="s">
        <v>206</v>
      </c>
      <c r="C1525">
        <v>34</v>
      </c>
      <c r="D1525" t="s">
        <v>4</v>
      </c>
      <c r="E1525">
        <v>0.41053149</v>
      </c>
      <c r="F1525">
        <v>0.39701994000000002</v>
      </c>
      <c r="G1525">
        <v>0.39073392000000001</v>
      </c>
      <c r="H1525">
        <v>0.37786887000000002</v>
      </c>
      <c r="I1525">
        <v>0.36656748</v>
      </c>
      <c r="J1525">
        <v>0.36652098</v>
      </c>
      <c r="K1525">
        <v>0.3444063</v>
      </c>
      <c r="L1525">
        <v>0.31246863000000002</v>
      </c>
      <c r="M1525">
        <v>0.30216594000000002</v>
      </c>
      <c r="N1525">
        <v>0.31521812999999999</v>
      </c>
      <c r="O1525">
        <v>0.32290691999999999</v>
      </c>
      <c r="P1525">
        <v>0.34281962999999999</v>
      </c>
      <c r="Q1525">
        <v>0.37860015000000002</v>
      </c>
      <c r="R1525">
        <v>0.40023159000000003</v>
      </c>
      <c r="S1525">
        <v>0.42964217999999998</v>
      </c>
      <c r="T1525">
        <v>0.43531107000000002</v>
      </c>
      <c r="U1525">
        <v>0.43933854</v>
      </c>
      <c r="V1525">
        <v>0.44584901999999998</v>
      </c>
      <c r="W1525">
        <v>0.45466097999999999</v>
      </c>
      <c r="X1525">
        <v>0.49812224999999999</v>
      </c>
      <c r="Y1525">
        <v>0.50189930999999999</v>
      </c>
      <c r="Z1525">
        <v>0.49173324000000002</v>
      </c>
      <c r="AA1525">
        <v>0.477987</v>
      </c>
      <c r="AB1525">
        <v>0.42290862000000001</v>
      </c>
    </row>
    <row r="1526" spans="1:28" hidden="1" x14ac:dyDescent="0.25">
      <c r="A1526" t="s">
        <v>194</v>
      </c>
      <c r="B1526" t="s">
        <v>207</v>
      </c>
      <c r="C1526">
        <v>14</v>
      </c>
      <c r="D1526" t="s">
        <v>2</v>
      </c>
      <c r="E1526">
        <v>32.844380399999999</v>
      </c>
      <c r="F1526">
        <v>30.77954875</v>
      </c>
      <c r="G1526">
        <v>30.590949999999999</v>
      </c>
      <c r="H1526">
        <v>30.689481149999999</v>
      </c>
      <c r="I1526">
        <v>29.996648050000001</v>
      </c>
      <c r="J1526">
        <v>29.272984600000001</v>
      </c>
      <c r="K1526">
        <v>25.847575299999999</v>
      </c>
      <c r="L1526">
        <v>24.625415499999999</v>
      </c>
      <c r="M1526">
        <v>23.821755400000001</v>
      </c>
      <c r="N1526">
        <v>24.362972299999999</v>
      </c>
      <c r="O1526">
        <v>24.45913985</v>
      </c>
      <c r="P1526">
        <v>26.660533050000002</v>
      </c>
      <c r="Q1526">
        <v>28.566487649999999</v>
      </c>
      <c r="R1526">
        <v>29.728204649999999</v>
      </c>
      <c r="S1526">
        <v>32.376488299999998</v>
      </c>
      <c r="T1526">
        <v>32.276161649999999</v>
      </c>
      <c r="U1526">
        <v>31.67673825</v>
      </c>
      <c r="V1526">
        <v>30.535086199999999</v>
      </c>
      <c r="W1526">
        <v>34.456643450000001</v>
      </c>
      <c r="X1526">
        <v>34.4943423</v>
      </c>
      <c r="Y1526">
        <v>35.0110891</v>
      </c>
      <c r="Z1526">
        <v>36.506502150000003</v>
      </c>
      <c r="AA1526">
        <v>36.38135295</v>
      </c>
      <c r="AB1526">
        <v>32.8112292</v>
      </c>
    </row>
    <row r="1527" spans="1:28" hidden="1" x14ac:dyDescent="0.25">
      <c r="A1527" t="s">
        <v>194</v>
      </c>
      <c r="B1527" t="s">
        <v>207</v>
      </c>
      <c r="C1527">
        <v>14</v>
      </c>
      <c r="D1527" t="s">
        <v>3</v>
      </c>
      <c r="E1527">
        <v>11.684040337700001</v>
      </c>
      <c r="F1527">
        <v>11.2956010442</v>
      </c>
      <c r="G1527">
        <v>11.656424270300001</v>
      </c>
      <c r="H1527">
        <v>12.051881802900001</v>
      </c>
      <c r="I1527">
        <v>12.046077027300001</v>
      </c>
      <c r="J1527">
        <v>11.999391083900001</v>
      </c>
      <c r="K1527">
        <v>10.856932217000001</v>
      </c>
      <c r="L1527">
        <v>10.5896071419</v>
      </c>
      <c r="M1527">
        <v>9.5299440475000008</v>
      </c>
      <c r="N1527">
        <v>9.0662346985000006</v>
      </c>
      <c r="O1527">
        <v>8.9438522976999995</v>
      </c>
      <c r="P1527">
        <v>9.6454960083000003</v>
      </c>
      <c r="Q1527">
        <v>9.9339077183000004</v>
      </c>
      <c r="R1527">
        <v>10.357155391499999</v>
      </c>
      <c r="S1527">
        <v>10.805046364100001</v>
      </c>
      <c r="T1527">
        <v>10.282082835200001</v>
      </c>
      <c r="U1527">
        <v>10.1335939137</v>
      </c>
      <c r="V1527">
        <v>10.2151475984</v>
      </c>
      <c r="W1527">
        <v>12.0584617408</v>
      </c>
      <c r="X1527">
        <v>12.007068736900001</v>
      </c>
      <c r="Y1527">
        <v>12.4442302689</v>
      </c>
      <c r="Z1527">
        <v>12.578796069799999</v>
      </c>
      <c r="AA1527">
        <v>12.1836925334</v>
      </c>
      <c r="AB1527">
        <v>11.302160324800001</v>
      </c>
    </row>
    <row r="1528" spans="1:28" hidden="1" x14ac:dyDescent="0.25">
      <c r="A1528" t="s">
        <v>194</v>
      </c>
      <c r="B1528" t="s">
        <v>207</v>
      </c>
      <c r="C1528">
        <v>14</v>
      </c>
      <c r="D1528" t="s">
        <v>4</v>
      </c>
      <c r="E1528">
        <v>1.7286516000000001</v>
      </c>
      <c r="F1528">
        <v>1.6199762499999999</v>
      </c>
      <c r="G1528">
        <v>1.61005</v>
      </c>
      <c r="H1528">
        <v>1.6152358499999999</v>
      </c>
      <c r="I1528">
        <v>1.57877095</v>
      </c>
      <c r="J1528">
        <v>1.5406834</v>
      </c>
      <c r="K1528">
        <v>1.3603987</v>
      </c>
      <c r="L1528">
        <v>1.2960745</v>
      </c>
      <c r="M1528">
        <v>1.2537765999999999</v>
      </c>
      <c r="N1528">
        <v>1.2822617000000001</v>
      </c>
      <c r="O1528">
        <v>1.28732315</v>
      </c>
      <c r="P1528">
        <v>1.4031859499999999</v>
      </c>
      <c r="Q1528">
        <v>1.50349935</v>
      </c>
      <c r="R1528">
        <v>1.56464235</v>
      </c>
      <c r="S1528">
        <v>1.7040257000000001</v>
      </c>
      <c r="T1528">
        <v>1.69874535</v>
      </c>
      <c r="U1528">
        <v>1.66719675</v>
      </c>
      <c r="V1528">
        <v>1.6071097999999999</v>
      </c>
      <c r="W1528">
        <v>1.81350755</v>
      </c>
      <c r="X1528">
        <v>1.8154916999999999</v>
      </c>
      <c r="Y1528">
        <v>1.8426889</v>
      </c>
      <c r="Z1528">
        <v>1.92139485</v>
      </c>
      <c r="AA1528">
        <v>1.91480805</v>
      </c>
      <c r="AB1528">
        <v>1.7269068000000001</v>
      </c>
    </row>
    <row r="1529" spans="1:28" hidden="1" x14ac:dyDescent="0.25">
      <c r="A1529" t="s">
        <v>208</v>
      </c>
      <c r="B1529" t="s">
        <v>209</v>
      </c>
      <c r="C1529">
        <v>115</v>
      </c>
      <c r="D1529" t="s">
        <v>2</v>
      </c>
      <c r="E1529">
        <v>19.539445000000001</v>
      </c>
      <c r="F1529">
        <v>17.997920000000001</v>
      </c>
      <c r="G1529">
        <v>19.404992499999999</v>
      </c>
      <c r="H1529">
        <v>21.634047500000001</v>
      </c>
      <c r="I1529">
        <v>20.117541500000002</v>
      </c>
      <c r="J1529">
        <v>19.253598</v>
      </c>
      <c r="K1529">
        <v>20.0334225</v>
      </c>
      <c r="L1529">
        <v>17.995950000000001</v>
      </c>
      <c r="M1529">
        <v>20.209244999999999</v>
      </c>
      <c r="N1529">
        <v>19.2584245</v>
      </c>
      <c r="O1529">
        <v>16.621874999999999</v>
      </c>
      <c r="P1529">
        <v>19.937384999999999</v>
      </c>
      <c r="Q1529">
        <v>20.412154999999998</v>
      </c>
      <c r="R1529">
        <v>23.064366</v>
      </c>
      <c r="S1529">
        <v>20.683817999999999</v>
      </c>
      <c r="T1529">
        <v>21.357558000000001</v>
      </c>
      <c r="U1529">
        <v>21.949345999999998</v>
      </c>
      <c r="V1529">
        <v>20.978726999999999</v>
      </c>
      <c r="W1529">
        <v>21.446207999999999</v>
      </c>
      <c r="X1529">
        <v>19.9955</v>
      </c>
      <c r="Y1529">
        <v>20.237613</v>
      </c>
      <c r="Z1529">
        <v>19.2637435</v>
      </c>
      <c r="AA1529">
        <v>17.104130999999999</v>
      </c>
      <c r="AB1529">
        <v>19.540430000000001</v>
      </c>
    </row>
    <row r="1530" spans="1:28" hidden="1" x14ac:dyDescent="0.25">
      <c r="A1530" t="s">
        <v>208</v>
      </c>
      <c r="B1530" t="s">
        <v>209</v>
      </c>
      <c r="C1530">
        <v>115</v>
      </c>
      <c r="D1530" t="s">
        <v>3</v>
      </c>
      <c r="E1530">
        <v>7.4553918667000003</v>
      </c>
      <c r="F1530">
        <v>6.3516191932000003</v>
      </c>
      <c r="G1530">
        <v>7.4103249469000003</v>
      </c>
      <c r="H1530">
        <v>8.509432876</v>
      </c>
      <c r="I1530">
        <v>7.7082503076000002</v>
      </c>
      <c r="J1530">
        <v>7.3648723885000003</v>
      </c>
      <c r="K1530">
        <v>7.5534095365000002</v>
      </c>
      <c r="L1530">
        <v>7.1520152145999996</v>
      </c>
      <c r="M1530">
        <v>8.4560538421999993</v>
      </c>
      <c r="N1530">
        <v>7.9522885821999996</v>
      </c>
      <c r="O1530">
        <v>6.9802838583</v>
      </c>
      <c r="P1530">
        <v>8.6607006501000008</v>
      </c>
      <c r="Q1530">
        <v>8.1442340537</v>
      </c>
      <c r="R1530">
        <v>10.0808769405</v>
      </c>
      <c r="S1530">
        <v>8.7925528472999996</v>
      </c>
      <c r="T1530">
        <v>8.7994113226999993</v>
      </c>
      <c r="U1530">
        <v>8.9214445409999996</v>
      </c>
      <c r="V1530">
        <v>8.4096094782000002</v>
      </c>
      <c r="W1530">
        <v>8.9409531126000008</v>
      </c>
      <c r="X1530">
        <v>8.1211030424999997</v>
      </c>
      <c r="Y1530">
        <v>8.3442019140999992</v>
      </c>
      <c r="Z1530">
        <v>7.9012133370999997</v>
      </c>
      <c r="AA1530">
        <v>6.6952360338999997</v>
      </c>
      <c r="AB1530">
        <v>7.4306239005999997</v>
      </c>
    </row>
    <row r="1531" spans="1:28" hidden="1" x14ac:dyDescent="0.25">
      <c r="A1531" t="s">
        <v>208</v>
      </c>
      <c r="B1531" t="s">
        <v>209</v>
      </c>
      <c r="C1531">
        <v>115</v>
      </c>
      <c r="D1531" t="s">
        <v>4</v>
      </c>
      <c r="E1531">
        <v>0.29755500000000001</v>
      </c>
      <c r="F1531">
        <v>0.27407999999999999</v>
      </c>
      <c r="G1531">
        <v>0.29550749999999998</v>
      </c>
      <c r="H1531">
        <v>0.32945249999999998</v>
      </c>
      <c r="I1531">
        <v>0.30635849999999998</v>
      </c>
      <c r="J1531">
        <v>0.29320200000000002</v>
      </c>
      <c r="K1531">
        <v>0.3050775</v>
      </c>
      <c r="L1531">
        <v>0.27405000000000002</v>
      </c>
      <c r="M1531">
        <v>0.307755</v>
      </c>
      <c r="N1531">
        <v>0.29327550000000002</v>
      </c>
      <c r="O1531">
        <v>0.25312499999999999</v>
      </c>
      <c r="P1531">
        <v>0.30361500000000002</v>
      </c>
      <c r="Q1531">
        <v>0.31084499999999998</v>
      </c>
      <c r="R1531">
        <v>0.35123399999999999</v>
      </c>
      <c r="S1531">
        <v>0.31498199999999998</v>
      </c>
      <c r="T1531">
        <v>0.32524199999999998</v>
      </c>
      <c r="U1531">
        <v>0.334254</v>
      </c>
      <c r="V1531">
        <v>0.31947300000000001</v>
      </c>
      <c r="W1531">
        <v>0.32659199999999999</v>
      </c>
      <c r="X1531">
        <v>0.30449999999999999</v>
      </c>
      <c r="Y1531">
        <v>0.30818699999999999</v>
      </c>
      <c r="Z1531">
        <v>0.29335650000000002</v>
      </c>
      <c r="AA1531">
        <v>0.26046900000000001</v>
      </c>
      <c r="AB1531">
        <v>0.29757</v>
      </c>
    </row>
    <row r="1532" spans="1:28" hidden="1" x14ac:dyDescent="0.25">
      <c r="A1532" t="s">
        <v>208</v>
      </c>
      <c r="B1532" t="s">
        <v>210</v>
      </c>
      <c r="C1532">
        <v>115</v>
      </c>
      <c r="D1532" t="s">
        <v>2</v>
      </c>
      <c r="E1532">
        <v>7.8648309999999997</v>
      </c>
      <c r="F1532">
        <v>7.9115200000000003</v>
      </c>
      <c r="G1532">
        <v>8.5650674999999996</v>
      </c>
      <c r="H1532">
        <v>8.4581949999999999</v>
      </c>
      <c r="I1532">
        <v>8.3167489999999997</v>
      </c>
      <c r="J1532">
        <v>8.2284930000000003</v>
      </c>
      <c r="K1532">
        <v>8.2208100000000002</v>
      </c>
      <c r="L1532">
        <v>8.6180605000000003</v>
      </c>
      <c r="M1532">
        <v>8.85318</v>
      </c>
      <c r="N1532">
        <v>8.7421705000000003</v>
      </c>
      <c r="O1532">
        <v>8.8206749999999996</v>
      </c>
      <c r="P1532">
        <v>9.1274040000000003</v>
      </c>
      <c r="Q1532">
        <v>9.1299650000000003</v>
      </c>
      <c r="R1532">
        <v>9.1404060000000005</v>
      </c>
      <c r="S1532">
        <v>9.0281160000000007</v>
      </c>
      <c r="T1532">
        <v>8.8259939999999997</v>
      </c>
      <c r="U1532">
        <v>8.8598780000000001</v>
      </c>
      <c r="V1532">
        <v>8.6463300000000007</v>
      </c>
      <c r="W1532">
        <v>8.8614540000000002</v>
      </c>
      <c r="X1532">
        <v>8.5448749999999993</v>
      </c>
      <c r="Y1532">
        <v>8.5813199999999998</v>
      </c>
      <c r="Z1532">
        <v>8.4127864999999993</v>
      </c>
      <c r="AA1532">
        <v>7.9767270000000003</v>
      </c>
      <c r="AB1532">
        <v>9.0710619999999995</v>
      </c>
    </row>
    <row r="1533" spans="1:28" hidden="1" x14ac:dyDescent="0.25">
      <c r="A1533" t="s">
        <v>208</v>
      </c>
      <c r="B1533" t="s">
        <v>210</v>
      </c>
      <c r="C1533">
        <v>115</v>
      </c>
      <c r="D1533" t="s">
        <v>3</v>
      </c>
      <c r="E1533">
        <v>3.5856132137999999</v>
      </c>
      <c r="F1533">
        <v>3.5792041499999998</v>
      </c>
      <c r="G1533">
        <v>3.9396939671000002</v>
      </c>
      <c r="H1533">
        <v>3.9003388516999999</v>
      </c>
      <c r="I1533">
        <v>3.8134088643999999</v>
      </c>
      <c r="J1533">
        <v>3.7105700162000002</v>
      </c>
      <c r="K1533">
        <v>3.6974733511000002</v>
      </c>
      <c r="L1533">
        <v>3.8533773694</v>
      </c>
      <c r="M1533">
        <v>3.9870825496000002</v>
      </c>
      <c r="N1533">
        <v>3.9294028414</v>
      </c>
      <c r="O1533">
        <v>3.9724437285</v>
      </c>
      <c r="P1533">
        <v>4.1025563630999997</v>
      </c>
      <c r="Q1533">
        <v>4.1277648908</v>
      </c>
      <c r="R1533">
        <v>4.0896192770999997</v>
      </c>
      <c r="S1533">
        <v>4.0181254522999996</v>
      </c>
      <c r="T1533">
        <v>3.9800080888</v>
      </c>
      <c r="U1533">
        <v>4.0185963584</v>
      </c>
      <c r="V1533">
        <v>3.9393843292000001</v>
      </c>
      <c r="W1533">
        <v>3.9491698328</v>
      </c>
      <c r="X1533">
        <v>3.8231655706000001</v>
      </c>
      <c r="Y1533">
        <v>3.9097648982000002</v>
      </c>
      <c r="Z1533">
        <v>3.8305280878999999</v>
      </c>
      <c r="AA1533">
        <v>3.5947028483999999</v>
      </c>
      <c r="AB1533">
        <v>4.0905194513999996</v>
      </c>
    </row>
    <row r="1534" spans="1:28" hidden="1" x14ac:dyDescent="0.25">
      <c r="A1534" t="s">
        <v>208</v>
      </c>
      <c r="B1534" t="s">
        <v>210</v>
      </c>
      <c r="C1534">
        <v>115</v>
      </c>
      <c r="D1534" t="s">
        <v>4</v>
      </c>
      <c r="E1534">
        <v>0.119769</v>
      </c>
      <c r="F1534">
        <v>0.12048</v>
      </c>
      <c r="G1534">
        <v>0.13043250000000001</v>
      </c>
      <c r="H1534">
        <v>0.128805</v>
      </c>
      <c r="I1534">
        <v>0.12665100000000001</v>
      </c>
      <c r="J1534">
        <v>0.125307</v>
      </c>
      <c r="K1534">
        <v>0.12519</v>
      </c>
      <c r="L1534">
        <v>0.13123950000000001</v>
      </c>
      <c r="M1534">
        <v>0.13482</v>
      </c>
      <c r="N1534">
        <v>0.13312950000000001</v>
      </c>
      <c r="O1534">
        <v>0.134325</v>
      </c>
      <c r="P1534">
        <v>0.13899600000000001</v>
      </c>
      <c r="Q1534">
        <v>0.13903499999999999</v>
      </c>
      <c r="R1534">
        <v>0.13919400000000001</v>
      </c>
      <c r="S1534">
        <v>0.137484</v>
      </c>
      <c r="T1534">
        <v>0.134406</v>
      </c>
      <c r="U1534">
        <v>0.13492199999999999</v>
      </c>
      <c r="V1534">
        <v>0.13167000000000001</v>
      </c>
      <c r="W1534">
        <v>0.13494600000000001</v>
      </c>
      <c r="X1534">
        <v>0.13012499999999999</v>
      </c>
      <c r="Y1534">
        <v>0.13067999999999999</v>
      </c>
      <c r="Z1534">
        <v>0.12811349999999999</v>
      </c>
      <c r="AA1534">
        <v>0.121473</v>
      </c>
      <c r="AB1534">
        <v>0.13813800000000001</v>
      </c>
    </row>
    <row r="1535" spans="1:28" hidden="1" x14ac:dyDescent="0.25">
      <c r="A1535" t="s">
        <v>208</v>
      </c>
      <c r="B1535" t="s">
        <v>211</v>
      </c>
      <c r="C1535">
        <v>115</v>
      </c>
      <c r="D1535" t="s">
        <v>2</v>
      </c>
      <c r="E1535">
        <v>15.091972999999999</v>
      </c>
      <c r="F1535">
        <v>14.59376</v>
      </c>
      <c r="G1535">
        <v>11.78651</v>
      </c>
      <c r="H1535">
        <v>10.412435</v>
      </c>
      <c r="I1535">
        <v>11.945292</v>
      </c>
      <c r="J1535">
        <v>13.230126</v>
      </c>
      <c r="K1535">
        <v>12.408045</v>
      </c>
      <c r="L1535">
        <v>13.956859</v>
      </c>
      <c r="M1535">
        <v>13.176345</v>
      </c>
      <c r="N1535">
        <v>13.1880665</v>
      </c>
      <c r="O1535">
        <v>13.8515625</v>
      </c>
      <c r="P1535">
        <v>13.852449</v>
      </c>
      <c r="Q1535">
        <v>13.117245</v>
      </c>
      <c r="R1535">
        <v>13.789211999999999</v>
      </c>
      <c r="S1535">
        <v>14.5977</v>
      </c>
      <c r="T1535">
        <v>15.001944</v>
      </c>
      <c r="U1535">
        <v>15.671744</v>
      </c>
      <c r="V1535">
        <v>15.335858999999999</v>
      </c>
      <c r="W1535">
        <v>16.208766000000001</v>
      </c>
      <c r="X1535">
        <v>15.932375</v>
      </c>
      <c r="Y1535">
        <v>15.49405</v>
      </c>
      <c r="Z1535">
        <v>16.298400999999998</v>
      </c>
      <c r="AA1535">
        <v>17.16264</v>
      </c>
      <c r="AB1535">
        <v>13.947206</v>
      </c>
    </row>
    <row r="1536" spans="1:28" hidden="1" x14ac:dyDescent="0.25">
      <c r="A1536" t="s">
        <v>208</v>
      </c>
      <c r="B1536" t="s">
        <v>211</v>
      </c>
      <c r="C1536">
        <v>115</v>
      </c>
      <c r="D1536" t="s">
        <v>3</v>
      </c>
      <c r="E1536">
        <v>6.4154968957999996</v>
      </c>
      <c r="F1536">
        <v>6.4002610892999998</v>
      </c>
      <c r="G1536">
        <v>5.1586066263000001</v>
      </c>
      <c r="H1536">
        <v>4.6403755171999999</v>
      </c>
      <c r="I1536">
        <v>5.1889752938000004</v>
      </c>
      <c r="J1536">
        <v>5.5800223512000002</v>
      </c>
      <c r="K1536">
        <v>5.2670845151999997</v>
      </c>
      <c r="L1536">
        <v>6.1085041561000004</v>
      </c>
      <c r="M1536">
        <v>5.7864580768999998</v>
      </c>
      <c r="N1536">
        <v>5.8306623696999997</v>
      </c>
      <c r="O1536">
        <v>6.3592819388999997</v>
      </c>
      <c r="P1536">
        <v>6.0380805253999998</v>
      </c>
      <c r="Q1536">
        <v>5.8843537617999999</v>
      </c>
      <c r="R1536">
        <v>6.1898422772000004</v>
      </c>
      <c r="S1536">
        <v>6.4711358478000003</v>
      </c>
      <c r="T1536">
        <v>6.5659069332</v>
      </c>
      <c r="U1536">
        <v>6.8497405350999996</v>
      </c>
      <c r="V1536">
        <v>6.7439155286999997</v>
      </c>
      <c r="W1536">
        <v>6.7821533170999997</v>
      </c>
      <c r="X1536">
        <v>6.3568491926000004</v>
      </c>
      <c r="Y1536">
        <v>6.0747855931999997</v>
      </c>
      <c r="Z1536">
        <v>6.4926885865999999</v>
      </c>
      <c r="AA1536">
        <v>6.7669016774999999</v>
      </c>
      <c r="AB1536">
        <v>5.7119923581999998</v>
      </c>
    </row>
    <row r="1537" spans="1:28" hidden="1" x14ac:dyDescent="0.25">
      <c r="A1537" t="s">
        <v>208</v>
      </c>
      <c r="B1537" t="s">
        <v>211</v>
      </c>
      <c r="C1537">
        <v>115</v>
      </c>
      <c r="D1537" t="s">
        <v>4</v>
      </c>
      <c r="E1537">
        <v>0.229827</v>
      </c>
      <c r="F1537">
        <v>0.22223999999999999</v>
      </c>
      <c r="G1537">
        <v>0.17949000000000001</v>
      </c>
      <c r="H1537">
        <v>0.15856500000000001</v>
      </c>
      <c r="I1537">
        <v>0.18190799999999999</v>
      </c>
      <c r="J1537">
        <v>0.20147399999999999</v>
      </c>
      <c r="K1537">
        <v>0.18895500000000001</v>
      </c>
      <c r="L1537">
        <v>0.21254100000000001</v>
      </c>
      <c r="M1537">
        <v>0.200655</v>
      </c>
      <c r="N1537">
        <v>0.2008335</v>
      </c>
      <c r="O1537">
        <v>0.2109375</v>
      </c>
      <c r="P1537">
        <v>0.210951</v>
      </c>
      <c r="Q1537">
        <v>0.19975499999999999</v>
      </c>
      <c r="R1537">
        <v>0.20998800000000001</v>
      </c>
      <c r="S1537">
        <v>0.2223</v>
      </c>
      <c r="T1537">
        <v>0.22845599999999999</v>
      </c>
      <c r="U1537">
        <v>0.23865600000000001</v>
      </c>
      <c r="V1537">
        <v>0.233541</v>
      </c>
      <c r="W1537">
        <v>0.246834</v>
      </c>
      <c r="X1537">
        <v>0.24262500000000001</v>
      </c>
      <c r="Y1537">
        <v>0.23594999999999999</v>
      </c>
      <c r="Z1537">
        <v>0.248199</v>
      </c>
      <c r="AA1537">
        <v>0.26135999999999998</v>
      </c>
      <c r="AB1537">
        <v>0.212394</v>
      </c>
    </row>
    <row r="1538" spans="1:28" hidden="1" x14ac:dyDescent="0.25">
      <c r="A1538" t="s">
        <v>208</v>
      </c>
      <c r="B1538" t="s">
        <v>212</v>
      </c>
      <c r="C1538">
        <v>115</v>
      </c>
      <c r="D1538" t="s">
        <v>2</v>
      </c>
      <c r="E1538">
        <v>20.258889</v>
      </c>
      <c r="F1538">
        <v>19.904879999999999</v>
      </c>
      <c r="G1538">
        <v>19.542400000000001</v>
      </c>
      <c r="H1538">
        <v>19.72561</v>
      </c>
      <c r="I1538">
        <v>21.0487605</v>
      </c>
      <c r="J1538">
        <v>23.340954</v>
      </c>
      <c r="K1538">
        <v>25.1426175</v>
      </c>
      <c r="L1538">
        <v>27.1738845</v>
      </c>
      <c r="M1538">
        <v>26.869814999999999</v>
      </c>
      <c r="N1538">
        <v>28.684578999999999</v>
      </c>
      <c r="O1538">
        <v>29.808562500000001</v>
      </c>
      <c r="P1538">
        <v>30.516876</v>
      </c>
      <c r="Q1538">
        <v>29.746015</v>
      </c>
      <c r="R1538">
        <v>28.431827999999999</v>
      </c>
      <c r="S1538">
        <v>28.454286</v>
      </c>
      <c r="T1538">
        <v>28.521660000000001</v>
      </c>
      <c r="U1538">
        <v>27.714945</v>
      </c>
      <c r="V1538">
        <v>28.328107500000002</v>
      </c>
      <c r="W1538">
        <v>30.233196</v>
      </c>
      <c r="X1538">
        <v>30.264125</v>
      </c>
      <c r="Y1538">
        <v>29.128813999999998</v>
      </c>
      <c r="Z1538">
        <v>26.9516685</v>
      </c>
      <c r="AA1538">
        <v>24.105708</v>
      </c>
      <c r="AB1538">
        <v>22.301188</v>
      </c>
    </row>
    <row r="1539" spans="1:28" hidden="1" x14ac:dyDescent="0.25">
      <c r="A1539" t="s">
        <v>208</v>
      </c>
      <c r="B1539" t="s">
        <v>212</v>
      </c>
      <c r="C1539">
        <v>115</v>
      </c>
      <c r="D1539" t="s">
        <v>3</v>
      </c>
      <c r="E1539">
        <v>10.0004130448</v>
      </c>
      <c r="F1539">
        <v>9.9984191699</v>
      </c>
      <c r="G1539">
        <v>9.7999796741999994</v>
      </c>
      <c r="H1539">
        <v>9.9688346767000002</v>
      </c>
      <c r="I1539">
        <v>10.206300247</v>
      </c>
      <c r="J1539">
        <v>9.9994102056000003</v>
      </c>
      <c r="K1539">
        <v>10.748571585700001</v>
      </c>
      <c r="L1539">
        <v>11.901279284199999</v>
      </c>
      <c r="M1539">
        <v>12.2813495921</v>
      </c>
      <c r="N1539">
        <v>13.102478226900001</v>
      </c>
      <c r="O1539">
        <v>13.641890887500001</v>
      </c>
      <c r="P1539">
        <v>13.6987268914</v>
      </c>
      <c r="Q1539">
        <v>13.335234827100001</v>
      </c>
      <c r="R1539">
        <v>12.846051319900001</v>
      </c>
      <c r="S1539">
        <v>12.7811973091</v>
      </c>
      <c r="T1539">
        <v>12.8114606018</v>
      </c>
      <c r="U1539">
        <v>12.236842546</v>
      </c>
      <c r="V1539">
        <v>12.322485865799999</v>
      </c>
      <c r="W1539">
        <v>12.2884655156</v>
      </c>
      <c r="X1539">
        <v>11.817834527400001</v>
      </c>
      <c r="Y1539">
        <v>11.5032789461</v>
      </c>
      <c r="Z1539">
        <v>10.8459343662</v>
      </c>
      <c r="AA1539">
        <v>10.2398987871</v>
      </c>
      <c r="AB1539">
        <v>10.232050449600001</v>
      </c>
    </row>
    <row r="1540" spans="1:28" hidden="1" x14ac:dyDescent="0.25">
      <c r="A1540" t="s">
        <v>208</v>
      </c>
      <c r="B1540" t="s">
        <v>212</v>
      </c>
      <c r="C1540">
        <v>115</v>
      </c>
      <c r="D1540" t="s">
        <v>4</v>
      </c>
      <c r="E1540">
        <v>0.30851099999999998</v>
      </c>
      <c r="F1540">
        <v>0.30312</v>
      </c>
      <c r="G1540">
        <v>0.29759999999999998</v>
      </c>
      <c r="H1540">
        <v>0.30038999999999999</v>
      </c>
      <c r="I1540">
        <v>0.32053949999999998</v>
      </c>
      <c r="J1540">
        <v>0.35544599999999998</v>
      </c>
      <c r="K1540">
        <v>0.38288250000000001</v>
      </c>
      <c r="L1540">
        <v>0.4138155</v>
      </c>
      <c r="M1540">
        <v>0.40918500000000002</v>
      </c>
      <c r="N1540">
        <v>0.43682100000000001</v>
      </c>
      <c r="O1540">
        <v>0.45393749999999999</v>
      </c>
      <c r="P1540">
        <v>0.46472400000000003</v>
      </c>
      <c r="Q1540">
        <v>0.45298500000000003</v>
      </c>
      <c r="R1540">
        <v>0.43297200000000002</v>
      </c>
      <c r="S1540">
        <v>0.43331399999999998</v>
      </c>
      <c r="T1540">
        <v>0.43434</v>
      </c>
      <c r="U1540">
        <v>0.42205500000000001</v>
      </c>
      <c r="V1540">
        <v>0.43139250000000001</v>
      </c>
      <c r="W1540">
        <v>0.46040399999999998</v>
      </c>
      <c r="X1540">
        <v>0.46087499999999998</v>
      </c>
      <c r="Y1540">
        <v>0.44358599999999998</v>
      </c>
      <c r="Z1540">
        <v>0.4104315</v>
      </c>
      <c r="AA1540">
        <v>0.36709199999999997</v>
      </c>
      <c r="AB1540">
        <v>0.33961200000000002</v>
      </c>
    </row>
    <row r="1541" spans="1:28" hidden="1" x14ac:dyDescent="0.25">
      <c r="A1541" t="s">
        <v>208</v>
      </c>
      <c r="B1541" t="s">
        <v>213</v>
      </c>
      <c r="C1541">
        <v>115</v>
      </c>
      <c r="D1541" t="s">
        <v>2</v>
      </c>
      <c r="E1541">
        <v>6.7693139999999996</v>
      </c>
      <c r="F1541">
        <v>6.5404</v>
      </c>
      <c r="G1541">
        <v>6.1986049999999997</v>
      </c>
      <c r="H1541">
        <v>6.1680700000000002</v>
      </c>
      <c r="I1541">
        <v>6.5506440000000001</v>
      </c>
      <c r="J1541">
        <v>7.5831210000000002</v>
      </c>
      <c r="K1541">
        <v>8.0287349999999993</v>
      </c>
      <c r="L1541">
        <v>8.7380335000000002</v>
      </c>
      <c r="M1541">
        <v>9.1634550000000008</v>
      </c>
      <c r="N1541">
        <v>9.3834055000000003</v>
      </c>
      <c r="O1541">
        <v>10.083937499999999</v>
      </c>
      <c r="P1541">
        <v>10.302903000000001</v>
      </c>
      <c r="Q1541">
        <v>9.9681999999999995</v>
      </c>
      <c r="R1541">
        <v>9.8590619999999998</v>
      </c>
      <c r="S1541">
        <v>9.9039780000000004</v>
      </c>
      <c r="T1541">
        <v>9.7692300000000003</v>
      </c>
      <c r="U1541">
        <v>9.6835349999999991</v>
      </c>
      <c r="V1541">
        <v>10.148061</v>
      </c>
      <c r="W1541">
        <v>11.54223</v>
      </c>
      <c r="X1541">
        <v>11.67225</v>
      </c>
      <c r="Y1541">
        <v>11.322575000000001</v>
      </c>
      <c r="Z1541">
        <v>10.213957499999999</v>
      </c>
      <c r="AA1541">
        <v>8.8153559999999995</v>
      </c>
      <c r="AB1541">
        <v>7.8340990000000001</v>
      </c>
    </row>
    <row r="1542" spans="1:28" hidden="1" x14ac:dyDescent="0.25">
      <c r="A1542" t="s">
        <v>208</v>
      </c>
      <c r="B1542" t="s">
        <v>213</v>
      </c>
      <c r="C1542">
        <v>115</v>
      </c>
      <c r="D1542" t="s">
        <v>3</v>
      </c>
      <c r="E1542">
        <v>3.9699804804999999</v>
      </c>
      <c r="F1542">
        <v>3.9948753774000001</v>
      </c>
      <c r="G1542">
        <v>3.8936098190999999</v>
      </c>
      <c r="H1542">
        <v>3.8711949854999999</v>
      </c>
      <c r="I1542">
        <v>3.8782434198</v>
      </c>
      <c r="J1542">
        <v>3.9268564571</v>
      </c>
      <c r="K1542">
        <v>4.1775241824</v>
      </c>
      <c r="L1542">
        <v>4.7352836066000004</v>
      </c>
      <c r="M1542">
        <v>5.0155098138999996</v>
      </c>
      <c r="N1542">
        <v>5.1536666886000004</v>
      </c>
      <c r="O1542">
        <v>5.5411476659999996</v>
      </c>
      <c r="P1542">
        <v>5.5300782778000004</v>
      </c>
      <c r="Q1542">
        <v>5.2933099723000003</v>
      </c>
      <c r="R1542">
        <v>5.3989105612000001</v>
      </c>
      <c r="S1542">
        <v>5.4556421117999996</v>
      </c>
      <c r="T1542">
        <v>5.3232586251000003</v>
      </c>
      <c r="U1542">
        <v>5.1156543813999997</v>
      </c>
      <c r="V1542">
        <v>5.2018153782000001</v>
      </c>
      <c r="W1542">
        <v>5.3057593644000001</v>
      </c>
      <c r="X1542">
        <v>5.0947134344</v>
      </c>
      <c r="Y1542">
        <v>5.0159349643000004</v>
      </c>
      <c r="Z1542">
        <v>4.6446876447000003</v>
      </c>
      <c r="AA1542">
        <v>4.2894259434000004</v>
      </c>
      <c r="AB1542">
        <v>4.2496802598999999</v>
      </c>
    </row>
    <row r="1543" spans="1:28" hidden="1" x14ac:dyDescent="0.25">
      <c r="A1543" t="s">
        <v>208</v>
      </c>
      <c r="B1543" t="s">
        <v>213</v>
      </c>
      <c r="C1543">
        <v>115</v>
      </c>
      <c r="D1543" t="s">
        <v>4</v>
      </c>
      <c r="E1543">
        <v>0.103086</v>
      </c>
      <c r="F1543">
        <v>9.9599999999999994E-2</v>
      </c>
      <c r="G1543">
        <v>9.4395000000000007E-2</v>
      </c>
      <c r="H1543">
        <v>9.393E-2</v>
      </c>
      <c r="I1543">
        <v>9.9755999999999997E-2</v>
      </c>
      <c r="J1543">
        <v>0.115479</v>
      </c>
      <c r="K1543">
        <v>0.122265</v>
      </c>
      <c r="L1543">
        <v>0.1330665</v>
      </c>
      <c r="M1543">
        <v>0.139545</v>
      </c>
      <c r="N1543">
        <v>0.14289450000000001</v>
      </c>
      <c r="O1543">
        <v>0.15356249999999999</v>
      </c>
      <c r="P1543">
        <v>0.15689700000000001</v>
      </c>
      <c r="Q1543">
        <v>0.15179999999999999</v>
      </c>
      <c r="R1543">
        <v>0.15013799999999999</v>
      </c>
      <c r="S1543">
        <v>0.15082200000000001</v>
      </c>
      <c r="T1543">
        <v>0.14877000000000001</v>
      </c>
      <c r="U1543">
        <v>0.14746500000000001</v>
      </c>
      <c r="V1543">
        <v>0.15453900000000001</v>
      </c>
      <c r="W1543">
        <v>0.17577000000000001</v>
      </c>
      <c r="X1543">
        <v>0.17774999999999999</v>
      </c>
      <c r="Y1543">
        <v>0.17242499999999999</v>
      </c>
      <c r="Z1543">
        <v>0.1555425</v>
      </c>
      <c r="AA1543">
        <v>0.134244</v>
      </c>
      <c r="AB1543">
        <v>0.119301</v>
      </c>
    </row>
    <row r="1544" spans="1:28" hidden="1" x14ac:dyDescent="0.25">
      <c r="A1544" t="s">
        <v>208</v>
      </c>
      <c r="B1544" t="s">
        <v>214</v>
      </c>
      <c r="C1544">
        <v>115</v>
      </c>
      <c r="D1544" t="s">
        <v>2</v>
      </c>
      <c r="E1544">
        <v>8.9930500000000002</v>
      </c>
      <c r="F1544">
        <v>8.8728800000000003</v>
      </c>
      <c r="G1544">
        <v>7.5421449999999997</v>
      </c>
      <c r="H1544">
        <v>7.6184824999999998</v>
      </c>
      <c r="I1544">
        <v>8.0598609999999997</v>
      </c>
      <c r="J1544">
        <v>8.8738650000000003</v>
      </c>
      <c r="K1544">
        <v>9.0467324999999992</v>
      </c>
      <c r="L1544">
        <v>9.3179029999999994</v>
      </c>
      <c r="M1544">
        <v>9.9494849999999992</v>
      </c>
      <c r="N1544">
        <v>9.875019</v>
      </c>
      <c r="O1544">
        <v>9.8623124999999998</v>
      </c>
      <c r="P1544">
        <v>10.487295</v>
      </c>
      <c r="Q1544">
        <v>9.9228900000000007</v>
      </c>
      <c r="R1544">
        <v>9.9264360000000007</v>
      </c>
      <c r="S1544">
        <v>11.184084</v>
      </c>
      <c r="T1544">
        <v>10.420512</v>
      </c>
      <c r="U1544">
        <v>10.418148</v>
      </c>
      <c r="V1544">
        <v>11.854573500000001</v>
      </c>
      <c r="W1544">
        <v>13.304592</v>
      </c>
      <c r="X1544">
        <v>13.026624999999999</v>
      </c>
      <c r="Y1544">
        <v>12.609773000000001</v>
      </c>
      <c r="Z1544">
        <v>11.2683015</v>
      </c>
      <c r="AA1544">
        <v>10.551123</v>
      </c>
      <c r="AB1544">
        <v>8.7483760000000004</v>
      </c>
    </row>
    <row r="1545" spans="1:28" hidden="1" x14ac:dyDescent="0.25">
      <c r="A1545" t="s">
        <v>208</v>
      </c>
      <c r="B1545" t="s">
        <v>214</v>
      </c>
      <c r="C1545">
        <v>115</v>
      </c>
      <c r="D1545" t="s">
        <v>3</v>
      </c>
      <c r="E1545">
        <v>5.4597699801999999</v>
      </c>
      <c r="F1545">
        <v>5.7174067452999999</v>
      </c>
      <c r="G1545">
        <v>5.2134914198000004</v>
      </c>
      <c r="H1545">
        <v>5.2820989913999998</v>
      </c>
      <c r="I1545">
        <v>4.8932216691999999</v>
      </c>
      <c r="J1545">
        <v>4.2701236825000004</v>
      </c>
      <c r="K1545">
        <v>4.0264110606000001</v>
      </c>
      <c r="L1545">
        <v>4.1113304715999996</v>
      </c>
      <c r="M1545">
        <v>4.6311422320000002</v>
      </c>
      <c r="N1545">
        <v>4.8468358362000004</v>
      </c>
      <c r="O1545">
        <v>5.0088496245999998</v>
      </c>
      <c r="P1545">
        <v>5.1207407128</v>
      </c>
      <c r="Q1545">
        <v>4.7749168584000001</v>
      </c>
      <c r="R1545">
        <v>5.0359002575999998</v>
      </c>
      <c r="S1545">
        <v>5.6956745230000001</v>
      </c>
      <c r="T1545">
        <v>5.2459508563000004</v>
      </c>
      <c r="U1545">
        <v>4.6214228493</v>
      </c>
      <c r="V1545">
        <v>5.4562121561000003</v>
      </c>
      <c r="W1545">
        <v>5.4978806107000002</v>
      </c>
      <c r="X1545">
        <v>5.1934099442999999</v>
      </c>
      <c r="Y1545">
        <v>5.2647213459</v>
      </c>
      <c r="Z1545">
        <v>4.6840096273</v>
      </c>
      <c r="AA1545">
        <v>4.9203061392</v>
      </c>
      <c r="AB1545">
        <v>4.2469380943999999</v>
      </c>
    </row>
    <row r="1546" spans="1:28" hidden="1" x14ac:dyDescent="0.25">
      <c r="A1546" t="s">
        <v>208</v>
      </c>
      <c r="B1546" t="s">
        <v>214</v>
      </c>
      <c r="C1546">
        <v>115</v>
      </c>
      <c r="D1546" t="s">
        <v>4</v>
      </c>
      <c r="E1546">
        <v>0.13694999999999999</v>
      </c>
      <c r="F1546">
        <v>0.13511999999999999</v>
      </c>
      <c r="G1546">
        <v>0.114855</v>
      </c>
      <c r="H1546">
        <v>0.1160175</v>
      </c>
      <c r="I1546">
        <v>0.122739</v>
      </c>
      <c r="J1546">
        <v>0.13513500000000001</v>
      </c>
      <c r="K1546">
        <v>0.13776749999999999</v>
      </c>
      <c r="L1546">
        <v>0.141897</v>
      </c>
      <c r="M1546">
        <v>0.15151500000000001</v>
      </c>
      <c r="N1546">
        <v>0.15038099999999999</v>
      </c>
      <c r="O1546">
        <v>0.1501875</v>
      </c>
      <c r="P1546">
        <v>0.15970500000000001</v>
      </c>
      <c r="Q1546">
        <v>0.15110999999999999</v>
      </c>
      <c r="R1546">
        <v>0.15116399999999999</v>
      </c>
      <c r="S1546">
        <v>0.170316</v>
      </c>
      <c r="T1546">
        <v>0.158688</v>
      </c>
      <c r="U1546">
        <v>0.15865199999999999</v>
      </c>
      <c r="V1546">
        <v>0.18052650000000001</v>
      </c>
      <c r="W1546">
        <v>0.20260800000000001</v>
      </c>
      <c r="X1546">
        <v>0.198375</v>
      </c>
      <c r="Y1546">
        <v>0.192027</v>
      </c>
      <c r="Z1546">
        <v>0.17159849999999999</v>
      </c>
      <c r="AA1546">
        <v>0.16067699999999999</v>
      </c>
      <c r="AB1546">
        <v>0.13322400000000001</v>
      </c>
    </row>
    <row r="1547" spans="1:28" hidden="1" x14ac:dyDescent="0.25">
      <c r="A1547" t="s">
        <v>208</v>
      </c>
      <c r="B1547" t="s">
        <v>215</v>
      </c>
      <c r="C1547">
        <v>115</v>
      </c>
      <c r="D1547" t="s">
        <v>2</v>
      </c>
      <c r="E1547">
        <v>5.575691</v>
      </c>
      <c r="F1547">
        <v>5.2638400000000001</v>
      </c>
      <c r="G1547">
        <v>5.2214850000000004</v>
      </c>
      <c r="H1547">
        <v>5.1146124999999998</v>
      </c>
      <c r="I1547">
        <v>5.4428144999999999</v>
      </c>
      <c r="J1547">
        <v>6.3103040000000004</v>
      </c>
      <c r="K1547">
        <v>7.1643974999999998</v>
      </c>
      <c r="L1547">
        <v>7.0984024999999997</v>
      </c>
      <c r="M1547">
        <v>7.0328999999999997</v>
      </c>
      <c r="N1547">
        <v>7.181832</v>
      </c>
      <c r="O1547">
        <v>7.1584874999999997</v>
      </c>
      <c r="P1547">
        <v>7.4448270000000001</v>
      </c>
      <c r="Q1547">
        <v>6.6832250000000002</v>
      </c>
      <c r="R1547">
        <v>6.6251100000000003</v>
      </c>
      <c r="S1547">
        <v>7.0293539999999997</v>
      </c>
      <c r="T1547">
        <v>8.0399639999999994</v>
      </c>
      <c r="U1547">
        <v>8.0362209999999994</v>
      </c>
      <c r="V1547">
        <v>8.7145904999999999</v>
      </c>
      <c r="W1547">
        <v>10.052910000000001</v>
      </c>
      <c r="X1547">
        <v>10.120875</v>
      </c>
      <c r="Y1547">
        <v>9.4871259999999999</v>
      </c>
      <c r="Z1547">
        <v>8.4347519999999996</v>
      </c>
      <c r="AA1547">
        <v>7.2161099999999996</v>
      </c>
      <c r="AB1547">
        <v>6.4178660000000001</v>
      </c>
    </row>
    <row r="1548" spans="1:28" hidden="1" x14ac:dyDescent="0.25">
      <c r="A1548" t="s">
        <v>208</v>
      </c>
      <c r="B1548" t="s">
        <v>215</v>
      </c>
      <c r="C1548">
        <v>115</v>
      </c>
      <c r="D1548" t="s">
        <v>3</v>
      </c>
      <c r="E1548">
        <v>1.8816457492000001</v>
      </c>
      <c r="F1548">
        <v>1.6503669239000001</v>
      </c>
      <c r="G1548">
        <v>1.4737577788</v>
      </c>
      <c r="H1548">
        <v>1.4597857487000001</v>
      </c>
      <c r="I1548">
        <v>1.3377126354</v>
      </c>
      <c r="J1548">
        <v>1.1643385488</v>
      </c>
      <c r="K1548">
        <v>1.0260408743</v>
      </c>
      <c r="L1548">
        <v>1.3535920685</v>
      </c>
      <c r="M1548">
        <v>1.9141497913000001</v>
      </c>
      <c r="N1548">
        <v>2.1443503305</v>
      </c>
      <c r="O1548">
        <v>1.7720677001</v>
      </c>
      <c r="P1548">
        <v>1.5502597192000001</v>
      </c>
      <c r="Q1548">
        <v>0.89765642879999996</v>
      </c>
      <c r="R1548">
        <v>1.1566370592999999</v>
      </c>
      <c r="S1548">
        <v>0.91135191289999995</v>
      </c>
      <c r="T1548">
        <v>1.2885132721000001</v>
      </c>
      <c r="U1548">
        <v>1.4873674525</v>
      </c>
      <c r="V1548">
        <v>1.8934605035000001</v>
      </c>
      <c r="W1548">
        <v>1.9114168887</v>
      </c>
      <c r="X1548">
        <v>1.9355387398999999</v>
      </c>
      <c r="Y1548">
        <v>1.8964527723</v>
      </c>
      <c r="Z1548">
        <v>1.8697762407</v>
      </c>
      <c r="AA1548">
        <v>2.1900777944000001</v>
      </c>
      <c r="AB1548">
        <v>2.4280968157</v>
      </c>
    </row>
    <row r="1549" spans="1:28" hidden="1" x14ac:dyDescent="0.25">
      <c r="A1549" t="s">
        <v>208</v>
      </c>
      <c r="B1549" t="s">
        <v>215</v>
      </c>
      <c r="C1549">
        <v>115</v>
      </c>
      <c r="D1549" t="s">
        <v>4</v>
      </c>
      <c r="E1549">
        <v>8.4908999999999998E-2</v>
      </c>
      <c r="F1549">
        <v>8.0159999999999995E-2</v>
      </c>
      <c r="G1549">
        <v>7.9515000000000002E-2</v>
      </c>
      <c r="H1549">
        <v>7.7887499999999998E-2</v>
      </c>
      <c r="I1549">
        <v>8.2885500000000001E-2</v>
      </c>
      <c r="J1549">
        <v>9.6096000000000001E-2</v>
      </c>
      <c r="K1549">
        <v>0.10910250000000001</v>
      </c>
      <c r="L1549">
        <v>0.1080975</v>
      </c>
      <c r="M1549">
        <v>0.1071</v>
      </c>
      <c r="N1549">
        <v>0.10936800000000001</v>
      </c>
      <c r="O1549">
        <v>0.1090125</v>
      </c>
      <c r="P1549">
        <v>0.113373</v>
      </c>
      <c r="Q1549">
        <v>0.101775</v>
      </c>
      <c r="R1549">
        <v>0.10088999999999999</v>
      </c>
      <c r="S1549">
        <v>0.107046</v>
      </c>
      <c r="T1549">
        <v>0.122436</v>
      </c>
      <c r="U1549">
        <v>0.122379</v>
      </c>
      <c r="V1549">
        <v>0.13270950000000001</v>
      </c>
      <c r="W1549">
        <v>0.15309</v>
      </c>
      <c r="X1549">
        <v>0.15412500000000001</v>
      </c>
      <c r="Y1549">
        <v>0.14447399999999999</v>
      </c>
      <c r="Z1549">
        <v>0.12844800000000001</v>
      </c>
      <c r="AA1549">
        <v>0.10989</v>
      </c>
      <c r="AB1549">
        <v>9.7734000000000001E-2</v>
      </c>
    </row>
    <row r="1550" spans="1:28" hidden="1" x14ac:dyDescent="0.25">
      <c r="A1550" t="s">
        <v>208</v>
      </c>
      <c r="B1550" t="s">
        <v>216</v>
      </c>
      <c r="C1550">
        <v>115</v>
      </c>
      <c r="D1550" t="s">
        <v>2</v>
      </c>
      <c r="E1550">
        <v>15.582503000000001</v>
      </c>
      <c r="F1550">
        <v>14.76712</v>
      </c>
      <c r="G1550">
        <v>14.580462499999999</v>
      </c>
      <c r="H1550">
        <v>14.672067500000001</v>
      </c>
      <c r="I1550">
        <v>15.509613</v>
      </c>
      <c r="J1550">
        <v>18.859203999999998</v>
      </c>
      <c r="K1550">
        <v>21.550815</v>
      </c>
      <c r="L1550">
        <v>22.8148655</v>
      </c>
      <c r="M1550">
        <v>23.456790000000002</v>
      </c>
      <c r="N1550">
        <v>24.1318105</v>
      </c>
      <c r="O1550">
        <v>25.509037500000002</v>
      </c>
      <c r="P1550">
        <v>25.630488</v>
      </c>
      <c r="Q1550">
        <v>26.098559999999999</v>
      </c>
      <c r="R1550">
        <v>24.883464</v>
      </c>
      <c r="S1550">
        <v>24.569051999999999</v>
      </c>
      <c r="T1550">
        <v>24.277097999999999</v>
      </c>
      <c r="U1550">
        <v>24.108663</v>
      </c>
      <c r="V1550">
        <v>25.165371</v>
      </c>
      <c r="W1550">
        <v>28.123325999999999</v>
      </c>
      <c r="X1550">
        <v>28.392624999999999</v>
      </c>
      <c r="Y1550">
        <v>27.126505999999999</v>
      </c>
      <c r="Z1550">
        <v>24.513497999999998</v>
      </c>
      <c r="AA1550">
        <v>21.121749000000001</v>
      </c>
      <c r="AB1550">
        <v>18.518591000000001</v>
      </c>
    </row>
    <row r="1551" spans="1:28" hidden="1" x14ac:dyDescent="0.25">
      <c r="A1551" t="s">
        <v>208</v>
      </c>
      <c r="B1551" t="s">
        <v>216</v>
      </c>
      <c r="C1551">
        <v>115</v>
      </c>
      <c r="D1551" t="s">
        <v>3</v>
      </c>
      <c r="E1551">
        <v>8.1550526103000003</v>
      </c>
      <c r="F1551">
        <v>7.9784752622999999</v>
      </c>
      <c r="G1551">
        <v>7.9567551524000004</v>
      </c>
      <c r="H1551">
        <v>8.0266127087000001</v>
      </c>
      <c r="I1551">
        <v>7.7342990288999998</v>
      </c>
      <c r="J1551">
        <v>7.7526938371999998</v>
      </c>
      <c r="K1551">
        <v>8.5648024564000007</v>
      </c>
      <c r="L1551">
        <v>9.4208326553999999</v>
      </c>
      <c r="M1551">
        <v>10.0066878446</v>
      </c>
      <c r="N1551">
        <v>10.4106108545</v>
      </c>
      <c r="O1551">
        <v>10.820611763</v>
      </c>
      <c r="P1551">
        <v>10.7400365379</v>
      </c>
      <c r="Q1551">
        <v>11.047008613399999</v>
      </c>
      <c r="R1551">
        <v>10.690123459500001</v>
      </c>
      <c r="S1551">
        <v>10.665342257700001</v>
      </c>
      <c r="T1551">
        <v>10.327357730199999</v>
      </c>
      <c r="U1551">
        <v>9.9476789681</v>
      </c>
      <c r="V1551">
        <v>10.150571236199999</v>
      </c>
      <c r="W1551">
        <v>10.2260512169</v>
      </c>
      <c r="X1551">
        <v>9.9911888223999998</v>
      </c>
      <c r="Y1551">
        <v>9.7824866531999994</v>
      </c>
      <c r="Z1551">
        <v>9.0588940602000001</v>
      </c>
      <c r="AA1551">
        <v>8.5719847437999999</v>
      </c>
      <c r="AB1551">
        <v>8.4157311000000004</v>
      </c>
    </row>
    <row r="1552" spans="1:28" hidden="1" x14ac:dyDescent="0.25">
      <c r="A1552" t="s">
        <v>208</v>
      </c>
      <c r="B1552" t="s">
        <v>216</v>
      </c>
      <c r="C1552">
        <v>115</v>
      </c>
      <c r="D1552" t="s">
        <v>4</v>
      </c>
      <c r="E1552">
        <v>0.23729700000000001</v>
      </c>
      <c r="F1552">
        <v>0.22488</v>
      </c>
      <c r="G1552">
        <v>0.2220375</v>
      </c>
      <c r="H1552">
        <v>0.22343250000000001</v>
      </c>
      <c r="I1552">
        <v>0.23618700000000001</v>
      </c>
      <c r="J1552">
        <v>0.28719600000000001</v>
      </c>
      <c r="K1552">
        <v>0.328185</v>
      </c>
      <c r="L1552">
        <v>0.34743449999999998</v>
      </c>
      <c r="M1552">
        <v>0.35721000000000003</v>
      </c>
      <c r="N1552">
        <v>0.36748950000000002</v>
      </c>
      <c r="O1552">
        <v>0.38846249999999999</v>
      </c>
      <c r="P1552">
        <v>0.39031199999999999</v>
      </c>
      <c r="Q1552">
        <v>0.39744000000000002</v>
      </c>
      <c r="R1552">
        <v>0.378936</v>
      </c>
      <c r="S1552">
        <v>0.37414799999999998</v>
      </c>
      <c r="T1552">
        <v>0.36970199999999998</v>
      </c>
      <c r="U1552">
        <v>0.36713699999999999</v>
      </c>
      <c r="V1552">
        <v>0.38322899999999999</v>
      </c>
      <c r="W1552">
        <v>0.42827399999999999</v>
      </c>
      <c r="X1552">
        <v>0.43237500000000001</v>
      </c>
      <c r="Y1552">
        <v>0.41309400000000002</v>
      </c>
      <c r="Z1552">
        <v>0.37330200000000002</v>
      </c>
      <c r="AA1552">
        <v>0.32165100000000002</v>
      </c>
      <c r="AB1552">
        <v>0.28200900000000001</v>
      </c>
    </row>
    <row r="1553" spans="1:28" hidden="1" x14ac:dyDescent="0.25">
      <c r="A1553" t="s">
        <v>208</v>
      </c>
      <c r="B1553" t="s">
        <v>217</v>
      </c>
      <c r="C1553">
        <v>115</v>
      </c>
      <c r="D1553" t="s">
        <v>2</v>
      </c>
      <c r="E1553">
        <v>2.2073849999999999</v>
      </c>
      <c r="F1553">
        <v>2.2536800000000001</v>
      </c>
      <c r="G1553">
        <v>2.1985199999999998</v>
      </c>
      <c r="H1553">
        <v>2.1679849999999998</v>
      </c>
      <c r="I1553">
        <v>2.24777</v>
      </c>
      <c r="J1553">
        <v>2.6352690000000001</v>
      </c>
      <c r="K1553">
        <v>3.0539925000000001</v>
      </c>
      <c r="L1553">
        <v>3.239271</v>
      </c>
      <c r="M1553">
        <v>2.8959000000000001</v>
      </c>
      <c r="N1553">
        <v>2.6504379999999998</v>
      </c>
      <c r="O1553">
        <v>2.7703125000000002</v>
      </c>
      <c r="P1553">
        <v>2.4431940000000001</v>
      </c>
      <c r="Q1553">
        <v>2.2881550000000002</v>
      </c>
      <c r="R1553">
        <v>2.178426</v>
      </c>
      <c r="S1553">
        <v>2.1110519999999999</v>
      </c>
      <c r="T1553">
        <v>2.4254639999999998</v>
      </c>
      <c r="U1553">
        <v>2.5822759999999998</v>
      </c>
      <c r="V1553">
        <v>3.1172295000000001</v>
      </c>
      <c r="W1553">
        <v>3.84741</v>
      </c>
      <c r="X1553">
        <v>3.7922500000000001</v>
      </c>
      <c r="Y1553">
        <v>3.4802019999999998</v>
      </c>
      <c r="Z1553">
        <v>3.0092734999999999</v>
      </c>
      <c r="AA1553">
        <v>2.4768810000000001</v>
      </c>
      <c r="AB1553">
        <v>2.3305099999999999</v>
      </c>
    </row>
    <row r="1554" spans="1:28" hidden="1" x14ac:dyDescent="0.25">
      <c r="A1554" t="s">
        <v>208</v>
      </c>
      <c r="B1554" t="s">
        <v>217</v>
      </c>
      <c r="C1554">
        <v>115</v>
      </c>
      <c r="D1554" t="s">
        <v>3</v>
      </c>
      <c r="E1554">
        <v>1.3138780537999999</v>
      </c>
      <c r="F1554">
        <v>1.3634752318000001</v>
      </c>
      <c r="G1554">
        <v>1.3792553775</v>
      </c>
      <c r="H1554">
        <v>1.3578247215000001</v>
      </c>
      <c r="I1554">
        <v>1.2991015212000001</v>
      </c>
      <c r="J1554">
        <v>1.2822841433000001</v>
      </c>
      <c r="K1554">
        <v>1.2070150689000001</v>
      </c>
      <c r="L1554">
        <v>1.3603177181999999</v>
      </c>
      <c r="M1554">
        <v>1.4755871693</v>
      </c>
      <c r="N1554">
        <v>1.6112038755</v>
      </c>
      <c r="O1554">
        <v>1.8002954136</v>
      </c>
      <c r="P1554">
        <v>1.7142471951</v>
      </c>
      <c r="Q1554">
        <v>1.7859715275000001</v>
      </c>
      <c r="R1554">
        <v>1.8397327733</v>
      </c>
      <c r="S1554">
        <v>1.7397966054</v>
      </c>
      <c r="T1554">
        <v>1.7364664689</v>
      </c>
      <c r="U1554">
        <v>1.6659619053000001</v>
      </c>
      <c r="V1554">
        <v>1.7465369337000001</v>
      </c>
      <c r="W1554">
        <v>1.4791037717</v>
      </c>
      <c r="X1554">
        <v>1.4384093984999999</v>
      </c>
      <c r="Y1554">
        <v>1.4295808371000001</v>
      </c>
      <c r="Z1554">
        <v>1.5391961492999999</v>
      </c>
      <c r="AA1554">
        <v>1.4143216867999999</v>
      </c>
      <c r="AB1554">
        <v>1.3394603201999999</v>
      </c>
    </row>
    <row r="1555" spans="1:28" hidden="1" x14ac:dyDescent="0.25">
      <c r="A1555" t="s">
        <v>208</v>
      </c>
      <c r="B1555" t="s">
        <v>217</v>
      </c>
      <c r="C1555">
        <v>115</v>
      </c>
      <c r="D1555" t="s">
        <v>4</v>
      </c>
      <c r="E1555">
        <v>3.3614999999999999E-2</v>
      </c>
      <c r="F1555">
        <v>3.4320000000000003E-2</v>
      </c>
      <c r="G1555">
        <v>3.3480000000000003E-2</v>
      </c>
      <c r="H1555">
        <v>3.3015000000000003E-2</v>
      </c>
      <c r="I1555">
        <v>3.4229999999999997E-2</v>
      </c>
      <c r="J1555">
        <v>4.0131E-2</v>
      </c>
      <c r="K1555">
        <v>4.65075E-2</v>
      </c>
      <c r="L1555">
        <v>4.9328999999999998E-2</v>
      </c>
      <c r="M1555">
        <v>4.41E-2</v>
      </c>
      <c r="N1555">
        <v>4.0362000000000002E-2</v>
      </c>
      <c r="O1555">
        <v>4.2187500000000003E-2</v>
      </c>
      <c r="P1555">
        <v>3.7206000000000003E-2</v>
      </c>
      <c r="Q1555">
        <v>3.4845000000000001E-2</v>
      </c>
      <c r="R1555">
        <v>3.3174000000000002E-2</v>
      </c>
      <c r="S1555">
        <v>3.2148000000000003E-2</v>
      </c>
      <c r="T1555">
        <v>3.6935999999999997E-2</v>
      </c>
      <c r="U1555">
        <v>3.9323999999999998E-2</v>
      </c>
      <c r="V1555">
        <v>4.7470499999999999E-2</v>
      </c>
      <c r="W1555">
        <v>5.8590000000000003E-2</v>
      </c>
      <c r="X1555">
        <v>5.7750000000000003E-2</v>
      </c>
      <c r="Y1555">
        <v>5.2998000000000003E-2</v>
      </c>
      <c r="Z1555">
        <v>4.5826499999999999E-2</v>
      </c>
      <c r="AA1555">
        <v>3.7719000000000003E-2</v>
      </c>
      <c r="AB1555">
        <v>3.5490000000000001E-2</v>
      </c>
    </row>
    <row r="1556" spans="1:28" hidden="1" x14ac:dyDescent="0.25">
      <c r="A1556" t="s">
        <v>208</v>
      </c>
      <c r="B1556" t="s">
        <v>218</v>
      </c>
      <c r="C1556">
        <v>115</v>
      </c>
      <c r="D1556" t="s">
        <v>2</v>
      </c>
      <c r="E1556">
        <v>1.0628150000000001</v>
      </c>
      <c r="F1556">
        <v>1.2292799999999999</v>
      </c>
      <c r="G1556">
        <v>1.4656800000000001</v>
      </c>
      <c r="H1556">
        <v>0.74810750000000004</v>
      </c>
      <c r="I1556">
        <v>1.541328</v>
      </c>
      <c r="J1556">
        <v>1.398306</v>
      </c>
      <c r="K1556">
        <v>1.4021475000000001</v>
      </c>
      <c r="L1556">
        <v>1.2197255</v>
      </c>
      <c r="M1556">
        <v>1.48932</v>
      </c>
      <c r="N1556">
        <v>2.2870715000000001</v>
      </c>
      <c r="O1556">
        <v>1.9281375000000001</v>
      </c>
      <c r="P1556">
        <v>2.3048999999999999</v>
      </c>
      <c r="Q1556">
        <v>2.5826699999999998</v>
      </c>
      <c r="R1556">
        <v>2.3356319999999999</v>
      </c>
      <c r="S1556">
        <v>2.47038</v>
      </c>
      <c r="T1556">
        <v>2.2682579999999999</v>
      </c>
      <c r="U1556">
        <v>2.114795</v>
      </c>
      <c r="V1556">
        <v>1.6610054999999999</v>
      </c>
      <c r="W1556">
        <v>1.3900319999999999</v>
      </c>
      <c r="X1556">
        <v>1.846875</v>
      </c>
      <c r="Y1556">
        <v>2.2645149999999998</v>
      </c>
      <c r="Z1556">
        <v>1.889033</v>
      </c>
      <c r="AA1556">
        <v>1.5602400000000001</v>
      </c>
      <c r="AB1556">
        <v>1.236963</v>
      </c>
    </row>
    <row r="1557" spans="1:28" hidden="1" x14ac:dyDescent="0.25">
      <c r="A1557" t="s">
        <v>208</v>
      </c>
      <c r="B1557" t="s">
        <v>218</v>
      </c>
      <c r="C1557">
        <v>115</v>
      </c>
      <c r="D1557" t="s">
        <v>3</v>
      </c>
      <c r="E1557">
        <v>0.45435774960000003</v>
      </c>
      <c r="F1557">
        <v>0.41954111379999998</v>
      </c>
      <c r="G1557">
        <v>0.54643015210000001</v>
      </c>
      <c r="H1557">
        <v>0.27597015149999998</v>
      </c>
      <c r="I1557">
        <v>0.2347472994</v>
      </c>
      <c r="J1557">
        <v>0.18239225980000001</v>
      </c>
      <c r="K1557">
        <v>0.38162356120000002</v>
      </c>
      <c r="L1557">
        <v>0.17816111649999999</v>
      </c>
      <c r="M1557">
        <v>0.72088872479999999</v>
      </c>
      <c r="N1557">
        <v>0.58901340739999997</v>
      </c>
      <c r="O1557">
        <v>0.87679985179999997</v>
      </c>
      <c r="P1557">
        <v>0.77784175749999995</v>
      </c>
      <c r="Q1557">
        <v>1.1364898591999999</v>
      </c>
      <c r="R1557">
        <v>1.0166762645</v>
      </c>
      <c r="S1557">
        <v>0.94338189210000001</v>
      </c>
      <c r="T1557">
        <v>1.0008215617</v>
      </c>
      <c r="U1557">
        <v>1.0681763318999999</v>
      </c>
      <c r="V1557">
        <v>0.81618655829999998</v>
      </c>
      <c r="W1557">
        <v>0.63048018630000002</v>
      </c>
      <c r="X1557">
        <v>0.80941986749999995</v>
      </c>
      <c r="Y1557">
        <v>1.1031604396000001</v>
      </c>
      <c r="Z1557">
        <v>0.89500953250000004</v>
      </c>
      <c r="AA1557">
        <v>0.73072987450000004</v>
      </c>
      <c r="AB1557">
        <v>0.59698486549999996</v>
      </c>
    </row>
    <row r="1558" spans="1:28" hidden="1" x14ac:dyDescent="0.25">
      <c r="A1558" t="s">
        <v>208</v>
      </c>
      <c r="B1558" t="s">
        <v>218</v>
      </c>
      <c r="C1558">
        <v>115</v>
      </c>
      <c r="D1558" t="s">
        <v>4</v>
      </c>
      <c r="E1558">
        <v>1.6185000000000001E-2</v>
      </c>
      <c r="F1558">
        <v>1.8720000000000001E-2</v>
      </c>
      <c r="G1558">
        <v>2.232E-2</v>
      </c>
      <c r="H1558">
        <v>1.13925E-2</v>
      </c>
      <c r="I1558">
        <v>2.3472E-2</v>
      </c>
      <c r="J1558">
        <v>2.1294E-2</v>
      </c>
      <c r="K1558">
        <v>2.13525E-2</v>
      </c>
      <c r="L1558">
        <v>1.8574500000000001E-2</v>
      </c>
      <c r="M1558">
        <v>2.2679999999999999E-2</v>
      </c>
      <c r="N1558">
        <v>3.4828499999999998E-2</v>
      </c>
      <c r="O1558">
        <v>2.93625E-2</v>
      </c>
      <c r="P1558">
        <v>3.5099999999999999E-2</v>
      </c>
      <c r="Q1558">
        <v>3.9329999999999997E-2</v>
      </c>
      <c r="R1558">
        <v>3.5568000000000002E-2</v>
      </c>
      <c r="S1558">
        <v>3.7620000000000001E-2</v>
      </c>
      <c r="T1558">
        <v>3.4542000000000003E-2</v>
      </c>
      <c r="U1558">
        <v>3.2204999999999998E-2</v>
      </c>
      <c r="V1558">
        <v>2.5294500000000001E-2</v>
      </c>
      <c r="W1558">
        <v>2.1167999999999999E-2</v>
      </c>
      <c r="X1558">
        <v>2.8125000000000001E-2</v>
      </c>
      <c r="Y1558">
        <v>3.4485000000000002E-2</v>
      </c>
      <c r="Z1558">
        <v>2.8767000000000001E-2</v>
      </c>
      <c r="AA1558">
        <v>2.376E-2</v>
      </c>
      <c r="AB1558">
        <v>1.8837E-2</v>
      </c>
    </row>
    <row r="1559" spans="1:28" hidden="1" x14ac:dyDescent="0.25">
      <c r="A1559" t="s">
        <v>208</v>
      </c>
      <c r="B1559" t="s">
        <v>219</v>
      </c>
      <c r="C1559">
        <v>115</v>
      </c>
      <c r="D1559" t="s">
        <v>2</v>
      </c>
      <c r="E1559">
        <v>16.612615999999999</v>
      </c>
      <c r="F1559">
        <v>15.93336</v>
      </c>
      <c r="G1559">
        <v>15.862932499999999</v>
      </c>
      <c r="H1559">
        <v>15.93927</v>
      </c>
      <c r="I1559">
        <v>16.601386999999999</v>
      </c>
      <c r="J1559">
        <v>20.275437</v>
      </c>
      <c r="K1559">
        <v>22.58802</v>
      </c>
      <c r="L1559">
        <v>23.774649499999999</v>
      </c>
      <c r="M1559">
        <v>24.449670000000001</v>
      </c>
      <c r="N1559">
        <v>26.376132999999999</v>
      </c>
      <c r="O1559">
        <v>28.057725000000001</v>
      </c>
      <c r="P1559">
        <v>29.341377000000001</v>
      </c>
      <c r="Q1559">
        <v>28.658574999999999</v>
      </c>
      <c r="R1559">
        <v>27.398759999999999</v>
      </c>
      <c r="S1559">
        <v>27.061889999999998</v>
      </c>
      <c r="T1559">
        <v>26.725020000000001</v>
      </c>
      <c r="U1559">
        <v>26.089891999999999</v>
      </c>
      <c r="V1559">
        <v>26.621594999999999</v>
      </c>
      <c r="W1559">
        <v>29.016918</v>
      </c>
      <c r="X1559">
        <v>29.2545</v>
      </c>
      <c r="Y1559">
        <v>28.127659999999999</v>
      </c>
      <c r="Z1559">
        <v>25.6776695</v>
      </c>
      <c r="AA1559">
        <v>22.174911000000002</v>
      </c>
      <c r="AB1559">
        <v>19.325306000000001</v>
      </c>
    </row>
    <row r="1560" spans="1:28" hidden="1" x14ac:dyDescent="0.25">
      <c r="A1560" t="s">
        <v>208</v>
      </c>
      <c r="B1560" t="s">
        <v>219</v>
      </c>
      <c r="C1560">
        <v>115</v>
      </c>
      <c r="D1560" t="s">
        <v>3</v>
      </c>
      <c r="E1560">
        <v>9.1466314440000005</v>
      </c>
      <c r="F1560">
        <v>9.0853090077999994</v>
      </c>
      <c r="G1560">
        <v>9.1595429421999999</v>
      </c>
      <c r="H1560">
        <v>9.2461007658999996</v>
      </c>
      <c r="I1560">
        <v>8.9830376173000008</v>
      </c>
      <c r="J1560">
        <v>9.1667642752000003</v>
      </c>
      <c r="K1560">
        <v>9.6020163957999998</v>
      </c>
      <c r="L1560">
        <v>10.412524701100001</v>
      </c>
      <c r="M1560">
        <v>11.096831763100001</v>
      </c>
      <c r="N1560">
        <v>11.669121368900001</v>
      </c>
      <c r="O1560">
        <v>12.0453882064</v>
      </c>
      <c r="P1560">
        <v>11.9803873225</v>
      </c>
      <c r="Q1560">
        <v>11.825056569199999</v>
      </c>
      <c r="R1560">
        <v>11.4559842305</v>
      </c>
      <c r="S1560">
        <v>11.2903919044</v>
      </c>
      <c r="T1560">
        <v>11.117225144600001</v>
      </c>
      <c r="U1560">
        <v>10.8609876687</v>
      </c>
      <c r="V1560">
        <v>11.300586901100001</v>
      </c>
      <c r="W1560">
        <v>11.468219808100001</v>
      </c>
      <c r="X1560">
        <v>11.1057342381</v>
      </c>
      <c r="Y1560">
        <v>11.054724030699999</v>
      </c>
      <c r="Z1560">
        <v>10.1807427664</v>
      </c>
      <c r="AA1560">
        <v>9.6855218383999997</v>
      </c>
      <c r="AB1560">
        <v>9.4088789601999991</v>
      </c>
    </row>
    <row r="1561" spans="1:28" hidden="1" x14ac:dyDescent="0.25">
      <c r="A1561" t="s">
        <v>208</v>
      </c>
      <c r="B1561" t="s">
        <v>219</v>
      </c>
      <c r="C1561">
        <v>115</v>
      </c>
      <c r="D1561" t="s">
        <v>4</v>
      </c>
      <c r="E1561">
        <v>0.25298399999999999</v>
      </c>
      <c r="F1561">
        <v>0.24263999999999999</v>
      </c>
      <c r="G1561">
        <v>0.24156749999999999</v>
      </c>
      <c r="H1561">
        <v>0.24273</v>
      </c>
      <c r="I1561">
        <v>0.25281300000000001</v>
      </c>
      <c r="J1561">
        <v>0.30876300000000001</v>
      </c>
      <c r="K1561">
        <v>0.34398000000000001</v>
      </c>
      <c r="L1561">
        <v>0.3620505</v>
      </c>
      <c r="M1561">
        <v>0.37232999999999999</v>
      </c>
      <c r="N1561">
        <v>0.401667</v>
      </c>
      <c r="O1561">
        <v>0.42727500000000002</v>
      </c>
      <c r="P1561">
        <v>0.44682300000000003</v>
      </c>
      <c r="Q1561">
        <v>0.43642500000000001</v>
      </c>
      <c r="R1561">
        <v>0.41724</v>
      </c>
      <c r="S1561">
        <v>0.41210999999999998</v>
      </c>
      <c r="T1561">
        <v>0.40698000000000001</v>
      </c>
      <c r="U1561">
        <v>0.39730799999999999</v>
      </c>
      <c r="V1561">
        <v>0.40540500000000002</v>
      </c>
      <c r="W1561">
        <v>0.441882</v>
      </c>
      <c r="X1561">
        <v>0.44550000000000001</v>
      </c>
      <c r="Y1561">
        <v>0.42834</v>
      </c>
      <c r="Z1561">
        <v>0.3910305</v>
      </c>
      <c r="AA1561">
        <v>0.33768900000000002</v>
      </c>
      <c r="AB1561">
        <v>0.294294</v>
      </c>
    </row>
    <row r="1562" spans="1:28" hidden="1" x14ac:dyDescent="0.25">
      <c r="A1562" t="s">
        <v>208</v>
      </c>
      <c r="B1562" t="s">
        <v>220</v>
      </c>
      <c r="C1562">
        <v>115</v>
      </c>
      <c r="D1562" t="s">
        <v>2</v>
      </c>
      <c r="E1562">
        <v>11.020574</v>
      </c>
      <c r="F1562">
        <v>10.66952</v>
      </c>
      <c r="G1562">
        <v>9.7253974999999997</v>
      </c>
      <c r="H1562">
        <v>9.6032574999999998</v>
      </c>
      <c r="I1562">
        <v>10.468185999999999</v>
      </c>
      <c r="J1562">
        <v>11.688404</v>
      </c>
      <c r="K1562">
        <v>13.137930000000001</v>
      </c>
      <c r="L1562">
        <v>13.257016500000001</v>
      </c>
      <c r="M1562">
        <v>13.714155</v>
      </c>
      <c r="N1562">
        <v>14.684281500000001</v>
      </c>
      <c r="O1562">
        <v>15.824025000000001</v>
      </c>
      <c r="P1562">
        <v>16.733574000000001</v>
      </c>
      <c r="Q1562">
        <v>16.764700000000001</v>
      </c>
      <c r="R1562">
        <v>16.843499999999999</v>
      </c>
      <c r="S1562">
        <v>16.753668000000001</v>
      </c>
      <c r="T1562">
        <v>16.753668000000001</v>
      </c>
      <c r="U1562">
        <v>16.450879</v>
      </c>
      <c r="V1562">
        <v>16.359766499999999</v>
      </c>
      <c r="W1562">
        <v>17.400221999999999</v>
      </c>
      <c r="X1562">
        <v>17.089749999999999</v>
      </c>
      <c r="Y1562">
        <v>16.471367000000001</v>
      </c>
      <c r="Z1562">
        <v>14.826712499999999</v>
      </c>
      <c r="AA1562">
        <v>12.910985999999999</v>
      </c>
      <c r="AB1562">
        <v>12.136578999999999</v>
      </c>
    </row>
    <row r="1563" spans="1:28" hidden="1" x14ac:dyDescent="0.25">
      <c r="A1563" t="s">
        <v>208</v>
      </c>
      <c r="B1563" t="s">
        <v>220</v>
      </c>
      <c r="C1563">
        <v>115</v>
      </c>
      <c r="D1563" t="s">
        <v>3</v>
      </c>
      <c r="E1563">
        <v>10.622211824800001</v>
      </c>
      <c r="F1563">
        <v>10.331348591599999</v>
      </c>
      <c r="G1563">
        <v>9.5094590228999998</v>
      </c>
      <c r="H1563">
        <v>9.5004990492000001</v>
      </c>
      <c r="I1563">
        <v>9.9071997739000004</v>
      </c>
      <c r="J1563">
        <v>10.085883903799999</v>
      </c>
      <c r="K1563">
        <v>10.8309265371</v>
      </c>
      <c r="L1563">
        <v>11.2029077164</v>
      </c>
      <c r="M1563">
        <v>11.951255504200001</v>
      </c>
      <c r="N1563">
        <v>13.2474184112</v>
      </c>
      <c r="O1563">
        <v>14.6242283564</v>
      </c>
      <c r="P1563">
        <v>15.538020656200001</v>
      </c>
      <c r="Q1563">
        <v>15.870909664299999</v>
      </c>
      <c r="R1563">
        <v>15.9733933481</v>
      </c>
      <c r="S1563">
        <v>15.6209218505</v>
      </c>
      <c r="T1563">
        <v>16.0596960176</v>
      </c>
      <c r="U1563">
        <v>15.370184270299999</v>
      </c>
      <c r="V1563">
        <v>14.8609706179</v>
      </c>
      <c r="W1563">
        <v>13.394961342</v>
      </c>
      <c r="X1563">
        <v>12.386090749999999</v>
      </c>
      <c r="Y1563">
        <v>12.1906071137</v>
      </c>
      <c r="Z1563">
        <v>11.6269865561</v>
      </c>
      <c r="AA1563">
        <v>10.9653876454</v>
      </c>
      <c r="AB1563">
        <v>11.146826452599999</v>
      </c>
    </row>
    <row r="1564" spans="1:28" hidden="1" x14ac:dyDescent="0.25">
      <c r="A1564" t="s">
        <v>208</v>
      </c>
      <c r="B1564" t="s">
        <v>220</v>
      </c>
      <c r="C1564">
        <v>115</v>
      </c>
      <c r="D1564" t="s">
        <v>4</v>
      </c>
      <c r="E1564">
        <v>0.167826</v>
      </c>
      <c r="F1564">
        <v>0.16248000000000001</v>
      </c>
      <c r="G1564">
        <v>0.1481025</v>
      </c>
      <c r="H1564">
        <v>0.1462425</v>
      </c>
      <c r="I1564">
        <v>0.159414</v>
      </c>
      <c r="J1564">
        <v>0.17799599999999999</v>
      </c>
      <c r="K1564">
        <v>0.20007</v>
      </c>
      <c r="L1564">
        <v>0.20188349999999999</v>
      </c>
      <c r="M1564">
        <v>0.208845</v>
      </c>
      <c r="N1564">
        <v>0.2236185</v>
      </c>
      <c r="O1564">
        <v>0.24097499999999999</v>
      </c>
      <c r="P1564">
        <v>0.254826</v>
      </c>
      <c r="Q1564">
        <v>0.25530000000000003</v>
      </c>
      <c r="R1564">
        <v>0.25650000000000001</v>
      </c>
      <c r="S1564">
        <v>0.25513200000000003</v>
      </c>
      <c r="T1564">
        <v>0.25513200000000003</v>
      </c>
      <c r="U1564">
        <v>0.25052099999999999</v>
      </c>
      <c r="V1564">
        <v>0.24913350000000001</v>
      </c>
      <c r="W1564">
        <v>0.26497799999999999</v>
      </c>
      <c r="X1564">
        <v>0.26024999999999998</v>
      </c>
      <c r="Y1564">
        <v>0.25083299999999997</v>
      </c>
      <c r="Z1564">
        <v>0.2257875</v>
      </c>
      <c r="AA1564">
        <v>0.19661400000000001</v>
      </c>
      <c r="AB1564">
        <v>0.18482100000000001</v>
      </c>
    </row>
    <row r="1565" spans="1:28" hidden="1" x14ac:dyDescent="0.25">
      <c r="A1565" t="s">
        <v>208</v>
      </c>
      <c r="B1565" t="s">
        <v>221</v>
      </c>
      <c r="C1565">
        <v>115</v>
      </c>
      <c r="D1565" t="s">
        <v>2</v>
      </c>
      <c r="E1565">
        <v>19.702954999999999</v>
      </c>
      <c r="F1565">
        <v>18.72288</v>
      </c>
      <c r="G1565">
        <v>17.9393125</v>
      </c>
      <c r="H1565">
        <v>17.786637500000001</v>
      </c>
      <c r="I1565">
        <v>19.009712</v>
      </c>
      <c r="J1565">
        <v>21.207640999999999</v>
      </c>
      <c r="K1565">
        <v>21.992587499999999</v>
      </c>
      <c r="L1565">
        <v>24.014595499999999</v>
      </c>
      <c r="M1565">
        <v>25.566659999999999</v>
      </c>
      <c r="N1565">
        <v>26.461631000000001</v>
      </c>
      <c r="O1565">
        <v>28.922062499999999</v>
      </c>
      <c r="P1565">
        <v>28.926494999999999</v>
      </c>
      <c r="Q1565">
        <v>28.137509999999999</v>
      </c>
      <c r="R1565">
        <v>27.376301999999999</v>
      </c>
      <c r="S1565">
        <v>28.207248</v>
      </c>
      <c r="T1565">
        <v>27.847919999999998</v>
      </c>
      <c r="U1565">
        <v>26.958071</v>
      </c>
      <c r="V1565">
        <v>28.350860999999998</v>
      </c>
      <c r="W1565">
        <v>31.201253999999999</v>
      </c>
      <c r="X1565">
        <v>31.396875000000001</v>
      </c>
      <c r="Y1565">
        <v>30.678218999999999</v>
      </c>
      <c r="Z1565">
        <v>28.335495000000002</v>
      </c>
      <c r="AA1565">
        <v>24.632289</v>
      </c>
      <c r="AB1565">
        <v>22.982413999999999</v>
      </c>
    </row>
    <row r="1566" spans="1:28" hidden="1" x14ac:dyDescent="0.25">
      <c r="A1566" t="s">
        <v>208</v>
      </c>
      <c r="B1566" t="s">
        <v>221</v>
      </c>
      <c r="C1566">
        <v>115</v>
      </c>
      <c r="D1566" t="s">
        <v>3</v>
      </c>
      <c r="E1566">
        <v>7.4987703686999998</v>
      </c>
      <c r="F1566">
        <v>7.4115291149999996</v>
      </c>
      <c r="G1566">
        <v>7.2581902632000004</v>
      </c>
      <c r="H1566">
        <v>7.2019358496999999</v>
      </c>
      <c r="I1566">
        <v>7.2165584580999997</v>
      </c>
      <c r="J1566">
        <v>7.0455866148000004</v>
      </c>
      <c r="K1566">
        <v>7.5210462036000001</v>
      </c>
      <c r="L1566">
        <v>8.7479607272000006</v>
      </c>
      <c r="M1566">
        <v>9.5649881240999992</v>
      </c>
      <c r="N1566">
        <v>9.9427995785000007</v>
      </c>
      <c r="O1566">
        <v>10.857905829</v>
      </c>
      <c r="P1566">
        <v>10.594587286599999</v>
      </c>
      <c r="Q1566">
        <v>10.1377038158</v>
      </c>
      <c r="R1566">
        <v>10.179545213500001</v>
      </c>
      <c r="S1566">
        <v>10.653525999999999</v>
      </c>
      <c r="T1566">
        <v>10.4093898446</v>
      </c>
      <c r="U1566">
        <v>9.8558439746000008</v>
      </c>
      <c r="V1566">
        <v>9.8221110783000007</v>
      </c>
      <c r="W1566">
        <v>9.5863262522999992</v>
      </c>
      <c r="X1566">
        <v>9.0474112666999993</v>
      </c>
      <c r="Y1566">
        <v>8.8642950291999991</v>
      </c>
      <c r="Z1566">
        <v>8.3302044082000002</v>
      </c>
      <c r="AA1566">
        <v>7.6776269482000004</v>
      </c>
      <c r="AB1566">
        <v>7.9386076861000001</v>
      </c>
    </row>
    <row r="1567" spans="1:28" hidden="1" x14ac:dyDescent="0.25">
      <c r="A1567" t="s">
        <v>208</v>
      </c>
      <c r="B1567" t="s">
        <v>221</v>
      </c>
      <c r="C1567">
        <v>115</v>
      </c>
      <c r="D1567" t="s">
        <v>4</v>
      </c>
      <c r="E1567">
        <v>0.30004500000000001</v>
      </c>
      <c r="F1567">
        <v>0.28511999999999998</v>
      </c>
      <c r="G1567">
        <v>0.27318750000000003</v>
      </c>
      <c r="H1567">
        <v>0.27086250000000001</v>
      </c>
      <c r="I1567">
        <v>0.28948800000000002</v>
      </c>
      <c r="J1567">
        <v>0.322959</v>
      </c>
      <c r="K1567">
        <v>0.3349125</v>
      </c>
      <c r="L1567">
        <v>0.36570449999999999</v>
      </c>
      <c r="M1567">
        <v>0.38934000000000002</v>
      </c>
      <c r="N1567">
        <v>0.40296900000000002</v>
      </c>
      <c r="O1567">
        <v>0.44043749999999998</v>
      </c>
      <c r="P1567">
        <v>0.44050499999999998</v>
      </c>
      <c r="Q1567">
        <v>0.42848999999999998</v>
      </c>
      <c r="R1567">
        <v>0.41689799999999999</v>
      </c>
      <c r="S1567">
        <v>0.42955199999999999</v>
      </c>
      <c r="T1567">
        <v>0.42408000000000001</v>
      </c>
      <c r="U1567">
        <v>0.41052899999999998</v>
      </c>
      <c r="V1567">
        <v>0.43173899999999998</v>
      </c>
      <c r="W1567">
        <v>0.47514600000000001</v>
      </c>
      <c r="X1567">
        <v>0.47812500000000002</v>
      </c>
      <c r="Y1567">
        <v>0.46718100000000001</v>
      </c>
      <c r="Z1567">
        <v>0.43150500000000003</v>
      </c>
      <c r="AA1567">
        <v>0.37511100000000003</v>
      </c>
      <c r="AB1567">
        <v>0.34998600000000002</v>
      </c>
    </row>
    <row r="1568" spans="1:28" hidden="1" x14ac:dyDescent="0.25">
      <c r="A1568" t="s">
        <v>208</v>
      </c>
      <c r="B1568" t="s">
        <v>222</v>
      </c>
      <c r="C1568">
        <v>115</v>
      </c>
      <c r="D1568" t="s">
        <v>2</v>
      </c>
      <c r="E1568">
        <v>3.9242400000000002</v>
      </c>
      <c r="F1568">
        <v>3.8296800000000002</v>
      </c>
      <c r="G1568">
        <v>3.6336650000000001</v>
      </c>
      <c r="H1568">
        <v>3.6489324999999999</v>
      </c>
      <c r="I1568">
        <v>4.1583744999999999</v>
      </c>
      <c r="J1568">
        <v>5.3960270000000001</v>
      </c>
      <c r="K1568">
        <v>6.5113424999999996</v>
      </c>
      <c r="L1568">
        <v>6.478542</v>
      </c>
      <c r="M1568">
        <v>7.0122150000000003</v>
      </c>
      <c r="N1568">
        <v>7.438326</v>
      </c>
      <c r="O1568">
        <v>7.9563375000000001</v>
      </c>
      <c r="P1568">
        <v>8.3437380000000001</v>
      </c>
      <c r="Q1568">
        <v>8.2917299999999994</v>
      </c>
      <c r="R1568">
        <v>8.0399639999999994</v>
      </c>
      <c r="S1568">
        <v>7.9276739999999997</v>
      </c>
      <c r="T1568">
        <v>7.6806359999999998</v>
      </c>
      <c r="U1568">
        <v>7.5910010000000003</v>
      </c>
      <c r="V1568">
        <v>7.8272040000000001</v>
      </c>
      <c r="W1568">
        <v>8.6380560000000006</v>
      </c>
      <c r="X1568">
        <v>8.2001249999999999</v>
      </c>
      <c r="Y1568">
        <v>7.5563289999999999</v>
      </c>
      <c r="Z1568">
        <v>6.4578569999999997</v>
      </c>
      <c r="AA1568">
        <v>5.1487920000000003</v>
      </c>
      <c r="AB1568">
        <v>4.427969</v>
      </c>
    </row>
    <row r="1569" spans="1:28" hidden="1" x14ac:dyDescent="0.25">
      <c r="A1569" t="s">
        <v>208</v>
      </c>
      <c r="B1569" t="s">
        <v>222</v>
      </c>
      <c r="C1569">
        <v>115</v>
      </c>
      <c r="D1569" t="s">
        <v>3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0.1718021445</v>
      </c>
      <c r="N1569">
        <v>0.37965195439999999</v>
      </c>
      <c r="O1569">
        <v>1.1451715411000001</v>
      </c>
      <c r="P1569">
        <v>1.5864423067</v>
      </c>
      <c r="Q1569">
        <v>1.4476019574000001</v>
      </c>
      <c r="R1569">
        <v>1.4036476856</v>
      </c>
      <c r="S1569">
        <v>1.5073336946</v>
      </c>
      <c r="T1569">
        <v>1.4773172644000001</v>
      </c>
      <c r="U1569">
        <v>1.2165608622999999</v>
      </c>
      <c r="V1569">
        <v>0.65659569240000004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</row>
    <row r="1570" spans="1:28" hidden="1" x14ac:dyDescent="0.25">
      <c r="A1570" t="s">
        <v>208</v>
      </c>
      <c r="B1570" t="s">
        <v>222</v>
      </c>
      <c r="C1570">
        <v>115</v>
      </c>
      <c r="D1570" t="s">
        <v>4</v>
      </c>
      <c r="E1570">
        <v>5.9760000000000001E-2</v>
      </c>
      <c r="F1570">
        <v>5.8319999999999997E-2</v>
      </c>
      <c r="G1570">
        <v>5.5335000000000002E-2</v>
      </c>
      <c r="H1570">
        <v>5.5567499999999999E-2</v>
      </c>
      <c r="I1570">
        <v>6.3325500000000007E-2</v>
      </c>
      <c r="J1570">
        <v>8.2172999999999996E-2</v>
      </c>
      <c r="K1570">
        <v>9.9157499999999996E-2</v>
      </c>
      <c r="L1570">
        <v>9.8657999999999996E-2</v>
      </c>
      <c r="M1570">
        <v>0.106785</v>
      </c>
      <c r="N1570">
        <v>0.113274</v>
      </c>
      <c r="O1570">
        <v>0.12116250000000001</v>
      </c>
      <c r="P1570">
        <v>0.12706200000000001</v>
      </c>
      <c r="Q1570">
        <v>0.12626999999999999</v>
      </c>
      <c r="R1570">
        <v>0.122436</v>
      </c>
      <c r="S1570">
        <v>0.120726</v>
      </c>
      <c r="T1570">
        <v>0.116964</v>
      </c>
      <c r="U1570">
        <v>0.11559899999999999</v>
      </c>
      <c r="V1570">
        <v>0.119196</v>
      </c>
      <c r="W1570">
        <v>0.13154399999999999</v>
      </c>
      <c r="X1570">
        <v>0.124875</v>
      </c>
      <c r="Y1570">
        <v>0.11507100000000001</v>
      </c>
      <c r="Z1570">
        <v>9.8343E-2</v>
      </c>
      <c r="AA1570">
        <v>7.8408000000000005E-2</v>
      </c>
      <c r="AB1570">
        <v>6.7431000000000005E-2</v>
      </c>
    </row>
    <row r="1571" spans="1:28" hidden="1" x14ac:dyDescent="0.25">
      <c r="A1571" t="s">
        <v>208</v>
      </c>
      <c r="B1571" t="s">
        <v>223</v>
      </c>
      <c r="C1571">
        <v>115</v>
      </c>
      <c r="D1571" t="s">
        <v>2</v>
      </c>
      <c r="E1571">
        <v>1.2753779999999999</v>
      </c>
      <c r="F1571">
        <v>1.1977599999999999</v>
      </c>
      <c r="G1571">
        <v>1.1297950000000001</v>
      </c>
      <c r="H1571">
        <v>1.1603300000000001</v>
      </c>
      <c r="I1571">
        <v>1.220218</v>
      </c>
      <c r="J1571">
        <v>1.4700139999999999</v>
      </c>
      <c r="K1571">
        <v>1.9975799999999999</v>
      </c>
      <c r="L1571">
        <v>1.9395635</v>
      </c>
      <c r="M1571">
        <v>1.9030199999999999</v>
      </c>
      <c r="N1571">
        <v>2.0092029999999999</v>
      </c>
      <c r="O1571">
        <v>2.4600374999999999</v>
      </c>
      <c r="P1571">
        <v>2.7658800000000001</v>
      </c>
      <c r="Q1571">
        <v>2.7185999999999999</v>
      </c>
      <c r="R1571">
        <v>2.627586</v>
      </c>
      <c r="S1571">
        <v>2.7847919999999999</v>
      </c>
      <c r="T1571">
        <v>2.6051280000000001</v>
      </c>
      <c r="U1571">
        <v>2.4932319999999999</v>
      </c>
      <c r="V1571">
        <v>2.3891174999999998</v>
      </c>
      <c r="W1571">
        <v>2.6807759999999998</v>
      </c>
      <c r="X1571">
        <v>2.6841249999999999</v>
      </c>
      <c r="Y1571">
        <v>2.5267219999999999</v>
      </c>
      <c r="Z1571">
        <v>2.2404809999999999</v>
      </c>
      <c r="AA1571">
        <v>1.8527849999999999</v>
      </c>
      <c r="AB1571">
        <v>1.4520869999999999</v>
      </c>
    </row>
    <row r="1572" spans="1:28" hidden="1" x14ac:dyDescent="0.25">
      <c r="A1572" t="s">
        <v>208</v>
      </c>
      <c r="B1572" t="s">
        <v>223</v>
      </c>
      <c r="C1572">
        <v>115</v>
      </c>
      <c r="D1572" t="s">
        <v>3</v>
      </c>
      <c r="E1572">
        <v>0.84178074599999997</v>
      </c>
      <c r="F1572">
        <v>0.89488942969999996</v>
      </c>
      <c r="G1572">
        <v>0.89426063190000005</v>
      </c>
      <c r="H1572">
        <v>0.8482083628</v>
      </c>
      <c r="I1572">
        <v>0.67940195930000002</v>
      </c>
      <c r="J1572">
        <v>0.59385050610000001</v>
      </c>
      <c r="K1572">
        <v>0.66784633510000002</v>
      </c>
      <c r="L1572">
        <v>0.53184705960000001</v>
      </c>
      <c r="M1572">
        <v>0.49738356389999999</v>
      </c>
      <c r="N1572">
        <v>0.5369135773</v>
      </c>
      <c r="O1572">
        <v>0.49953191969999999</v>
      </c>
      <c r="P1572">
        <v>0.49110047750000002</v>
      </c>
      <c r="Q1572">
        <v>0.49851217129999997</v>
      </c>
      <c r="R1572">
        <v>0.54849384999999995</v>
      </c>
      <c r="S1572">
        <v>0.60780665550000001</v>
      </c>
      <c r="T1572">
        <v>0.55697143500000001</v>
      </c>
      <c r="U1572">
        <v>0.54783508979999995</v>
      </c>
      <c r="V1572">
        <v>0.56999420359999997</v>
      </c>
      <c r="W1572">
        <v>0.56505009709999998</v>
      </c>
      <c r="X1572">
        <v>0.64281792680000005</v>
      </c>
      <c r="Y1572">
        <v>0.58652749370000001</v>
      </c>
      <c r="Z1572">
        <v>0.50742054729999997</v>
      </c>
      <c r="AA1572">
        <v>0.51030751640000005</v>
      </c>
      <c r="AB1572">
        <v>0.56379915989999996</v>
      </c>
    </row>
    <row r="1573" spans="1:28" hidden="1" x14ac:dyDescent="0.25">
      <c r="A1573" t="s">
        <v>208</v>
      </c>
      <c r="B1573" t="s">
        <v>223</v>
      </c>
      <c r="C1573">
        <v>115</v>
      </c>
      <c r="D1573" t="s">
        <v>4</v>
      </c>
      <c r="E1573">
        <v>1.9421999999999998E-2</v>
      </c>
      <c r="F1573">
        <v>1.8239999999999999E-2</v>
      </c>
      <c r="G1573">
        <v>1.7205000000000002E-2</v>
      </c>
      <c r="H1573">
        <v>1.7670000000000002E-2</v>
      </c>
      <c r="I1573">
        <v>1.8582000000000001E-2</v>
      </c>
      <c r="J1573">
        <v>2.2386E-2</v>
      </c>
      <c r="K1573">
        <v>3.0419999999999999E-2</v>
      </c>
      <c r="L1573">
        <v>2.95365E-2</v>
      </c>
      <c r="M1573">
        <v>2.8979999999999999E-2</v>
      </c>
      <c r="N1573">
        <v>3.0596999999999999E-2</v>
      </c>
      <c r="O1573">
        <v>3.7462500000000003E-2</v>
      </c>
      <c r="P1573">
        <v>4.2119999999999998E-2</v>
      </c>
      <c r="Q1573">
        <v>4.1399999999999999E-2</v>
      </c>
      <c r="R1573">
        <v>4.0014000000000001E-2</v>
      </c>
      <c r="S1573">
        <v>4.2408000000000001E-2</v>
      </c>
      <c r="T1573">
        <v>3.9671999999999999E-2</v>
      </c>
      <c r="U1573">
        <v>3.7968000000000002E-2</v>
      </c>
      <c r="V1573">
        <v>3.6382499999999998E-2</v>
      </c>
      <c r="W1573">
        <v>4.0823999999999999E-2</v>
      </c>
      <c r="X1573">
        <v>4.0875000000000002E-2</v>
      </c>
      <c r="Y1573">
        <v>3.8477999999999998E-2</v>
      </c>
      <c r="Z1573">
        <v>3.4118999999999997E-2</v>
      </c>
      <c r="AA1573">
        <v>2.8215E-2</v>
      </c>
      <c r="AB1573">
        <v>2.2113000000000001E-2</v>
      </c>
    </row>
    <row r="1574" spans="1:28" hidden="1" x14ac:dyDescent="0.25">
      <c r="A1574" t="s">
        <v>208</v>
      </c>
      <c r="B1574" t="s">
        <v>224</v>
      </c>
      <c r="C1574">
        <v>115</v>
      </c>
      <c r="D1574" t="s">
        <v>2</v>
      </c>
      <c r="E1574">
        <v>8.0283409999999993</v>
      </c>
      <c r="F1574">
        <v>7.9115200000000003</v>
      </c>
      <c r="G1574">
        <v>7.8780299999999999</v>
      </c>
      <c r="H1574">
        <v>7.8169599999999999</v>
      </c>
      <c r="I1574">
        <v>8.3167489999999997</v>
      </c>
      <c r="J1574">
        <v>9.5192370000000004</v>
      </c>
      <c r="K1574">
        <v>9.7958250000000007</v>
      </c>
      <c r="L1574">
        <v>10.317678000000001</v>
      </c>
      <c r="M1574">
        <v>11.107844999999999</v>
      </c>
      <c r="N1574">
        <v>11.3926085</v>
      </c>
      <c r="O1574">
        <v>11.989912500000001</v>
      </c>
      <c r="P1574">
        <v>12.331215</v>
      </c>
      <c r="Q1574">
        <v>12.029805</v>
      </c>
      <c r="R1574">
        <v>12.059946</v>
      </c>
      <c r="S1574">
        <v>11.812908</v>
      </c>
      <c r="T1574">
        <v>12.059946</v>
      </c>
      <c r="U1574">
        <v>11.887373999999999</v>
      </c>
      <c r="V1574">
        <v>12.0366015</v>
      </c>
      <c r="W1574">
        <v>14.272650000000001</v>
      </c>
      <c r="X1574">
        <v>14.036250000000001</v>
      </c>
      <c r="Y1574">
        <v>13.277208999999999</v>
      </c>
      <c r="Z1574">
        <v>11.861370000000001</v>
      </c>
      <c r="AA1574">
        <v>10.219571999999999</v>
      </c>
      <c r="AB1574">
        <v>8.9993540000000003</v>
      </c>
    </row>
    <row r="1575" spans="1:28" hidden="1" x14ac:dyDescent="0.25">
      <c r="A1575" t="s">
        <v>208</v>
      </c>
      <c r="B1575" t="s">
        <v>224</v>
      </c>
      <c r="C1575">
        <v>115</v>
      </c>
      <c r="D1575" t="s">
        <v>3</v>
      </c>
      <c r="E1575">
        <v>1.7204555281</v>
      </c>
      <c r="F1575">
        <v>1.7111539332000001</v>
      </c>
      <c r="G1575">
        <v>1.7463647202000001</v>
      </c>
      <c r="H1575">
        <v>1.6829450364</v>
      </c>
      <c r="I1575">
        <v>1.5298093281</v>
      </c>
      <c r="J1575">
        <v>1.2639357748</v>
      </c>
      <c r="K1575">
        <v>1.2386673255</v>
      </c>
      <c r="L1575">
        <v>1.5143422991</v>
      </c>
      <c r="M1575">
        <v>1.9591240704999999</v>
      </c>
      <c r="N1575">
        <v>2.2591569221999999</v>
      </c>
      <c r="O1575">
        <v>2.3323749696</v>
      </c>
      <c r="P1575">
        <v>2.4054618220999999</v>
      </c>
      <c r="Q1575">
        <v>2.4802695468999998</v>
      </c>
      <c r="R1575">
        <v>2.6499184997</v>
      </c>
      <c r="S1575">
        <v>2.5018467897000001</v>
      </c>
      <c r="T1575">
        <v>2.4488764816000002</v>
      </c>
      <c r="U1575">
        <v>2.1797986556</v>
      </c>
      <c r="V1575">
        <v>2.0941725859</v>
      </c>
      <c r="W1575">
        <v>1.9920479231999999</v>
      </c>
      <c r="X1575">
        <v>1.5445533445999999</v>
      </c>
      <c r="Y1575">
        <v>1.5563238614999999</v>
      </c>
      <c r="Z1575">
        <v>1.5471735661999999</v>
      </c>
      <c r="AA1575">
        <v>1.5633915195000001</v>
      </c>
      <c r="AB1575">
        <v>1.6294726009</v>
      </c>
    </row>
    <row r="1576" spans="1:28" hidden="1" x14ac:dyDescent="0.25">
      <c r="A1576" t="s">
        <v>208</v>
      </c>
      <c r="B1576" t="s">
        <v>224</v>
      </c>
      <c r="C1576">
        <v>115</v>
      </c>
      <c r="D1576" t="s">
        <v>4</v>
      </c>
      <c r="E1576">
        <v>0.12225900000000001</v>
      </c>
      <c r="F1576">
        <v>0.12048</v>
      </c>
      <c r="G1576">
        <v>0.11996999999999999</v>
      </c>
      <c r="H1576">
        <v>0.11904000000000001</v>
      </c>
      <c r="I1576">
        <v>0.12665100000000001</v>
      </c>
      <c r="J1576">
        <v>0.14496300000000001</v>
      </c>
      <c r="K1576">
        <v>0.149175</v>
      </c>
      <c r="L1576">
        <v>0.15712200000000001</v>
      </c>
      <c r="M1576">
        <v>0.169155</v>
      </c>
      <c r="N1576">
        <v>0.17349149999999999</v>
      </c>
      <c r="O1576">
        <v>0.18258750000000001</v>
      </c>
      <c r="P1576">
        <v>0.18778500000000001</v>
      </c>
      <c r="Q1576">
        <v>0.183195</v>
      </c>
      <c r="R1576">
        <v>0.18365400000000001</v>
      </c>
      <c r="S1576">
        <v>0.179892</v>
      </c>
      <c r="T1576">
        <v>0.18365400000000001</v>
      </c>
      <c r="U1576">
        <v>0.18102599999999999</v>
      </c>
      <c r="V1576">
        <v>0.1832985</v>
      </c>
      <c r="W1576">
        <v>0.21734999999999999</v>
      </c>
      <c r="X1576">
        <v>0.21375</v>
      </c>
      <c r="Y1576">
        <v>0.20219100000000001</v>
      </c>
      <c r="Z1576">
        <v>0.18063000000000001</v>
      </c>
      <c r="AA1576">
        <v>0.15562799999999999</v>
      </c>
      <c r="AB1576">
        <v>0.137046</v>
      </c>
    </row>
    <row r="1577" spans="1:28" hidden="1" x14ac:dyDescent="0.25">
      <c r="A1577" t="s">
        <v>225</v>
      </c>
      <c r="B1577" t="s">
        <v>226</v>
      </c>
      <c r="C1577">
        <v>110</v>
      </c>
      <c r="D1577" t="s">
        <v>2</v>
      </c>
      <c r="E1577">
        <v>3.576429605</v>
      </c>
      <c r="F1577">
        <v>3.3915116150000002</v>
      </c>
      <c r="G1577">
        <v>3.293090415</v>
      </c>
      <c r="H1577">
        <v>3.2089261050000002</v>
      </c>
      <c r="I1577">
        <v>3.1678053099999999</v>
      </c>
      <c r="J1577">
        <v>3.3379492850000001</v>
      </c>
      <c r="K1577">
        <v>3.2900999550000001</v>
      </c>
      <c r="L1577">
        <v>3.3896213999999998</v>
      </c>
      <c r="M1577">
        <v>3.8652463799999999</v>
      </c>
      <c r="N1577">
        <v>3.6780628900000001</v>
      </c>
      <c r="O1577">
        <v>3.762852675</v>
      </c>
      <c r="P1577">
        <v>5.2680449649999996</v>
      </c>
      <c r="Q1577">
        <v>5.249544695</v>
      </c>
      <c r="R1577">
        <v>5.8084987049999999</v>
      </c>
      <c r="S1577">
        <v>4.1928682149999998</v>
      </c>
      <c r="T1577">
        <v>4.0910773300000001</v>
      </c>
      <c r="U1577">
        <v>4.07124928</v>
      </c>
      <c r="V1577">
        <v>4.0733611200000004</v>
      </c>
      <c r="W1577">
        <v>5.4891193500000002</v>
      </c>
      <c r="X1577">
        <v>5.74726815</v>
      </c>
      <c r="Y1577">
        <v>5.7537396000000003</v>
      </c>
      <c r="Z1577">
        <v>5.4044448100000002</v>
      </c>
      <c r="AA1577">
        <v>4.2129671399999999</v>
      </c>
      <c r="AB1577">
        <v>3.843995005</v>
      </c>
    </row>
    <row r="1578" spans="1:28" hidden="1" x14ac:dyDescent="0.25">
      <c r="A1578" t="s">
        <v>225</v>
      </c>
      <c r="B1578" t="s">
        <v>226</v>
      </c>
      <c r="C1578">
        <v>110</v>
      </c>
      <c r="D1578" t="s">
        <v>3</v>
      </c>
      <c r="E1578">
        <v>1.6011192856000001</v>
      </c>
      <c r="F1578">
        <v>1.5732494441</v>
      </c>
      <c r="G1578">
        <v>1.5589225637999999</v>
      </c>
      <c r="H1578">
        <v>1.5388522953999999</v>
      </c>
      <c r="I1578">
        <v>1.5255244557000001</v>
      </c>
      <c r="J1578">
        <v>1.6064182511</v>
      </c>
      <c r="K1578">
        <v>1.5099190085</v>
      </c>
      <c r="L1578">
        <v>1.4537644499</v>
      </c>
      <c r="M1578">
        <v>1.6508963059999999</v>
      </c>
      <c r="N1578">
        <v>1.5638529756999999</v>
      </c>
      <c r="O1578">
        <v>1.5927417417</v>
      </c>
      <c r="P1578">
        <v>2.2174109483</v>
      </c>
      <c r="Q1578">
        <v>2.1862997649000002</v>
      </c>
      <c r="R1578">
        <v>2.4080839851000002</v>
      </c>
      <c r="S1578">
        <v>1.7719673041999999</v>
      </c>
      <c r="T1578">
        <v>1.7660181558000001</v>
      </c>
      <c r="U1578">
        <v>1.7775069091</v>
      </c>
      <c r="V1578">
        <v>1.7852098372</v>
      </c>
      <c r="W1578">
        <v>2.3515729497</v>
      </c>
      <c r="X1578">
        <v>2.2486177980000002</v>
      </c>
      <c r="Y1578">
        <v>2.0896644108000002</v>
      </c>
      <c r="Z1578">
        <v>1.9617308055</v>
      </c>
      <c r="AA1578">
        <v>1.6172122955999999</v>
      </c>
      <c r="AB1578">
        <v>1.6116984603</v>
      </c>
    </row>
    <row r="1579" spans="1:28" hidden="1" x14ac:dyDescent="0.25">
      <c r="A1579" t="s">
        <v>225</v>
      </c>
      <c r="B1579" t="s">
        <v>226</v>
      </c>
      <c r="C1579">
        <v>110</v>
      </c>
      <c r="D1579" t="s">
        <v>4</v>
      </c>
      <c r="E1579">
        <v>5.4463394999999998E-2</v>
      </c>
      <c r="F1579">
        <v>5.1647384999999997E-2</v>
      </c>
      <c r="G1579">
        <v>5.0148585000000002E-2</v>
      </c>
      <c r="H1579">
        <v>4.8866895E-2</v>
      </c>
      <c r="I1579">
        <v>4.8240690000000003E-2</v>
      </c>
      <c r="J1579">
        <v>5.0831715E-2</v>
      </c>
      <c r="K1579">
        <v>5.0103044999999999E-2</v>
      </c>
      <c r="L1579">
        <v>5.1618600000000001E-2</v>
      </c>
      <c r="M1579">
        <v>5.8861620000000003E-2</v>
      </c>
      <c r="N1579">
        <v>5.6011110000000003E-2</v>
      </c>
      <c r="O1579">
        <v>5.7302325000000001E-2</v>
      </c>
      <c r="P1579">
        <v>8.0224034999999999E-2</v>
      </c>
      <c r="Q1579">
        <v>7.9942305000000005E-2</v>
      </c>
      <c r="R1579">
        <v>8.8454295000000002E-2</v>
      </c>
      <c r="S1579">
        <v>6.3850784999999993E-2</v>
      </c>
      <c r="T1579">
        <v>6.2300670000000002E-2</v>
      </c>
      <c r="U1579">
        <v>6.199872E-2</v>
      </c>
      <c r="V1579">
        <v>6.2030879999999997E-2</v>
      </c>
      <c r="W1579">
        <v>8.3590650000000002E-2</v>
      </c>
      <c r="X1579">
        <v>8.7521849999999998E-2</v>
      </c>
      <c r="Y1579">
        <v>8.7620400000000001E-2</v>
      </c>
      <c r="Z1579">
        <v>8.2301189999999996E-2</v>
      </c>
      <c r="AA1579">
        <v>6.4156859999999996E-2</v>
      </c>
      <c r="AB1579">
        <v>5.8537995000000002E-2</v>
      </c>
    </row>
    <row r="1580" spans="1:28" hidden="1" x14ac:dyDescent="0.25">
      <c r="A1580" t="s">
        <v>225</v>
      </c>
      <c r="B1580" t="s">
        <v>227</v>
      </c>
      <c r="C1580">
        <v>110</v>
      </c>
      <c r="D1580" t="s">
        <v>2</v>
      </c>
      <c r="E1580">
        <v>2.3224034499999999</v>
      </c>
      <c r="F1580">
        <v>2.36844235</v>
      </c>
      <c r="G1580">
        <v>2.3845884700000002</v>
      </c>
      <c r="H1580">
        <v>2.3797668949999999</v>
      </c>
      <c r="I1580">
        <v>2.3767449150000002</v>
      </c>
      <c r="J1580">
        <v>2.2981773749999999</v>
      </c>
      <c r="K1580">
        <v>2.2171010400000002</v>
      </c>
      <c r="L1580">
        <v>2.15128925</v>
      </c>
      <c r="M1580">
        <v>1.9780247950000001</v>
      </c>
      <c r="N1580">
        <v>2.265883165</v>
      </c>
      <c r="O1580">
        <v>2.2990500850000002</v>
      </c>
      <c r="P1580">
        <v>2.186714775</v>
      </c>
      <c r="Q1580">
        <v>2.1410294900000002</v>
      </c>
      <c r="R1580">
        <v>2.35520592</v>
      </c>
      <c r="S1580">
        <v>2.3233795850000001</v>
      </c>
      <c r="T1580">
        <v>2.3430411699999998</v>
      </c>
      <c r="U1580">
        <v>2.3823633549999998</v>
      </c>
      <c r="V1580">
        <v>2.3703640849999998</v>
      </c>
      <c r="W1580">
        <v>2.2895340000000002</v>
      </c>
      <c r="X1580">
        <v>2.2511190000000001</v>
      </c>
      <c r="Y1580">
        <v>2.3416207999999998</v>
      </c>
      <c r="Z1580">
        <v>2.3717421000000001</v>
      </c>
      <c r="AA1580">
        <v>2.3622742799999998</v>
      </c>
      <c r="AB1580">
        <v>2.3372523250000001</v>
      </c>
    </row>
    <row r="1581" spans="1:28" hidden="1" x14ac:dyDescent="0.25">
      <c r="A1581" t="s">
        <v>225</v>
      </c>
      <c r="B1581" t="s">
        <v>227</v>
      </c>
      <c r="C1581">
        <v>110</v>
      </c>
      <c r="D1581" t="s">
        <v>3</v>
      </c>
      <c r="E1581">
        <v>0.682124866</v>
      </c>
      <c r="F1581">
        <v>0.69983711029999995</v>
      </c>
      <c r="G1581">
        <v>0.71552382020000005</v>
      </c>
      <c r="H1581">
        <v>0.7265414898</v>
      </c>
      <c r="I1581">
        <v>0.7265972101</v>
      </c>
      <c r="J1581">
        <v>0.644628808</v>
      </c>
      <c r="K1581">
        <v>0.58720621640000004</v>
      </c>
      <c r="L1581">
        <v>0.55487127859999996</v>
      </c>
      <c r="M1581">
        <v>0.52164998299999998</v>
      </c>
      <c r="N1581">
        <v>0.62966646589999997</v>
      </c>
      <c r="O1581">
        <v>0.65844455089999998</v>
      </c>
      <c r="P1581">
        <v>0.6264437236</v>
      </c>
      <c r="Q1581">
        <v>0.58360077600000004</v>
      </c>
      <c r="R1581">
        <v>0.64973693060000004</v>
      </c>
      <c r="S1581">
        <v>0.67711200920000003</v>
      </c>
      <c r="T1581">
        <v>0.66187908070000001</v>
      </c>
      <c r="U1581">
        <v>0.68249256290000004</v>
      </c>
      <c r="V1581">
        <v>0.66893814669999996</v>
      </c>
      <c r="W1581">
        <v>0.60168636850000001</v>
      </c>
      <c r="X1581">
        <v>0.59168567000000005</v>
      </c>
      <c r="Y1581">
        <v>0.63549903090000004</v>
      </c>
      <c r="Z1581">
        <v>0.68261253499999996</v>
      </c>
      <c r="AA1581">
        <v>0.69674469660000005</v>
      </c>
      <c r="AB1581">
        <v>0.68738665499999996</v>
      </c>
    </row>
    <row r="1582" spans="1:28" hidden="1" x14ac:dyDescent="0.25">
      <c r="A1582" t="s">
        <v>225</v>
      </c>
      <c r="B1582" t="s">
        <v>227</v>
      </c>
      <c r="C1582">
        <v>110</v>
      </c>
      <c r="D1582" t="s">
        <v>4</v>
      </c>
      <c r="E1582">
        <v>3.5366549999999997E-2</v>
      </c>
      <c r="F1582">
        <v>3.606765E-2</v>
      </c>
      <c r="G1582">
        <v>3.6313529999999997E-2</v>
      </c>
      <c r="H1582">
        <v>3.6240105000000002E-2</v>
      </c>
      <c r="I1582">
        <v>3.6194085000000001E-2</v>
      </c>
      <c r="J1582">
        <v>3.4997624999999997E-2</v>
      </c>
      <c r="K1582">
        <v>3.3762960000000002E-2</v>
      </c>
      <c r="L1582">
        <v>3.2760749999999998E-2</v>
      </c>
      <c r="M1582">
        <v>3.0122204999999999E-2</v>
      </c>
      <c r="N1582">
        <v>3.4505834999999999E-2</v>
      </c>
      <c r="O1582">
        <v>3.5010914999999997E-2</v>
      </c>
      <c r="P1582">
        <v>3.3300225000000003E-2</v>
      </c>
      <c r="Q1582">
        <v>3.2604510000000003E-2</v>
      </c>
      <c r="R1582">
        <v>3.5866080000000002E-2</v>
      </c>
      <c r="S1582">
        <v>3.5381414999999999E-2</v>
      </c>
      <c r="T1582">
        <v>3.5680829999999997E-2</v>
      </c>
      <c r="U1582">
        <v>3.6279644999999999E-2</v>
      </c>
      <c r="V1582">
        <v>3.6096915E-2</v>
      </c>
      <c r="W1582">
        <v>3.4866000000000001E-2</v>
      </c>
      <c r="X1582">
        <v>3.4280999999999999E-2</v>
      </c>
      <c r="Y1582">
        <v>3.5659200000000002E-2</v>
      </c>
      <c r="Z1582">
        <v>3.6117900000000001E-2</v>
      </c>
      <c r="AA1582">
        <v>3.5973720000000001E-2</v>
      </c>
      <c r="AB1582">
        <v>3.5592674999999997E-2</v>
      </c>
    </row>
    <row r="1583" spans="1:28" hidden="1" x14ac:dyDescent="0.25">
      <c r="A1583" t="s">
        <v>225</v>
      </c>
      <c r="B1583" t="s">
        <v>228</v>
      </c>
      <c r="C1583">
        <v>110</v>
      </c>
      <c r="D1583" t="s">
        <v>2</v>
      </c>
      <c r="E1583">
        <v>4.9472747899999998</v>
      </c>
      <c r="F1583">
        <v>4.7975656249999998</v>
      </c>
      <c r="G1583">
        <v>4.6762244600000002</v>
      </c>
      <c r="H1583">
        <v>4.5880630199999999</v>
      </c>
      <c r="I1583">
        <v>4.61477425</v>
      </c>
      <c r="J1583">
        <v>4.81870668</v>
      </c>
      <c r="K1583">
        <v>5.1947905150000002</v>
      </c>
      <c r="L1583">
        <v>5.465228175</v>
      </c>
      <c r="M1583">
        <v>5.6957959899999997</v>
      </c>
      <c r="N1583">
        <v>5.9871412599999996</v>
      </c>
      <c r="O1583">
        <v>6.2269030650000001</v>
      </c>
      <c r="P1583">
        <v>5.2731925750000004</v>
      </c>
      <c r="Q1583">
        <v>5.3167620800000002</v>
      </c>
      <c r="R1583">
        <v>4.6506361299999996</v>
      </c>
      <c r="S1583">
        <v>6.6278483000000001</v>
      </c>
      <c r="T1583">
        <v>6.5506538499999998</v>
      </c>
      <c r="U1583">
        <v>6.5298388300000001</v>
      </c>
      <c r="V1583">
        <v>6.5504154799999998</v>
      </c>
      <c r="W1583">
        <v>5.9289711</v>
      </c>
      <c r="X1583">
        <v>6.0469051499999997</v>
      </c>
      <c r="Y1583">
        <v>5.8963479000000003</v>
      </c>
      <c r="Z1583">
        <v>5.492711645</v>
      </c>
      <c r="AA1583">
        <v>5.7891995999999999</v>
      </c>
      <c r="AB1583">
        <v>5.2819443000000001</v>
      </c>
    </row>
    <row r="1584" spans="1:28" hidden="1" x14ac:dyDescent="0.25">
      <c r="A1584" t="s">
        <v>225</v>
      </c>
      <c r="B1584" t="s">
        <v>228</v>
      </c>
      <c r="C1584">
        <v>110</v>
      </c>
      <c r="D1584" t="s">
        <v>3</v>
      </c>
      <c r="E1584">
        <v>2.1215244937</v>
      </c>
      <c r="F1584">
        <v>2.1239189108000001</v>
      </c>
      <c r="G1584">
        <v>2.1158164640999999</v>
      </c>
      <c r="H1584">
        <v>2.0963925240000001</v>
      </c>
      <c r="I1584">
        <v>2.1020156026999999</v>
      </c>
      <c r="J1584">
        <v>2.0889068721999999</v>
      </c>
      <c r="K1584">
        <v>2.1596889354000002</v>
      </c>
      <c r="L1584">
        <v>2.2615881089999998</v>
      </c>
      <c r="M1584">
        <v>2.3159719636</v>
      </c>
      <c r="N1584">
        <v>2.4138250049000001</v>
      </c>
      <c r="O1584">
        <v>2.4596582586000002</v>
      </c>
      <c r="P1584">
        <v>2.0516016006000002</v>
      </c>
      <c r="Q1584">
        <v>2.0634841922999998</v>
      </c>
      <c r="R1584">
        <v>1.8185302667000001</v>
      </c>
      <c r="S1584">
        <v>2.6527266490999999</v>
      </c>
      <c r="T1584">
        <v>2.6690350698</v>
      </c>
      <c r="U1584">
        <v>2.6786794899999999</v>
      </c>
      <c r="V1584">
        <v>2.6284792285999998</v>
      </c>
      <c r="W1584">
        <v>2.1654719745</v>
      </c>
      <c r="X1584">
        <v>2.0273669038</v>
      </c>
      <c r="Y1584">
        <v>1.9824547627</v>
      </c>
      <c r="Z1584">
        <v>1.9240976845</v>
      </c>
      <c r="AA1584">
        <v>2.1741299353999999</v>
      </c>
      <c r="AB1584">
        <v>2.161071518</v>
      </c>
    </row>
    <row r="1585" spans="1:28" hidden="1" x14ac:dyDescent="0.25">
      <c r="A1585" t="s">
        <v>225</v>
      </c>
      <c r="B1585" t="s">
        <v>228</v>
      </c>
      <c r="C1585">
        <v>110</v>
      </c>
      <c r="D1585" t="s">
        <v>4</v>
      </c>
      <c r="E1585">
        <v>7.5339210000000004E-2</v>
      </c>
      <c r="F1585">
        <v>7.3059374999999996E-2</v>
      </c>
      <c r="G1585">
        <v>7.1211540000000004E-2</v>
      </c>
      <c r="H1585">
        <v>6.9868979999999997E-2</v>
      </c>
      <c r="I1585">
        <v>7.0275749999999998E-2</v>
      </c>
      <c r="J1585">
        <v>7.338132E-2</v>
      </c>
      <c r="K1585">
        <v>7.9108485000000006E-2</v>
      </c>
      <c r="L1585">
        <v>8.3226825000000004E-2</v>
      </c>
      <c r="M1585">
        <v>8.6738010000000004E-2</v>
      </c>
      <c r="N1585">
        <v>9.1174740000000004E-2</v>
      </c>
      <c r="O1585">
        <v>9.4825935E-2</v>
      </c>
      <c r="P1585">
        <v>8.0302424999999997E-2</v>
      </c>
      <c r="Q1585">
        <v>8.0965919999999997E-2</v>
      </c>
      <c r="R1585">
        <v>7.0821869999999995E-2</v>
      </c>
      <c r="S1585">
        <v>0.1009317</v>
      </c>
      <c r="T1585">
        <v>9.9756150000000002E-2</v>
      </c>
      <c r="U1585">
        <v>9.9439169999999993E-2</v>
      </c>
      <c r="V1585">
        <v>9.9752519999999997E-2</v>
      </c>
      <c r="W1585">
        <v>9.0288900000000005E-2</v>
      </c>
      <c r="X1585">
        <v>9.2084849999999996E-2</v>
      </c>
      <c r="Y1585">
        <v>8.97921E-2</v>
      </c>
      <c r="Z1585">
        <v>8.3645355000000005E-2</v>
      </c>
      <c r="AA1585">
        <v>8.81604E-2</v>
      </c>
      <c r="AB1585">
        <v>8.0435699999999999E-2</v>
      </c>
    </row>
    <row r="1586" spans="1:28" hidden="1" x14ac:dyDescent="0.25">
      <c r="A1586" t="s">
        <v>225</v>
      </c>
      <c r="B1586" t="s">
        <v>229</v>
      </c>
      <c r="C1586">
        <v>110</v>
      </c>
      <c r="D1586" t="s">
        <v>2</v>
      </c>
      <c r="E1586">
        <v>16.576292155000001</v>
      </c>
      <c r="F1586">
        <v>16.057180410000001</v>
      </c>
      <c r="G1586">
        <v>15.610696655</v>
      </c>
      <c r="H1586">
        <v>15.226393979999999</v>
      </c>
      <c r="I1586">
        <v>15.293074539999999</v>
      </c>
      <c r="J1586">
        <v>16.110617645000001</v>
      </c>
      <c r="K1586">
        <v>17.291708490000001</v>
      </c>
      <c r="L1586">
        <v>18.790111175</v>
      </c>
      <c r="M1586">
        <v>20.660583819999999</v>
      </c>
      <c r="N1586">
        <v>22.080962684999999</v>
      </c>
      <c r="O1586">
        <v>23.043144174999998</v>
      </c>
      <c r="P1586">
        <v>24.042097685000002</v>
      </c>
      <c r="Q1586">
        <v>24.023314719999998</v>
      </c>
      <c r="R1586">
        <v>24.083759245</v>
      </c>
      <c r="S1586">
        <v>24.305603900000001</v>
      </c>
      <c r="T1586">
        <v>24.366428634999998</v>
      </c>
      <c r="U1586">
        <v>24.200300505000001</v>
      </c>
      <c r="V1586">
        <v>23.7956103</v>
      </c>
      <c r="W1586">
        <v>24.707375549999998</v>
      </c>
      <c r="X1586">
        <v>24.369707699999999</v>
      </c>
      <c r="Y1586">
        <v>23.438291700000001</v>
      </c>
      <c r="Z1586">
        <v>21.481902430000002</v>
      </c>
      <c r="AA1586">
        <v>19.54955898</v>
      </c>
      <c r="AB1586">
        <v>17.81100837</v>
      </c>
    </row>
    <row r="1587" spans="1:28" hidden="1" x14ac:dyDescent="0.25">
      <c r="A1587" t="s">
        <v>225</v>
      </c>
      <c r="B1587" t="s">
        <v>229</v>
      </c>
      <c r="C1587">
        <v>110</v>
      </c>
      <c r="D1587" t="s">
        <v>3</v>
      </c>
      <c r="E1587">
        <v>6.8610254694000004</v>
      </c>
      <c r="F1587">
        <v>6.9050299820000003</v>
      </c>
      <c r="G1587">
        <v>6.8619978717999999</v>
      </c>
      <c r="H1587">
        <v>6.800089872</v>
      </c>
      <c r="I1587">
        <v>6.8033033093000004</v>
      </c>
      <c r="J1587">
        <v>6.7577494421999997</v>
      </c>
      <c r="K1587">
        <v>6.4899602686</v>
      </c>
      <c r="L1587">
        <v>6.7492273064999999</v>
      </c>
      <c r="M1587">
        <v>7.1011233177999999</v>
      </c>
      <c r="N1587">
        <v>7.3318319168999997</v>
      </c>
      <c r="O1587">
        <v>7.5255616008999997</v>
      </c>
      <c r="P1587">
        <v>7.6755546286999996</v>
      </c>
      <c r="Q1587">
        <v>7.7147235953999997</v>
      </c>
      <c r="R1587">
        <v>7.9364409693000004</v>
      </c>
      <c r="S1587">
        <v>8.1064186625999994</v>
      </c>
      <c r="T1587">
        <v>8.1881613692999995</v>
      </c>
      <c r="U1587">
        <v>8.1905317811000007</v>
      </c>
      <c r="V1587">
        <v>7.9530286180000003</v>
      </c>
      <c r="W1587">
        <v>7.9433097915999999</v>
      </c>
      <c r="X1587">
        <v>7.4555568188999999</v>
      </c>
      <c r="Y1587">
        <v>7.2491391711000004</v>
      </c>
      <c r="Z1587">
        <v>7.0164480322999996</v>
      </c>
      <c r="AA1587">
        <v>6.9143885848000002</v>
      </c>
      <c r="AB1587">
        <v>6.9369459616000002</v>
      </c>
    </row>
    <row r="1588" spans="1:28" hidden="1" x14ac:dyDescent="0.25">
      <c r="A1588" t="s">
        <v>225</v>
      </c>
      <c r="B1588" t="s">
        <v>229</v>
      </c>
      <c r="C1588">
        <v>110</v>
      </c>
      <c r="D1588" t="s">
        <v>4</v>
      </c>
      <c r="E1588">
        <v>0.25243084500000001</v>
      </c>
      <c r="F1588">
        <v>0.24452558999999999</v>
      </c>
      <c r="G1588">
        <v>0.23772634500000001</v>
      </c>
      <c r="H1588">
        <v>0.23187401999999999</v>
      </c>
      <c r="I1588">
        <v>0.23288945999999999</v>
      </c>
      <c r="J1588">
        <v>0.24533935500000001</v>
      </c>
      <c r="K1588">
        <v>0.26332550999999998</v>
      </c>
      <c r="L1588">
        <v>0.28614382500000002</v>
      </c>
      <c r="M1588">
        <v>0.31462817999999998</v>
      </c>
      <c r="N1588">
        <v>0.33625831499999997</v>
      </c>
      <c r="O1588">
        <v>0.35091082499999998</v>
      </c>
      <c r="P1588">
        <v>0.366123315</v>
      </c>
      <c r="Q1588">
        <v>0.36583727999999999</v>
      </c>
      <c r="R1588">
        <v>0.36675775500000002</v>
      </c>
      <c r="S1588">
        <v>0.37013610000000002</v>
      </c>
      <c r="T1588">
        <v>0.37106236500000001</v>
      </c>
      <c r="U1588">
        <v>0.36853249500000002</v>
      </c>
      <c r="V1588">
        <v>0.36236970000000002</v>
      </c>
      <c r="W1588">
        <v>0.37625445000000002</v>
      </c>
      <c r="X1588">
        <v>0.37111230000000001</v>
      </c>
      <c r="Y1588">
        <v>0.35692829999999998</v>
      </c>
      <c r="Z1588">
        <v>0.32713556999999999</v>
      </c>
      <c r="AA1588">
        <v>0.29770901999999999</v>
      </c>
      <c r="AB1588">
        <v>0.27123363</v>
      </c>
    </row>
    <row r="1589" spans="1:28" hidden="1" x14ac:dyDescent="0.25">
      <c r="A1589" t="s">
        <v>230</v>
      </c>
      <c r="B1589" t="s">
        <v>231</v>
      </c>
      <c r="C1589">
        <v>220</v>
      </c>
      <c r="D1589" t="s">
        <v>2</v>
      </c>
      <c r="E1589">
        <v>51</v>
      </c>
      <c r="F1589">
        <v>50</v>
      </c>
      <c r="G1589">
        <v>50</v>
      </c>
      <c r="H1589">
        <v>50</v>
      </c>
      <c r="I1589">
        <v>50</v>
      </c>
      <c r="J1589">
        <v>50</v>
      </c>
      <c r="K1589">
        <v>48</v>
      </c>
      <c r="L1589">
        <v>45</v>
      </c>
      <c r="M1589">
        <v>36</v>
      </c>
      <c r="N1589">
        <v>33</v>
      </c>
      <c r="O1589">
        <v>27</v>
      </c>
      <c r="P1589">
        <v>23</v>
      </c>
      <c r="Q1589">
        <v>23</v>
      </c>
      <c r="R1589">
        <v>25</v>
      </c>
      <c r="S1589">
        <v>26</v>
      </c>
      <c r="T1589">
        <v>27</v>
      </c>
      <c r="U1589">
        <v>33</v>
      </c>
      <c r="V1589">
        <v>27</v>
      </c>
      <c r="W1589">
        <v>54</v>
      </c>
      <c r="X1589">
        <v>55</v>
      </c>
      <c r="Y1589">
        <v>55</v>
      </c>
      <c r="Z1589">
        <v>54</v>
      </c>
      <c r="AA1589">
        <v>53</v>
      </c>
      <c r="AB1589">
        <v>52</v>
      </c>
    </row>
    <row r="1590" spans="1:28" hidden="1" x14ac:dyDescent="0.25">
      <c r="A1590" t="s">
        <v>230</v>
      </c>
      <c r="B1590" t="s">
        <v>231</v>
      </c>
      <c r="C1590">
        <v>220</v>
      </c>
      <c r="D1590" t="s">
        <v>3</v>
      </c>
      <c r="E1590">
        <v>31.4393874678</v>
      </c>
      <c r="F1590">
        <v>30.82292889</v>
      </c>
      <c r="G1590">
        <v>30.82292889</v>
      </c>
      <c r="H1590">
        <v>30.82292889</v>
      </c>
      <c r="I1590">
        <v>30.82292889</v>
      </c>
      <c r="J1590">
        <v>30.82292889</v>
      </c>
      <c r="K1590">
        <v>29.590011734400001</v>
      </c>
      <c r="L1590">
        <v>27.740636000999999</v>
      </c>
      <c r="M1590">
        <v>22.192508800799999</v>
      </c>
      <c r="N1590">
        <v>20.3431330674</v>
      </c>
      <c r="O1590">
        <v>16.644381600599999</v>
      </c>
      <c r="P1590">
        <v>14.178547289400001</v>
      </c>
      <c r="Q1590">
        <v>14.178547289400001</v>
      </c>
      <c r="R1590">
        <v>15.411464445</v>
      </c>
      <c r="S1590">
        <v>16.0279230228</v>
      </c>
      <c r="T1590">
        <v>16.644381600599999</v>
      </c>
      <c r="U1590">
        <v>20.3431330674</v>
      </c>
      <c r="V1590">
        <v>16.644381600599999</v>
      </c>
      <c r="W1590">
        <v>33.288763201199998</v>
      </c>
      <c r="X1590">
        <v>33.905221779000001</v>
      </c>
      <c r="Y1590">
        <v>33.905221779000001</v>
      </c>
      <c r="Z1590">
        <v>33.288763201199998</v>
      </c>
      <c r="AA1590">
        <v>32.672304623400002</v>
      </c>
      <c r="AB1590">
        <v>32.055846045599999</v>
      </c>
    </row>
    <row r="1591" spans="1:28" hidden="1" x14ac:dyDescent="0.25">
      <c r="A1591" t="s">
        <v>230</v>
      </c>
      <c r="B1591" t="s">
        <v>231</v>
      </c>
      <c r="C1591">
        <v>220</v>
      </c>
      <c r="D1591" t="s">
        <v>4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  <c r="AB1591">
        <v>0</v>
      </c>
    </row>
    <row r="1592" spans="1:28" hidden="1" x14ac:dyDescent="0.25">
      <c r="A1592" t="s">
        <v>232</v>
      </c>
      <c r="B1592" t="s">
        <v>233</v>
      </c>
      <c r="C1592">
        <v>115</v>
      </c>
      <c r="D1592" t="s">
        <v>2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</row>
    <row r="1593" spans="1:28" hidden="1" x14ac:dyDescent="0.25">
      <c r="A1593" t="s">
        <v>232</v>
      </c>
      <c r="B1593" t="s">
        <v>233</v>
      </c>
      <c r="C1593">
        <v>115</v>
      </c>
      <c r="D1593" t="s">
        <v>3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0</v>
      </c>
    </row>
    <row r="1594" spans="1:28" hidden="1" x14ac:dyDescent="0.25">
      <c r="A1594" t="s">
        <v>232</v>
      </c>
      <c r="B1594" t="s">
        <v>233</v>
      </c>
      <c r="C1594">
        <v>115</v>
      </c>
      <c r="D1594" t="s">
        <v>4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</row>
    <row r="1595" spans="1:28" hidden="1" x14ac:dyDescent="0.25">
      <c r="A1595" t="s">
        <v>232</v>
      </c>
      <c r="B1595" t="s">
        <v>234</v>
      </c>
      <c r="C1595">
        <v>115</v>
      </c>
      <c r="D1595" t="s">
        <v>2</v>
      </c>
      <c r="E1595">
        <v>19.797495300000001</v>
      </c>
      <c r="F1595">
        <v>18.401494199999998</v>
      </c>
      <c r="G1595">
        <v>17.883187199999998</v>
      </c>
      <c r="H1595">
        <v>17.71312498</v>
      </c>
      <c r="I1595">
        <v>19.506706555000001</v>
      </c>
      <c r="J1595">
        <v>24.289107120000001</v>
      </c>
      <c r="K1595">
        <v>27.776751780000001</v>
      </c>
      <c r="L1595">
        <v>29.916532289999999</v>
      </c>
      <c r="M1595">
        <v>31.62086794</v>
      </c>
      <c r="N1595">
        <v>32.437318679999997</v>
      </c>
      <c r="O1595">
        <v>32.916013905</v>
      </c>
      <c r="P1595">
        <v>33.466335375</v>
      </c>
      <c r="Q1595">
        <v>33.866810764999997</v>
      </c>
      <c r="R1595">
        <v>33.172605419999996</v>
      </c>
      <c r="S1595">
        <v>32.415074425</v>
      </c>
      <c r="T1595">
        <v>31.687765200000001</v>
      </c>
      <c r="U1595">
        <v>30.885144844999999</v>
      </c>
      <c r="V1595">
        <v>31.274774399999998</v>
      </c>
      <c r="W1595">
        <v>34.639819064999998</v>
      </c>
      <c r="X1595">
        <v>34.729721984999998</v>
      </c>
      <c r="Y1595">
        <v>34.138143790000001</v>
      </c>
      <c r="Z1595">
        <v>29.674105075</v>
      </c>
      <c r="AA1595">
        <v>25.707359369999999</v>
      </c>
      <c r="AB1595">
        <v>22.071165874999998</v>
      </c>
    </row>
    <row r="1596" spans="1:28" hidden="1" x14ac:dyDescent="0.25">
      <c r="A1596" t="s">
        <v>232</v>
      </c>
      <c r="B1596" t="s">
        <v>234</v>
      </c>
      <c r="C1596">
        <v>115</v>
      </c>
      <c r="D1596" t="s">
        <v>3</v>
      </c>
      <c r="E1596">
        <v>6.7313368187</v>
      </c>
      <c r="F1596">
        <v>6.5294229198</v>
      </c>
      <c r="G1596">
        <v>6.4996245731000002</v>
      </c>
      <c r="H1596">
        <v>6.4542395548</v>
      </c>
      <c r="I1596">
        <v>6.6202898014000002</v>
      </c>
      <c r="J1596">
        <v>7.0115592017999999</v>
      </c>
      <c r="K1596">
        <v>8.4155665683999992</v>
      </c>
      <c r="L1596">
        <v>9.4312191680000002</v>
      </c>
      <c r="M1596">
        <v>10.206944357999999</v>
      </c>
      <c r="N1596">
        <v>10.763730195400001</v>
      </c>
      <c r="O1596">
        <v>11.135765255900001</v>
      </c>
      <c r="P1596">
        <v>11.4217294855</v>
      </c>
      <c r="Q1596">
        <v>11.581804484499999</v>
      </c>
      <c r="R1596">
        <v>11.291642117</v>
      </c>
      <c r="S1596">
        <v>11.126685201700001</v>
      </c>
      <c r="T1596">
        <v>10.819101742200001</v>
      </c>
      <c r="U1596">
        <v>10.397061691499999</v>
      </c>
      <c r="V1596">
        <v>10.204972857</v>
      </c>
      <c r="W1596">
        <v>10.073715008500001</v>
      </c>
      <c r="X1596">
        <v>9.6174647329000003</v>
      </c>
      <c r="Y1596">
        <v>9.4246858071999995</v>
      </c>
      <c r="Z1596">
        <v>8.3719413505000002</v>
      </c>
      <c r="AA1596">
        <v>7.5901965984000004</v>
      </c>
      <c r="AB1596">
        <v>7.1077079032999997</v>
      </c>
    </row>
    <row r="1597" spans="1:28" hidden="1" x14ac:dyDescent="0.25">
      <c r="A1597" t="s">
        <v>232</v>
      </c>
      <c r="B1597" t="s">
        <v>234</v>
      </c>
      <c r="C1597">
        <v>115</v>
      </c>
      <c r="D1597" t="s">
        <v>4</v>
      </c>
      <c r="E1597">
        <v>0.30148469999999999</v>
      </c>
      <c r="F1597">
        <v>0.28022580000000002</v>
      </c>
      <c r="G1597">
        <v>0.27233279999999999</v>
      </c>
      <c r="H1597">
        <v>0.26974302</v>
      </c>
      <c r="I1597">
        <v>0.297056445</v>
      </c>
      <c r="J1597">
        <v>0.36988488000000003</v>
      </c>
      <c r="K1597">
        <v>0.42299621999999998</v>
      </c>
      <c r="L1597">
        <v>0.45558170999999997</v>
      </c>
      <c r="M1597">
        <v>0.48153605999999999</v>
      </c>
      <c r="N1597">
        <v>0.49396931999999999</v>
      </c>
      <c r="O1597">
        <v>0.50125909499999999</v>
      </c>
      <c r="P1597">
        <v>0.50963962500000004</v>
      </c>
      <c r="Q1597">
        <v>0.51573823500000004</v>
      </c>
      <c r="R1597">
        <v>0.50516658000000003</v>
      </c>
      <c r="S1597">
        <v>0.49363057500000002</v>
      </c>
      <c r="T1597">
        <v>0.48255480000000001</v>
      </c>
      <c r="U1597">
        <v>0.47033215499999997</v>
      </c>
      <c r="V1597">
        <v>0.47626560000000001</v>
      </c>
      <c r="W1597">
        <v>0.52750993499999999</v>
      </c>
      <c r="X1597">
        <v>0.52887901500000001</v>
      </c>
      <c r="Y1597">
        <v>0.51987021</v>
      </c>
      <c r="Z1597">
        <v>0.45188992500000003</v>
      </c>
      <c r="AA1597">
        <v>0.39148263</v>
      </c>
      <c r="AB1597">
        <v>0.33610912500000001</v>
      </c>
    </row>
    <row r="1598" spans="1:28" hidden="1" x14ac:dyDescent="0.25">
      <c r="A1598" t="s">
        <v>232</v>
      </c>
      <c r="B1598" t="s">
        <v>235</v>
      </c>
      <c r="C1598">
        <v>115</v>
      </c>
      <c r="D1598" t="s">
        <v>2</v>
      </c>
      <c r="E1598">
        <v>27.221556530000001</v>
      </c>
      <c r="F1598">
        <v>25.39722227</v>
      </c>
      <c r="G1598">
        <v>24.715123559999999</v>
      </c>
      <c r="H1598">
        <v>24.443835844999999</v>
      </c>
      <c r="I1598">
        <v>26.049048975000002</v>
      </c>
      <c r="J1598">
        <v>31.260198370000001</v>
      </c>
      <c r="K1598">
        <v>36.47878747</v>
      </c>
      <c r="L1598">
        <v>40.856306740000001</v>
      </c>
      <c r="M1598">
        <v>43.884156355000002</v>
      </c>
      <c r="N1598">
        <v>45.691508229999997</v>
      </c>
      <c r="O1598">
        <v>46.767249385</v>
      </c>
      <c r="P1598">
        <v>48.02182123</v>
      </c>
      <c r="Q1598">
        <v>49.005948519999997</v>
      </c>
      <c r="R1598">
        <v>47.991605370000002</v>
      </c>
      <c r="S1598">
        <v>46.933869029999997</v>
      </c>
      <c r="T1598">
        <v>45.855852525000003</v>
      </c>
      <c r="U1598">
        <v>45.036389655000001</v>
      </c>
      <c r="V1598">
        <v>45.6798675</v>
      </c>
      <c r="W1598">
        <v>49.762341839999998</v>
      </c>
      <c r="X1598">
        <v>49.008998079999998</v>
      </c>
      <c r="Y1598">
        <v>47.820228174999997</v>
      </c>
      <c r="Z1598">
        <v>40.762643089999997</v>
      </c>
      <c r="AA1598">
        <v>35.33230657</v>
      </c>
      <c r="AB1598">
        <v>30.514389860000001</v>
      </c>
    </row>
    <row r="1599" spans="1:28" hidden="1" x14ac:dyDescent="0.25">
      <c r="A1599" t="s">
        <v>232</v>
      </c>
      <c r="B1599" t="s">
        <v>235</v>
      </c>
      <c r="C1599">
        <v>115</v>
      </c>
      <c r="D1599" t="s">
        <v>3</v>
      </c>
      <c r="E1599">
        <v>7.8655122787999998</v>
      </c>
      <c r="F1599">
        <v>7.6726183250000002</v>
      </c>
      <c r="G1599">
        <v>7.5925954307000003</v>
      </c>
      <c r="H1599">
        <v>7.5056104093</v>
      </c>
      <c r="I1599">
        <v>7.6900812045000002</v>
      </c>
      <c r="J1599">
        <v>8.2190807414999991</v>
      </c>
      <c r="K1599">
        <v>10.069403451199999</v>
      </c>
      <c r="L1599">
        <v>11.5316427938</v>
      </c>
      <c r="M1599">
        <v>12.6817871976</v>
      </c>
      <c r="N1599">
        <v>13.548388709399999</v>
      </c>
      <c r="O1599">
        <v>14.2429647853</v>
      </c>
      <c r="P1599">
        <v>14.9661292944</v>
      </c>
      <c r="Q1599">
        <v>15.3089439756</v>
      </c>
      <c r="R1599">
        <v>15.0643749604</v>
      </c>
      <c r="S1599">
        <v>14.763319490000001</v>
      </c>
      <c r="T1599">
        <v>14.2775676974</v>
      </c>
      <c r="U1599">
        <v>13.845446181</v>
      </c>
      <c r="V1599">
        <v>13.5431892208</v>
      </c>
      <c r="W1599">
        <v>12.9703744349</v>
      </c>
      <c r="X1599">
        <v>12.327739941999999</v>
      </c>
      <c r="Y1599">
        <v>12.0537067313</v>
      </c>
      <c r="Z1599">
        <v>10.0834982784</v>
      </c>
      <c r="AA1599">
        <v>8.9795115106000001</v>
      </c>
      <c r="AB1599">
        <v>8.3970743521000006</v>
      </c>
    </row>
    <row r="1600" spans="1:28" hidden="1" x14ac:dyDescent="0.25">
      <c r="A1600" t="s">
        <v>232</v>
      </c>
      <c r="B1600" t="s">
        <v>235</v>
      </c>
      <c r="C1600">
        <v>115</v>
      </c>
      <c r="D1600" t="s">
        <v>4</v>
      </c>
      <c r="E1600">
        <v>0.41454147000000002</v>
      </c>
      <c r="F1600">
        <v>0.38675973000000002</v>
      </c>
      <c r="G1600">
        <v>0.37637243999999997</v>
      </c>
      <c r="H1600">
        <v>0.37224115499999999</v>
      </c>
      <c r="I1600">
        <v>0.396686025</v>
      </c>
      <c r="J1600">
        <v>0.47604363</v>
      </c>
      <c r="K1600">
        <v>0.55551452999999995</v>
      </c>
      <c r="L1600">
        <v>0.62217725999999995</v>
      </c>
      <c r="M1600">
        <v>0.66828664500000001</v>
      </c>
      <c r="N1600">
        <v>0.69580976999999999</v>
      </c>
      <c r="O1600">
        <v>0.71219161499999994</v>
      </c>
      <c r="P1600">
        <v>0.73129677000000004</v>
      </c>
      <c r="Q1600">
        <v>0.74628348</v>
      </c>
      <c r="R1600">
        <v>0.73083662999999999</v>
      </c>
      <c r="S1600">
        <v>0.71472897000000002</v>
      </c>
      <c r="T1600">
        <v>0.69831247500000004</v>
      </c>
      <c r="U1600">
        <v>0.68583334500000004</v>
      </c>
      <c r="V1600">
        <v>0.69563249999999999</v>
      </c>
      <c r="W1600">
        <v>0.75780216</v>
      </c>
      <c r="X1600">
        <v>0.74632991999999998</v>
      </c>
      <c r="Y1600">
        <v>0.72822682500000002</v>
      </c>
      <c r="Z1600">
        <v>0.62075091000000004</v>
      </c>
      <c r="AA1600">
        <v>0.53805543</v>
      </c>
      <c r="AB1600">
        <v>0.46468614000000003</v>
      </c>
    </row>
    <row r="1601" spans="1:28" hidden="1" x14ac:dyDescent="0.25">
      <c r="A1601" t="s">
        <v>232</v>
      </c>
      <c r="B1601" t="s">
        <v>236</v>
      </c>
      <c r="C1601">
        <v>115</v>
      </c>
      <c r="D1601" t="s">
        <v>2</v>
      </c>
      <c r="E1601">
        <v>3.209593935</v>
      </c>
      <c r="F1601">
        <v>3.131558295</v>
      </c>
      <c r="G1601">
        <v>3.25529892</v>
      </c>
      <c r="H1601">
        <v>3.2684112399999998</v>
      </c>
      <c r="I1601">
        <v>3.2034918600000002</v>
      </c>
      <c r="J1601">
        <v>3.0044903399999998</v>
      </c>
      <c r="K1601">
        <v>3.0842654899999999</v>
      </c>
      <c r="L1601">
        <v>3.2977297650000001</v>
      </c>
      <c r="M1601">
        <v>3.4320463349999999</v>
      </c>
      <c r="N1601">
        <v>3.48003061</v>
      </c>
      <c r="O1601">
        <v>3.490423345</v>
      </c>
      <c r="P1601">
        <v>3.5203968950000002</v>
      </c>
      <c r="Q1601">
        <v>3.4763949749999998</v>
      </c>
      <c r="R1601">
        <v>3.3589731249999999</v>
      </c>
      <c r="S1601">
        <v>3.3774842299999999</v>
      </c>
      <c r="T1601">
        <v>3.4821719999999998</v>
      </c>
      <c r="U1601">
        <v>3.5644914050000001</v>
      </c>
      <c r="V1601">
        <v>3.5906500499999998</v>
      </c>
      <c r="W1601">
        <v>3.5383554149999998</v>
      </c>
      <c r="X1601">
        <v>3.53603574</v>
      </c>
      <c r="Y1601">
        <v>3.5770156800000001</v>
      </c>
      <c r="Z1601">
        <v>3.1401169599999998</v>
      </c>
      <c r="AA1601">
        <v>3.0974832050000001</v>
      </c>
      <c r="AB1601">
        <v>3.2264029600000002</v>
      </c>
    </row>
    <row r="1602" spans="1:28" hidden="1" x14ac:dyDescent="0.25">
      <c r="A1602" t="s">
        <v>232</v>
      </c>
      <c r="B1602" t="s">
        <v>236</v>
      </c>
      <c r="C1602">
        <v>115</v>
      </c>
      <c r="D1602" t="s">
        <v>3</v>
      </c>
      <c r="E1602">
        <v>0.13163697730000001</v>
      </c>
      <c r="F1602">
        <v>0.1213531038</v>
      </c>
      <c r="G1602">
        <v>8.8578101199999995E-2</v>
      </c>
      <c r="H1602">
        <v>8.6496894699999993E-2</v>
      </c>
      <c r="I1602">
        <v>6.5662709299999997E-2</v>
      </c>
      <c r="J1602">
        <v>1.90024453E-2</v>
      </c>
      <c r="K1602">
        <v>4.5751042700000001E-2</v>
      </c>
      <c r="L1602">
        <v>4.8917505899999998E-2</v>
      </c>
      <c r="M1602">
        <v>9.7102062099999997E-2</v>
      </c>
      <c r="N1602">
        <v>9.7220535600000005E-2</v>
      </c>
      <c r="O1602">
        <v>0.11686118249999999</v>
      </c>
      <c r="P1602">
        <v>0.116806677</v>
      </c>
      <c r="Q1602">
        <v>0.1077509752</v>
      </c>
      <c r="R1602">
        <v>6.1944201800000001E-2</v>
      </c>
      <c r="S1602">
        <v>7.5537195900000006E-2</v>
      </c>
      <c r="T1602">
        <v>0.10450057710000001</v>
      </c>
      <c r="U1602">
        <v>0.16347437779999999</v>
      </c>
      <c r="V1602">
        <v>0.1646740632</v>
      </c>
      <c r="W1602">
        <v>0.13527457879999999</v>
      </c>
      <c r="X1602">
        <v>0.14415875559999999</v>
      </c>
      <c r="Y1602">
        <v>0.1097079522</v>
      </c>
      <c r="Z1602">
        <v>3.71569655E-2</v>
      </c>
      <c r="AA1602">
        <v>3.9182317799999998E-2</v>
      </c>
      <c r="AB1602">
        <v>8.2908244699999994E-2</v>
      </c>
    </row>
    <row r="1603" spans="1:28" hidden="1" x14ac:dyDescent="0.25">
      <c r="A1603" t="s">
        <v>232</v>
      </c>
      <c r="B1603" t="s">
        <v>236</v>
      </c>
      <c r="C1603">
        <v>115</v>
      </c>
      <c r="D1603" t="s">
        <v>4</v>
      </c>
      <c r="E1603">
        <v>4.8877064999999997E-2</v>
      </c>
      <c r="F1603">
        <v>4.7688704999999998E-2</v>
      </c>
      <c r="G1603">
        <v>4.9573079999999999E-2</v>
      </c>
      <c r="H1603">
        <v>4.9772759999999999E-2</v>
      </c>
      <c r="I1603">
        <v>4.8784139999999997E-2</v>
      </c>
      <c r="J1603">
        <v>4.5753660000000002E-2</v>
      </c>
      <c r="K1603">
        <v>4.6968509999999998E-2</v>
      </c>
      <c r="L1603">
        <v>5.0219235000000001E-2</v>
      </c>
      <c r="M1603">
        <v>5.2264665000000002E-2</v>
      </c>
      <c r="N1603">
        <v>5.2995390000000003E-2</v>
      </c>
      <c r="O1603">
        <v>5.3153655000000001E-2</v>
      </c>
      <c r="P1603">
        <v>5.3610104999999998E-2</v>
      </c>
      <c r="Q1603">
        <v>5.2940025000000002E-2</v>
      </c>
      <c r="R1603">
        <v>5.1151874999999999E-2</v>
      </c>
      <c r="S1603">
        <v>5.1433769999999997E-2</v>
      </c>
      <c r="T1603">
        <v>5.3027999999999999E-2</v>
      </c>
      <c r="U1603">
        <v>5.4281595000000002E-2</v>
      </c>
      <c r="V1603">
        <v>5.4679949999999998E-2</v>
      </c>
      <c r="W1603">
        <v>5.3883584999999998E-2</v>
      </c>
      <c r="X1603">
        <v>5.3848260000000002E-2</v>
      </c>
      <c r="Y1603">
        <v>5.4472319999999998E-2</v>
      </c>
      <c r="Z1603">
        <v>4.781904E-2</v>
      </c>
      <c r="AA1603">
        <v>4.7169795E-2</v>
      </c>
      <c r="AB1603">
        <v>4.9133040000000003E-2</v>
      </c>
    </row>
    <row r="1604" spans="1:28" hidden="1" x14ac:dyDescent="0.25">
      <c r="A1604" t="s">
        <v>232</v>
      </c>
      <c r="B1604" t="s">
        <v>237</v>
      </c>
      <c r="C1604">
        <v>230</v>
      </c>
      <c r="D1604" t="s">
        <v>2</v>
      </c>
      <c r="E1604">
        <v>8.9836349999999996</v>
      </c>
      <c r="F1604">
        <v>9.0127269999999999</v>
      </c>
      <c r="G1604">
        <v>8.8366319999999998</v>
      </c>
      <c r="H1604">
        <v>9.1531249999999993</v>
      </c>
      <c r="I1604">
        <v>9.2682219999999997</v>
      </c>
      <c r="J1604">
        <v>9.0307770000000005</v>
      </c>
      <c r="K1604">
        <v>9.5614480000000004</v>
      </c>
      <c r="L1604">
        <v>10.384657000000001</v>
      </c>
      <c r="M1604">
        <v>10.962833</v>
      </c>
      <c r="N1604">
        <v>10.686311999999999</v>
      </c>
      <c r="O1604">
        <v>10.967145</v>
      </c>
      <c r="P1604">
        <v>10.515828000000001</v>
      </c>
      <c r="Q1604">
        <v>10.269225</v>
      </c>
      <c r="R1604">
        <v>10.676144000000001</v>
      </c>
      <c r="S1604">
        <v>10.620739</v>
      </c>
      <c r="T1604">
        <v>10.627694999999999</v>
      </c>
      <c r="U1604">
        <v>10.596287999999999</v>
      </c>
      <c r="V1604">
        <v>10.41831</v>
      </c>
      <c r="W1604">
        <v>10.50215</v>
      </c>
      <c r="X1604">
        <v>10.72392</v>
      </c>
      <c r="Y1604">
        <v>10.71289</v>
      </c>
      <c r="Z1604">
        <v>9.8228279999999994</v>
      </c>
      <c r="AA1604">
        <v>9.3451260000000005</v>
      </c>
      <c r="AB1604">
        <v>9.1584640000000004</v>
      </c>
    </row>
    <row r="1605" spans="1:28" hidden="1" x14ac:dyDescent="0.25">
      <c r="A1605" t="s">
        <v>232</v>
      </c>
      <c r="B1605" t="s">
        <v>237</v>
      </c>
      <c r="C1605">
        <v>230</v>
      </c>
      <c r="D1605" t="s">
        <v>3</v>
      </c>
      <c r="E1605">
        <v>1.0164461888</v>
      </c>
      <c r="F1605">
        <v>1.0896959873000001</v>
      </c>
      <c r="G1605">
        <v>1.028087475</v>
      </c>
      <c r="H1605">
        <v>1.095006358</v>
      </c>
      <c r="I1605">
        <v>1.2298898488000001</v>
      </c>
      <c r="J1605">
        <v>1.2253391503</v>
      </c>
      <c r="K1605">
        <v>1.4845604075000001</v>
      </c>
      <c r="L1605">
        <v>2.0487131912000001</v>
      </c>
      <c r="M1605">
        <v>2.4285945690999999</v>
      </c>
      <c r="N1605">
        <v>2.2980418740999999</v>
      </c>
      <c r="O1605">
        <v>2.5370991164999999</v>
      </c>
      <c r="P1605">
        <v>2.3524262176000001</v>
      </c>
      <c r="Q1605">
        <v>2.2644589251</v>
      </c>
      <c r="R1605">
        <v>2.5010517946999999</v>
      </c>
      <c r="S1605">
        <v>2.4385355599</v>
      </c>
      <c r="T1605">
        <v>2.4906848453000001</v>
      </c>
      <c r="U1605">
        <v>2.3484215782</v>
      </c>
      <c r="V1605">
        <v>2.0141622800999999</v>
      </c>
      <c r="W1605">
        <v>1.9621921624000001</v>
      </c>
      <c r="X1605">
        <v>2.1173703103000001</v>
      </c>
      <c r="Y1605">
        <v>1.90593447</v>
      </c>
      <c r="Z1605">
        <v>1.5869277947</v>
      </c>
      <c r="AA1605">
        <v>1.2813740632999999</v>
      </c>
      <c r="AB1605">
        <v>1.2139073653000001</v>
      </c>
    </row>
    <row r="1606" spans="1:28" hidden="1" x14ac:dyDescent="0.25">
      <c r="A1606" t="s">
        <v>232</v>
      </c>
      <c r="B1606" t="s">
        <v>237</v>
      </c>
      <c r="C1606">
        <v>230</v>
      </c>
      <c r="D1606" t="s">
        <v>4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</row>
    <row r="1607" spans="1:28" hidden="1" x14ac:dyDescent="0.25">
      <c r="A1607" t="s">
        <v>232</v>
      </c>
      <c r="B1607" t="s">
        <v>238</v>
      </c>
      <c r="C1607">
        <v>115</v>
      </c>
      <c r="D1607" t="s">
        <v>2</v>
      </c>
      <c r="E1607">
        <v>19.572524255000001</v>
      </c>
      <c r="F1607">
        <v>18.760617320000001</v>
      </c>
      <c r="G1607">
        <v>18.3023244</v>
      </c>
      <c r="H1607">
        <v>17.837767865</v>
      </c>
      <c r="I1607">
        <v>17.97264096</v>
      </c>
      <c r="J1607">
        <v>17.267378005000001</v>
      </c>
      <c r="K1607">
        <v>17.661094325000001</v>
      </c>
      <c r="L1607">
        <v>19.371695559999999</v>
      </c>
      <c r="M1607">
        <v>21.38750988</v>
      </c>
      <c r="N1607">
        <v>22.706123470000001</v>
      </c>
      <c r="O1607">
        <v>23.063301214999999</v>
      </c>
      <c r="P1607">
        <v>23.76267781</v>
      </c>
      <c r="Q1607">
        <v>23.415199359999999</v>
      </c>
      <c r="R1607">
        <v>23.842123969999999</v>
      </c>
      <c r="S1607">
        <v>25.024086539999999</v>
      </c>
      <c r="T1607">
        <v>25.11516555</v>
      </c>
      <c r="U1607">
        <v>24.866063974999999</v>
      </c>
      <c r="V1607">
        <v>24.603389100000001</v>
      </c>
      <c r="W1607">
        <v>25.895349575000001</v>
      </c>
      <c r="X1607">
        <v>25.788283029999999</v>
      </c>
      <c r="Y1607">
        <v>25.732156745000001</v>
      </c>
      <c r="Z1607">
        <v>23.315368625000001</v>
      </c>
      <c r="AA1607">
        <v>21.962379519999999</v>
      </c>
      <c r="AB1607">
        <v>20.562300520000001</v>
      </c>
    </row>
    <row r="1608" spans="1:28" hidden="1" x14ac:dyDescent="0.25">
      <c r="A1608" t="s">
        <v>232</v>
      </c>
      <c r="B1608" t="s">
        <v>238</v>
      </c>
      <c r="C1608">
        <v>115</v>
      </c>
      <c r="D1608" t="s">
        <v>3</v>
      </c>
      <c r="E1608">
        <v>0.88469668229999998</v>
      </c>
      <c r="F1608">
        <v>0.75087529269999997</v>
      </c>
      <c r="G1608">
        <v>0.59046264390000003</v>
      </c>
      <c r="H1608">
        <v>0.52932948420000003</v>
      </c>
      <c r="I1608">
        <v>0.47563709669999998</v>
      </c>
      <c r="J1608">
        <v>0.50654374160000004</v>
      </c>
      <c r="K1608">
        <v>0.6611648014</v>
      </c>
      <c r="L1608">
        <v>1.1767690969</v>
      </c>
      <c r="M1608">
        <v>1.8095155106</v>
      </c>
      <c r="N1608">
        <v>2.2491228947000002</v>
      </c>
      <c r="O1608">
        <v>2.7472678384</v>
      </c>
      <c r="P1608">
        <v>2.7729645571999999</v>
      </c>
      <c r="Q1608">
        <v>2.7118651767999999</v>
      </c>
      <c r="R1608">
        <v>2.9127446177</v>
      </c>
      <c r="S1608">
        <v>3.0987584385</v>
      </c>
      <c r="T1608">
        <v>3.1859297806</v>
      </c>
      <c r="U1608">
        <v>2.9874904592</v>
      </c>
      <c r="V1608">
        <v>2.5958719808000001</v>
      </c>
      <c r="W1608">
        <v>2.1089714397999999</v>
      </c>
      <c r="X1608">
        <v>1.9199605792000001</v>
      </c>
      <c r="Y1608">
        <v>1.7482569694000001</v>
      </c>
      <c r="Z1608">
        <v>1.5170040422</v>
      </c>
      <c r="AA1608">
        <v>1.1757878021999999</v>
      </c>
      <c r="AB1608">
        <v>1.0734935864999999</v>
      </c>
    </row>
    <row r="1609" spans="1:28" hidden="1" x14ac:dyDescent="0.25">
      <c r="A1609" t="s">
        <v>232</v>
      </c>
      <c r="B1609" t="s">
        <v>238</v>
      </c>
      <c r="C1609">
        <v>115</v>
      </c>
      <c r="D1609" t="s">
        <v>4</v>
      </c>
      <c r="E1609">
        <v>0.29805874500000001</v>
      </c>
      <c r="F1609">
        <v>0.28569467999999998</v>
      </c>
      <c r="G1609">
        <v>0.27871560000000001</v>
      </c>
      <c r="H1609">
        <v>0.27164113499999998</v>
      </c>
      <c r="I1609">
        <v>0.27369504</v>
      </c>
      <c r="J1609">
        <v>0.26295499500000002</v>
      </c>
      <c r="K1609">
        <v>0.26895067499999997</v>
      </c>
      <c r="L1609">
        <v>0.29500043999999997</v>
      </c>
      <c r="M1609">
        <v>0.32569811999999998</v>
      </c>
      <c r="N1609">
        <v>0.34577852999999997</v>
      </c>
      <c r="O1609">
        <v>0.351217785</v>
      </c>
      <c r="P1609">
        <v>0.36186818999999998</v>
      </c>
      <c r="Q1609">
        <v>0.35657664</v>
      </c>
      <c r="R1609">
        <v>0.36307803</v>
      </c>
      <c r="S1609">
        <v>0.38107745999999998</v>
      </c>
      <c r="T1609">
        <v>0.38246445000000001</v>
      </c>
      <c r="U1609">
        <v>0.37867102499999999</v>
      </c>
      <c r="V1609">
        <v>0.37467089999999997</v>
      </c>
      <c r="W1609">
        <v>0.39434542500000003</v>
      </c>
      <c r="X1609">
        <v>0.39271497</v>
      </c>
      <c r="Y1609">
        <v>0.39186025499999999</v>
      </c>
      <c r="Z1609">
        <v>0.35505637499999998</v>
      </c>
      <c r="AA1609">
        <v>0.33445248</v>
      </c>
      <c r="AB1609">
        <v>0.31313148000000002</v>
      </c>
    </row>
    <row r="1610" spans="1:28" hidden="1" x14ac:dyDescent="0.25">
      <c r="A1610" t="s">
        <v>232</v>
      </c>
      <c r="B1610" t="s">
        <v>239</v>
      </c>
      <c r="C1610">
        <v>115</v>
      </c>
      <c r="D1610" t="s">
        <v>2</v>
      </c>
      <c r="E1610">
        <v>25.061829769999999</v>
      </c>
      <c r="F1610">
        <v>22.768437525</v>
      </c>
      <c r="G1610">
        <v>21.2362848</v>
      </c>
      <c r="H1610">
        <v>21.133877304999999</v>
      </c>
      <c r="I1610">
        <v>25.673051820000001</v>
      </c>
      <c r="J1610">
        <v>35.024250774999999</v>
      </c>
      <c r="K1610">
        <v>36.258483355000003</v>
      </c>
      <c r="L1610">
        <v>35.287685085</v>
      </c>
      <c r="M1610">
        <v>35.827217849999997</v>
      </c>
      <c r="N1610">
        <v>36.604762074999996</v>
      </c>
      <c r="O1610">
        <v>37.754004915000003</v>
      </c>
      <c r="P1610">
        <v>38.701797525000003</v>
      </c>
      <c r="Q1610">
        <v>38.531907680000003</v>
      </c>
      <c r="R1610">
        <v>38.046410045000002</v>
      </c>
      <c r="S1610">
        <v>37.393573715000002</v>
      </c>
      <c r="T1610">
        <v>37.019841075000002</v>
      </c>
      <c r="U1610">
        <v>36.690784094999998</v>
      </c>
      <c r="V1610">
        <v>37.861173899999997</v>
      </c>
      <c r="W1610">
        <v>43.158915630000003</v>
      </c>
      <c r="X1610">
        <v>44.774764789999999</v>
      </c>
      <c r="Y1610">
        <v>45.584593374999997</v>
      </c>
      <c r="Z1610">
        <v>40.291625940000003</v>
      </c>
      <c r="AA1610">
        <v>34.369811849999998</v>
      </c>
      <c r="AB1610">
        <v>28.748696590000002</v>
      </c>
    </row>
    <row r="1611" spans="1:28" hidden="1" x14ac:dyDescent="0.25">
      <c r="A1611" t="s">
        <v>232</v>
      </c>
      <c r="B1611" t="s">
        <v>239</v>
      </c>
      <c r="C1611">
        <v>115</v>
      </c>
      <c r="D1611" t="s">
        <v>3</v>
      </c>
      <c r="E1611">
        <v>7.8068892321999996</v>
      </c>
      <c r="F1611">
        <v>7.4114692523999999</v>
      </c>
      <c r="G1611">
        <v>7.0453748571999997</v>
      </c>
      <c r="H1611">
        <v>6.8354981412000004</v>
      </c>
      <c r="I1611">
        <v>6.9495725747000003</v>
      </c>
      <c r="J1611">
        <v>7.8384113803000002</v>
      </c>
      <c r="K1611">
        <v>9.0427583546000001</v>
      </c>
      <c r="L1611">
        <v>9.6991583227000007</v>
      </c>
      <c r="M1611">
        <v>10.3841939295</v>
      </c>
      <c r="N1611">
        <v>10.926657030399999</v>
      </c>
      <c r="O1611">
        <v>11.375712631400001</v>
      </c>
      <c r="P1611">
        <v>11.7633880978</v>
      </c>
      <c r="Q1611">
        <v>11.8787618495</v>
      </c>
      <c r="R1611">
        <v>11.6965308873</v>
      </c>
      <c r="S1611">
        <v>11.6400126146</v>
      </c>
      <c r="T1611">
        <v>11.5223098216</v>
      </c>
      <c r="U1611">
        <v>11.1383535796</v>
      </c>
      <c r="V1611">
        <v>11.048710162600001</v>
      </c>
      <c r="W1611">
        <v>10.691515753899999</v>
      </c>
      <c r="X1611">
        <v>10.690490043600001</v>
      </c>
      <c r="Y1611">
        <v>10.9211388109</v>
      </c>
      <c r="Z1611">
        <v>9.8722398680999994</v>
      </c>
      <c r="AA1611">
        <v>8.7438080487000001</v>
      </c>
      <c r="AB1611">
        <v>8.0546950772999999</v>
      </c>
    </row>
    <row r="1612" spans="1:28" hidden="1" x14ac:dyDescent="0.25">
      <c r="A1612" t="s">
        <v>232</v>
      </c>
      <c r="B1612" t="s">
        <v>239</v>
      </c>
      <c r="C1612">
        <v>115</v>
      </c>
      <c r="D1612" t="s">
        <v>4</v>
      </c>
      <c r="E1612">
        <v>0.38165222999999998</v>
      </c>
      <c r="F1612">
        <v>0.34672747500000001</v>
      </c>
      <c r="G1612">
        <v>0.32339519999999999</v>
      </c>
      <c r="H1612">
        <v>0.32183569499999998</v>
      </c>
      <c r="I1612">
        <v>0.39096017999999999</v>
      </c>
      <c r="J1612">
        <v>0.53336422500000003</v>
      </c>
      <c r="K1612">
        <v>0.55215964500000003</v>
      </c>
      <c r="L1612">
        <v>0.53737591500000004</v>
      </c>
      <c r="M1612">
        <v>0.54559215000000005</v>
      </c>
      <c r="N1612">
        <v>0.55743292499999997</v>
      </c>
      <c r="O1612">
        <v>0.57493408499999998</v>
      </c>
      <c r="P1612">
        <v>0.58936747499999997</v>
      </c>
      <c r="Q1612">
        <v>0.58678032000000002</v>
      </c>
      <c r="R1612">
        <v>0.57938695500000004</v>
      </c>
      <c r="S1612">
        <v>0.56944528500000002</v>
      </c>
      <c r="T1612">
        <v>0.56375392499999999</v>
      </c>
      <c r="U1612">
        <v>0.55874290500000001</v>
      </c>
      <c r="V1612">
        <v>0.57656609999999997</v>
      </c>
      <c r="W1612">
        <v>0.65724236999999996</v>
      </c>
      <c r="X1612">
        <v>0.68184920999999998</v>
      </c>
      <c r="Y1612">
        <v>0.69418162500000002</v>
      </c>
      <c r="Z1612">
        <v>0.61357806000000004</v>
      </c>
      <c r="AA1612">
        <v>0.52339815000000001</v>
      </c>
      <c r="AB1612">
        <v>0.43779741</v>
      </c>
    </row>
    <row r="1613" spans="1:28" hidden="1" x14ac:dyDescent="0.25">
      <c r="A1613" t="s">
        <v>232</v>
      </c>
      <c r="B1613" t="s">
        <v>240</v>
      </c>
      <c r="C1613">
        <v>115</v>
      </c>
      <c r="D1613" t="s">
        <v>2</v>
      </c>
      <c r="E1613">
        <v>40.449882934999998</v>
      </c>
      <c r="F1613">
        <v>37.779804034999998</v>
      </c>
      <c r="G1613">
        <v>36.646562520000003</v>
      </c>
      <c r="H1613">
        <v>37.351288650000001</v>
      </c>
      <c r="I1613">
        <v>44.758642309999999</v>
      </c>
      <c r="J1613">
        <v>54.637830815000001</v>
      </c>
      <c r="K1613">
        <v>54.745719835000003</v>
      </c>
      <c r="L1613">
        <v>56.653815539999997</v>
      </c>
      <c r="M1613">
        <v>59.265584410000002</v>
      </c>
      <c r="N1613">
        <v>61.0509008501</v>
      </c>
      <c r="O1613">
        <v>63.64499094</v>
      </c>
      <c r="P1613">
        <v>65.285305530000002</v>
      </c>
      <c r="Q1613">
        <v>64.638509220100005</v>
      </c>
      <c r="R1613">
        <v>63.31554981</v>
      </c>
      <c r="S1613">
        <v>63.338791870000001</v>
      </c>
      <c r="T1613">
        <v>63.1143675</v>
      </c>
      <c r="U1613">
        <v>62.431962454999997</v>
      </c>
      <c r="V1613">
        <v>63.314421000000003</v>
      </c>
      <c r="W1613">
        <v>69.527547854999995</v>
      </c>
      <c r="X1613">
        <v>70.990975160000005</v>
      </c>
      <c r="Y1613">
        <v>71.406175314999999</v>
      </c>
      <c r="Z1613">
        <v>62.115438615000002</v>
      </c>
      <c r="AA1613">
        <v>52.832210570000001</v>
      </c>
      <c r="AB1613">
        <v>45.586989879999997</v>
      </c>
    </row>
    <row r="1614" spans="1:28" hidden="1" x14ac:dyDescent="0.25">
      <c r="A1614" t="s">
        <v>232</v>
      </c>
      <c r="B1614" t="s">
        <v>240</v>
      </c>
      <c r="C1614">
        <v>115</v>
      </c>
      <c r="D1614" t="s">
        <v>3</v>
      </c>
      <c r="E1614">
        <v>12.353869469599999</v>
      </c>
      <c r="F1614">
        <v>11.864473326900001</v>
      </c>
      <c r="G1614">
        <v>11.603706521399999</v>
      </c>
      <c r="H1614">
        <v>11.5771469366</v>
      </c>
      <c r="I1614">
        <v>12.400121137299999</v>
      </c>
      <c r="J1614">
        <v>13.3190526475</v>
      </c>
      <c r="K1614">
        <v>14.982847528600001</v>
      </c>
      <c r="L1614">
        <v>17.2730347466</v>
      </c>
      <c r="M1614">
        <v>19.2473340395</v>
      </c>
      <c r="N1614">
        <v>20.124894207400001</v>
      </c>
      <c r="O1614">
        <v>21.1978393383</v>
      </c>
      <c r="P1614">
        <v>22.1863106106</v>
      </c>
      <c r="Q1614">
        <v>21.7777096869</v>
      </c>
      <c r="R1614">
        <v>21.234671063699999</v>
      </c>
      <c r="S1614">
        <v>21.6584749005</v>
      </c>
      <c r="T1614">
        <v>21.904718625099999</v>
      </c>
      <c r="U1614">
        <v>21.3699320869</v>
      </c>
      <c r="V1614">
        <v>20.573578738599998</v>
      </c>
      <c r="W1614">
        <v>19.637879660100001</v>
      </c>
      <c r="X1614">
        <v>19.108783234299999</v>
      </c>
      <c r="Y1614">
        <v>19.028267135099998</v>
      </c>
      <c r="Z1614">
        <v>16.255808085799998</v>
      </c>
      <c r="AA1614">
        <v>14.1576224255</v>
      </c>
      <c r="AB1614">
        <v>13.048878918</v>
      </c>
    </row>
    <row r="1615" spans="1:28" hidden="1" x14ac:dyDescent="0.25">
      <c r="A1615" t="s">
        <v>232</v>
      </c>
      <c r="B1615" t="s">
        <v>240</v>
      </c>
      <c r="C1615">
        <v>115</v>
      </c>
      <c r="D1615" t="s">
        <v>4</v>
      </c>
      <c r="E1615">
        <v>0.61598806500000003</v>
      </c>
      <c r="F1615">
        <v>0.57532696500000002</v>
      </c>
      <c r="G1615">
        <v>0.55806948000000001</v>
      </c>
      <c r="H1615">
        <v>0.56880134999999998</v>
      </c>
      <c r="I1615">
        <v>0.68160368999999998</v>
      </c>
      <c r="J1615">
        <v>0.832048185</v>
      </c>
      <c r="K1615">
        <v>0.83369116499999996</v>
      </c>
      <c r="L1615">
        <v>0.86274846000000005</v>
      </c>
      <c r="M1615">
        <v>0.90252158999999998</v>
      </c>
      <c r="N1615">
        <v>0.92970914989999998</v>
      </c>
      <c r="O1615">
        <v>0.96921305999999996</v>
      </c>
      <c r="P1615">
        <v>0.99419246999999999</v>
      </c>
      <c r="Q1615">
        <v>0.98434277989999996</v>
      </c>
      <c r="R1615">
        <v>0.96419619000000001</v>
      </c>
      <c r="S1615">
        <v>0.96455013000000001</v>
      </c>
      <c r="T1615">
        <v>0.96113249999999995</v>
      </c>
      <c r="U1615">
        <v>0.95074054500000005</v>
      </c>
      <c r="V1615">
        <v>0.96417900000000001</v>
      </c>
      <c r="W1615">
        <v>1.0587951449999999</v>
      </c>
      <c r="X1615">
        <v>1.08108084</v>
      </c>
      <c r="Y1615">
        <v>1.087403685</v>
      </c>
      <c r="Z1615">
        <v>0.94592038499999997</v>
      </c>
      <c r="AA1615">
        <v>0.80455142999999996</v>
      </c>
      <c r="AB1615">
        <v>0.69421812000000005</v>
      </c>
    </row>
    <row r="1616" spans="1:28" hidden="1" x14ac:dyDescent="0.25">
      <c r="A1616" t="s">
        <v>232</v>
      </c>
      <c r="B1616" t="s">
        <v>241</v>
      </c>
      <c r="C1616">
        <v>115</v>
      </c>
      <c r="D1616" t="s">
        <v>2</v>
      </c>
      <c r="E1616">
        <v>13.07834538</v>
      </c>
      <c r="F1616">
        <v>12.037823885</v>
      </c>
      <c r="G1616">
        <v>11.6659854</v>
      </c>
      <c r="H1616">
        <v>11.550231155000001</v>
      </c>
      <c r="I1616">
        <v>13.37044122</v>
      </c>
      <c r="J1616">
        <v>17.875027459999998</v>
      </c>
      <c r="K1616">
        <v>19.386814325</v>
      </c>
      <c r="L1616">
        <v>21.62284017</v>
      </c>
      <c r="M1616">
        <v>23.480221180000001</v>
      </c>
      <c r="N1616">
        <v>24.639473590000001</v>
      </c>
      <c r="O1616">
        <v>25.250338084999999</v>
      </c>
      <c r="P1616">
        <v>25.996776010000001</v>
      </c>
      <c r="Q1616">
        <v>25.65803451</v>
      </c>
      <c r="R1616">
        <v>24.8300573</v>
      </c>
      <c r="S1616">
        <v>25.155676629999999</v>
      </c>
      <c r="T1616">
        <v>24.984584099999999</v>
      </c>
      <c r="U1616">
        <v>24.311113004999999</v>
      </c>
      <c r="V1616">
        <v>23.838516899999998</v>
      </c>
      <c r="W1616">
        <v>24.858634120000001</v>
      </c>
      <c r="X1616">
        <v>24.166661770000001</v>
      </c>
      <c r="Y1616">
        <v>23.720085425000001</v>
      </c>
      <c r="Z1616">
        <v>20.410760239999998</v>
      </c>
      <c r="AA1616">
        <v>17.622403524999999</v>
      </c>
      <c r="AB1616">
        <v>14.992341235</v>
      </c>
    </row>
    <row r="1617" spans="1:28" hidden="1" x14ac:dyDescent="0.25">
      <c r="A1617" t="s">
        <v>232</v>
      </c>
      <c r="B1617" t="s">
        <v>241</v>
      </c>
      <c r="C1617">
        <v>115</v>
      </c>
      <c r="D1617" t="s">
        <v>3</v>
      </c>
      <c r="E1617">
        <v>2.6474484979000001</v>
      </c>
      <c r="F1617">
        <v>2.5470521945</v>
      </c>
      <c r="G1617">
        <v>2.4883247415</v>
      </c>
      <c r="H1617">
        <v>2.4659492771</v>
      </c>
      <c r="I1617">
        <v>2.6103586133999999</v>
      </c>
      <c r="J1617">
        <v>2.8762799723999999</v>
      </c>
      <c r="K1617">
        <v>3.6515664531000001</v>
      </c>
      <c r="L1617">
        <v>4.6660079783999997</v>
      </c>
      <c r="M1617">
        <v>5.5395815695000001</v>
      </c>
      <c r="N1617">
        <v>6.1666114722999996</v>
      </c>
      <c r="O1617">
        <v>6.4074065475999999</v>
      </c>
      <c r="P1617">
        <v>6.8853282760000001</v>
      </c>
      <c r="Q1617">
        <v>6.5683922353000002</v>
      </c>
      <c r="R1617">
        <v>6.2045223601000004</v>
      </c>
      <c r="S1617">
        <v>6.6267331138000003</v>
      </c>
      <c r="T1617">
        <v>6.5879532266999998</v>
      </c>
      <c r="U1617">
        <v>6.3314551198000002</v>
      </c>
      <c r="V1617">
        <v>5.6416252378999996</v>
      </c>
      <c r="W1617">
        <v>4.7772906296000004</v>
      </c>
      <c r="X1617">
        <v>4.2609117792999998</v>
      </c>
      <c r="Y1617">
        <v>4.0550510739999996</v>
      </c>
      <c r="Z1617">
        <v>3.4680551436</v>
      </c>
      <c r="AA1617">
        <v>3.0607110338000001</v>
      </c>
      <c r="AB1617">
        <v>2.8355737773</v>
      </c>
    </row>
    <row r="1618" spans="1:28" hidden="1" x14ac:dyDescent="0.25">
      <c r="A1618" t="s">
        <v>232</v>
      </c>
      <c r="B1618" t="s">
        <v>241</v>
      </c>
      <c r="C1618">
        <v>115</v>
      </c>
      <c r="D1618" t="s">
        <v>4</v>
      </c>
      <c r="E1618">
        <v>0.19916262000000001</v>
      </c>
      <c r="F1618">
        <v>0.183317115</v>
      </c>
      <c r="G1618">
        <v>0.1776546</v>
      </c>
      <c r="H1618">
        <v>0.17589184499999999</v>
      </c>
      <c r="I1618">
        <v>0.20361077999999999</v>
      </c>
      <c r="J1618">
        <v>0.27220854</v>
      </c>
      <c r="K1618">
        <v>0.295230675</v>
      </c>
      <c r="L1618">
        <v>0.32928183</v>
      </c>
      <c r="M1618">
        <v>0.35756682000000001</v>
      </c>
      <c r="N1618">
        <v>0.37522041</v>
      </c>
      <c r="O1618">
        <v>0.38452291500000002</v>
      </c>
      <c r="P1618">
        <v>0.39588999000000002</v>
      </c>
      <c r="Q1618">
        <v>0.39073149000000001</v>
      </c>
      <c r="R1618">
        <v>0.37812269999999998</v>
      </c>
      <c r="S1618">
        <v>0.38308136999999998</v>
      </c>
      <c r="T1618">
        <v>0.38047589999999998</v>
      </c>
      <c r="U1618">
        <v>0.37021999500000002</v>
      </c>
      <c r="V1618">
        <v>0.36302309999999999</v>
      </c>
      <c r="W1618">
        <v>0.37855788000000001</v>
      </c>
      <c r="X1618">
        <v>0.36802023</v>
      </c>
      <c r="Y1618">
        <v>0.36121957500000001</v>
      </c>
      <c r="Z1618">
        <v>0.31082376</v>
      </c>
      <c r="AA1618">
        <v>0.26836147500000002</v>
      </c>
      <c r="AB1618">
        <v>0.228309765</v>
      </c>
    </row>
    <row r="1619" spans="1:28" hidden="1" x14ac:dyDescent="0.25">
      <c r="A1619" t="s">
        <v>232</v>
      </c>
      <c r="B1619" t="s">
        <v>242</v>
      </c>
      <c r="C1619">
        <v>115</v>
      </c>
      <c r="D1619" t="s">
        <v>2</v>
      </c>
      <c r="E1619">
        <v>18.012721594999999</v>
      </c>
      <c r="F1619">
        <v>16.792619824999999</v>
      </c>
      <c r="G1619">
        <v>16.3463508</v>
      </c>
      <c r="H1619">
        <v>16.162014944999999</v>
      </c>
      <c r="I1619">
        <v>17.235686614999999</v>
      </c>
      <c r="J1619">
        <v>20.018680005</v>
      </c>
      <c r="K1619">
        <v>25.959237659999999</v>
      </c>
      <c r="L1619">
        <v>29.383366564999999</v>
      </c>
      <c r="M1619">
        <v>30.595439599999999</v>
      </c>
      <c r="N1619">
        <v>31.08397399</v>
      </c>
      <c r="O1619">
        <v>31.524263080000001</v>
      </c>
      <c r="P1619">
        <v>32.089770295000001</v>
      </c>
      <c r="Q1619">
        <v>32.364111510000001</v>
      </c>
      <c r="R1619">
        <v>31.569958215</v>
      </c>
      <c r="S1619">
        <v>30.8579224</v>
      </c>
      <c r="T1619">
        <v>29.903152049999999</v>
      </c>
      <c r="U1619">
        <v>28.942817434999998</v>
      </c>
      <c r="V1619">
        <v>29.043897149999999</v>
      </c>
      <c r="W1619">
        <v>31.73250784</v>
      </c>
      <c r="X1619">
        <v>31.148642195000001</v>
      </c>
      <c r="Y1619">
        <v>30.51641502</v>
      </c>
      <c r="Z1619">
        <v>26.259228275000002</v>
      </c>
      <c r="AA1619">
        <v>22.784875204999999</v>
      </c>
      <c r="AB1619">
        <v>20.064696250000001</v>
      </c>
    </row>
    <row r="1620" spans="1:28" hidden="1" x14ac:dyDescent="0.25">
      <c r="A1620" t="s">
        <v>232</v>
      </c>
      <c r="B1620" t="s">
        <v>242</v>
      </c>
      <c r="C1620">
        <v>115</v>
      </c>
      <c r="D1620" t="s">
        <v>3</v>
      </c>
      <c r="E1620">
        <v>3.9464628659000001</v>
      </c>
      <c r="F1620">
        <v>3.7871520444</v>
      </c>
      <c r="G1620">
        <v>3.7315592276</v>
      </c>
      <c r="H1620">
        <v>3.7252418837999999</v>
      </c>
      <c r="I1620">
        <v>3.7812811153000001</v>
      </c>
      <c r="J1620">
        <v>3.9245561679000001</v>
      </c>
      <c r="K1620">
        <v>5.1073575156000004</v>
      </c>
      <c r="L1620">
        <v>6.0612090734999997</v>
      </c>
      <c r="M1620">
        <v>6.6097979995999996</v>
      </c>
      <c r="N1620">
        <v>7.0413282235999999</v>
      </c>
      <c r="O1620">
        <v>7.3368007517000002</v>
      </c>
      <c r="P1620">
        <v>7.5693182502000003</v>
      </c>
      <c r="Q1620">
        <v>7.6844864790000003</v>
      </c>
      <c r="R1620">
        <v>7.6334544602000003</v>
      </c>
      <c r="S1620">
        <v>7.4904248788999999</v>
      </c>
      <c r="T1620">
        <v>7.1845181959</v>
      </c>
      <c r="U1620">
        <v>6.8734629526999997</v>
      </c>
      <c r="V1620">
        <v>6.7959185443000001</v>
      </c>
      <c r="W1620">
        <v>6.7397828718000001</v>
      </c>
      <c r="X1620">
        <v>6.3184794521000001</v>
      </c>
      <c r="Y1620">
        <v>6.1163262566999999</v>
      </c>
      <c r="Z1620">
        <v>5.1578959761999998</v>
      </c>
      <c r="AA1620">
        <v>4.4877186036000003</v>
      </c>
      <c r="AB1620">
        <v>4.2474627552999999</v>
      </c>
    </row>
    <row r="1621" spans="1:28" hidden="1" x14ac:dyDescent="0.25">
      <c r="A1621" t="s">
        <v>232</v>
      </c>
      <c r="B1621" t="s">
        <v>242</v>
      </c>
      <c r="C1621">
        <v>115</v>
      </c>
      <c r="D1621" t="s">
        <v>4</v>
      </c>
      <c r="E1621">
        <v>0.274305405</v>
      </c>
      <c r="F1621">
        <v>0.25572517500000003</v>
      </c>
      <c r="G1621">
        <v>0.24892919999999999</v>
      </c>
      <c r="H1621">
        <v>0.24612205500000001</v>
      </c>
      <c r="I1621">
        <v>0.26247238499999997</v>
      </c>
      <c r="J1621">
        <v>0.30485299500000002</v>
      </c>
      <c r="K1621">
        <v>0.39531833999999999</v>
      </c>
      <c r="L1621">
        <v>0.44746243499999999</v>
      </c>
      <c r="M1621">
        <v>0.46592040000000001</v>
      </c>
      <c r="N1621">
        <v>0.47336001</v>
      </c>
      <c r="O1621">
        <v>0.48006492000000001</v>
      </c>
      <c r="P1621">
        <v>0.48867670499999999</v>
      </c>
      <c r="Q1621">
        <v>0.49285448999999998</v>
      </c>
      <c r="R1621">
        <v>0.48076078500000002</v>
      </c>
      <c r="S1621">
        <v>0.46991759999999999</v>
      </c>
      <c r="T1621">
        <v>0.45537794999999998</v>
      </c>
      <c r="U1621">
        <v>0.44075356500000001</v>
      </c>
      <c r="V1621">
        <v>0.44229285000000002</v>
      </c>
      <c r="W1621">
        <v>0.48323616000000003</v>
      </c>
      <c r="X1621">
        <v>0.47434480499999998</v>
      </c>
      <c r="Y1621">
        <v>0.46471698</v>
      </c>
      <c r="Z1621">
        <v>0.399886725</v>
      </c>
      <c r="AA1621">
        <v>0.34697779499999998</v>
      </c>
      <c r="AB1621">
        <v>0.30555375000000001</v>
      </c>
    </row>
    <row r="1622" spans="1:28" hidden="1" x14ac:dyDescent="0.25">
      <c r="A1622" t="s">
        <v>232</v>
      </c>
      <c r="B1622" t="s">
        <v>243</v>
      </c>
      <c r="C1622">
        <v>115</v>
      </c>
      <c r="D1622" t="s">
        <v>2</v>
      </c>
      <c r="E1622">
        <v>28.121442680000001</v>
      </c>
      <c r="F1622">
        <v>27.106650370000001</v>
      </c>
      <c r="G1622">
        <v>26.699039639999999</v>
      </c>
      <c r="H1622">
        <v>26.548913819999999</v>
      </c>
      <c r="I1622">
        <v>27.688394325000001</v>
      </c>
      <c r="J1622">
        <v>29.87610789</v>
      </c>
      <c r="K1622">
        <v>37.653745704999999</v>
      </c>
      <c r="L1622">
        <v>45.654800235000003</v>
      </c>
      <c r="M1622">
        <v>52.255001555</v>
      </c>
      <c r="N1622">
        <v>55.70196473</v>
      </c>
      <c r="O1622">
        <v>58.166351990000003</v>
      </c>
      <c r="P1622">
        <v>59.621077804999999</v>
      </c>
      <c r="Q1622">
        <v>60.444407785000003</v>
      </c>
      <c r="R1622">
        <v>58.836918320000002</v>
      </c>
      <c r="S1622">
        <v>58.535745704999997</v>
      </c>
      <c r="T1622">
        <v>57.434074424999999</v>
      </c>
      <c r="U1622">
        <v>55.260290730000001</v>
      </c>
      <c r="V1622">
        <v>53.116124999999997</v>
      </c>
      <c r="W1622">
        <v>52.556966109999998</v>
      </c>
      <c r="X1622">
        <v>48.82881794</v>
      </c>
      <c r="Y1622">
        <v>45.808156855</v>
      </c>
      <c r="Z1622">
        <v>39.015953424999999</v>
      </c>
      <c r="AA1622">
        <v>33.914813754999997</v>
      </c>
      <c r="AB1622">
        <v>30.418079514999999</v>
      </c>
    </row>
    <row r="1623" spans="1:28" hidden="1" x14ac:dyDescent="0.25">
      <c r="A1623" t="s">
        <v>232</v>
      </c>
      <c r="B1623" t="s">
        <v>243</v>
      </c>
      <c r="C1623">
        <v>115</v>
      </c>
      <c r="D1623" t="s">
        <v>3</v>
      </c>
      <c r="E1623">
        <v>5.2047994400000004</v>
      </c>
      <c r="F1623">
        <v>5.0446387283999998</v>
      </c>
      <c r="G1623">
        <v>4.9717994670000003</v>
      </c>
      <c r="H1623">
        <v>4.9273135227999996</v>
      </c>
      <c r="I1623">
        <v>4.9634320299999999</v>
      </c>
      <c r="J1623">
        <v>5.0154517045000002</v>
      </c>
      <c r="K1623">
        <v>6.9669256012999998</v>
      </c>
      <c r="L1623">
        <v>8.9970950913000003</v>
      </c>
      <c r="M1623">
        <v>11.0380267643</v>
      </c>
      <c r="N1623">
        <v>12.2936432653</v>
      </c>
      <c r="O1623">
        <v>13.3906023685</v>
      </c>
      <c r="P1623">
        <v>14.1481587696</v>
      </c>
      <c r="Q1623">
        <v>14.5250838987</v>
      </c>
      <c r="R1623">
        <v>14.080096367499999</v>
      </c>
      <c r="S1623">
        <v>14.0929009012</v>
      </c>
      <c r="T1623">
        <v>13.728723459599999</v>
      </c>
      <c r="U1623">
        <v>12.9071945082</v>
      </c>
      <c r="V1623">
        <v>12.0094165335</v>
      </c>
      <c r="W1623">
        <v>10.8550184184</v>
      </c>
      <c r="X1623">
        <v>9.6905898697000001</v>
      </c>
      <c r="Y1623">
        <v>9.1593658368999993</v>
      </c>
      <c r="Z1623">
        <v>7.3966537203999998</v>
      </c>
      <c r="AA1623">
        <v>6.2789811131000004</v>
      </c>
      <c r="AB1623">
        <v>5.6815141235000004</v>
      </c>
    </row>
    <row r="1624" spans="1:28" hidden="1" x14ac:dyDescent="0.25">
      <c r="A1624" t="s">
        <v>232</v>
      </c>
      <c r="B1624" t="s">
        <v>243</v>
      </c>
      <c r="C1624">
        <v>115</v>
      </c>
      <c r="D1624" t="s">
        <v>4</v>
      </c>
      <c r="E1624">
        <v>0.42824531999999998</v>
      </c>
      <c r="F1624">
        <v>0.41279163000000002</v>
      </c>
      <c r="G1624">
        <v>0.40658435999999998</v>
      </c>
      <c r="H1624">
        <v>0.40429818000000001</v>
      </c>
      <c r="I1624">
        <v>0.42165067499999997</v>
      </c>
      <c r="J1624">
        <v>0.45496610999999998</v>
      </c>
      <c r="K1624">
        <v>0.57340729499999998</v>
      </c>
      <c r="L1624">
        <v>0.69525076500000005</v>
      </c>
      <c r="M1624">
        <v>0.79576144500000001</v>
      </c>
      <c r="N1624">
        <v>0.84825326999999995</v>
      </c>
      <c r="O1624">
        <v>0.88578201000000001</v>
      </c>
      <c r="P1624">
        <v>0.90793519499999997</v>
      </c>
      <c r="Q1624">
        <v>0.92047321500000001</v>
      </c>
      <c r="R1624">
        <v>0.89599368000000001</v>
      </c>
      <c r="S1624">
        <v>0.89140729500000004</v>
      </c>
      <c r="T1624">
        <v>0.87463057499999997</v>
      </c>
      <c r="U1624">
        <v>0.84152727000000005</v>
      </c>
      <c r="V1624">
        <v>0.80887500000000001</v>
      </c>
      <c r="W1624">
        <v>0.80035988999999996</v>
      </c>
      <c r="X1624">
        <v>0.74358606000000005</v>
      </c>
      <c r="Y1624">
        <v>0.69758614500000005</v>
      </c>
      <c r="Z1624">
        <v>0.59415157500000004</v>
      </c>
      <c r="AA1624">
        <v>0.51646924500000002</v>
      </c>
      <c r="AB1624">
        <v>0.46321948499999999</v>
      </c>
    </row>
    <row r="1625" spans="1:28" hidden="1" x14ac:dyDescent="0.25">
      <c r="A1625" t="s">
        <v>232</v>
      </c>
      <c r="B1625" t="s">
        <v>244</v>
      </c>
      <c r="C1625">
        <v>115</v>
      </c>
      <c r="D1625" t="s">
        <v>2</v>
      </c>
      <c r="E1625">
        <v>8.0389829400000004</v>
      </c>
      <c r="F1625">
        <v>7.7283405350000001</v>
      </c>
      <c r="G1625">
        <v>7.7819806800000002</v>
      </c>
      <c r="H1625">
        <v>7.7417020599999997</v>
      </c>
      <c r="I1625">
        <v>7.8508105099999996</v>
      </c>
      <c r="J1625">
        <v>8.6758868949999997</v>
      </c>
      <c r="K1625">
        <v>10.29924471</v>
      </c>
      <c r="L1625">
        <v>10.801546445</v>
      </c>
      <c r="M1625">
        <v>11.342495639999999</v>
      </c>
      <c r="N1625">
        <v>11.70750906</v>
      </c>
      <c r="O1625">
        <v>11.90720205</v>
      </c>
      <c r="P1625">
        <v>12.29882229</v>
      </c>
      <c r="Q1625">
        <v>12.268307975000001</v>
      </c>
      <c r="R1625">
        <v>12.16255739</v>
      </c>
      <c r="S1625">
        <v>12.01857994</v>
      </c>
      <c r="T1625">
        <v>11.88291195</v>
      </c>
      <c r="U1625">
        <v>11.675310395</v>
      </c>
      <c r="V1625">
        <v>11.8555191</v>
      </c>
      <c r="W1625">
        <v>12.440585459999999</v>
      </c>
      <c r="X1625">
        <v>12.229727495000001</v>
      </c>
      <c r="Y1625">
        <v>12.027714830000001</v>
      </c>
      <c r="Z1625">
        <v>10.26425751</v>
      </c>
      <c r="AA1625">
        <v>9.2224496049999996</v>
      </c>
      <c r="AB1625">
        <v>8.50743121</v>
      </c>
    </row>
    <row r="1626" spans="1:28" hidden="1" x14ac:dyDescent="0.25">
      <c r="A1626" t="s">
        <v>232</v>
      </c>
      <c r="B1626" t="s">
        <v>244</v>
      </c>
      <c r="C1626">
        <v>115</v>
      </c>
      <c r="D1626" t="s">
        <v>3</v>
      </c>
      <c r="E1626">
        <v>2.0298252091000002</v>
      </c>
      <c r="F1626">
        <v>2.0423488890999999</v>
      </c>
      <c r="G1626">
        <v>2.0157926745000001</v>
      </c>
      <c r="H1626">
        <v>1.9871724294999999</v>
      </c>
      <c r="I1626">
        <v>2.0138321692000001</v>
      </c>
      <c r="J1626">
        <v>2.0344660065000002</v>
      </c>
      <c r="K1626">
        <v>2.4656186653000001</v>
      </c>
      <c r="L1626">
        <v>3.1332529994999998</v>
      </c>
      <c r="M1626">
        <v>3.8691210216999998</v>
      </c>
      <c r="N1626">
        <v>4.2134307138000002</v>
      </c>
      <c r="O1626">
        <v>4.2745659685000001</v>
      </c>
      <c r="P1626">
        <v>4.4389446903999996</v>
      </c>
      <c r="Q1626">
        <v>4.5397499915999999</v>
      </c>
      <c r="R1626">
        <v>4.1949446684999998</v>
      </c>
      <c r="S1626">
        <v>4.283960371</v>
      </c>
      <c r="T1626">
        <v>4.3514389200999997</v>
      </c>
      <c r="U1626">
        <v>4.2596102247000003</v>
      </c>
      <c r="V1626">
        <v>4.0947385025000003</v>
      </c>
      <c r="W1626">
        <v>3.4032283266999999</v>
      </c>
      <c r="X1626">
        <v>3.0479099876000002</v>
      </c>
      <c r="Y1626">
        <v>3.0359255241000001</v>
      </c>
      <c r="Z1626">
        <v>2.6086046286000002</v>
      </c>
      <c r="AA1626">
        <v>2.3613201893000002</v>
      </c>
      <c r="AB1626">
        <v>2.1518012819000001</v>
      </c>
    </row>
    <row r="1627" spans="1:28" hidden="1" x14ac:dyDescent="0.25">
      <c r="A1627" t="s">
        <v>232</v>
      </c>
      <c r="B1627" t="s">
        <v>244</v>
      </c>
      <c r="C1627">
        <v>115</v>
      </c>
      <c r="D1627" t="s">
        <v>4</v>
      </c>
      <c r="E1627">
        <v>0.12242106</v>
      </c>
      <c r="F1627">
        <v>0.11769046499999999</v>
      </c>
      <c r="G1627">
        <v>0.11850732</v>
      </c>
      <c r="H1627">
        <v>0.11789394</v>
      </c>
      <c r="I1627">
        <v>0.11955549</v>
      </c>
      <c r="J1627">
        <v>0.13212010499999999</v>
      </c>
      <c r="K1627">
        <v>0.15684128999999999</v>
      </c>
      <c r="L1627">
        <v>0.16449055500000001</v>
      </c>
      <c r="M1627">
        <v>0.17272836</v>
      </c>
      <c r="N1627">
        <v>0.17828694</v>
      </c>
      <c r="O1627">
        <v>0.18132794999999999</v>
      </c>
      <c r="P1627">
        <v>0.18729171</v>
      </c>
      <c r="Q1627">
        <v>0.18682702500000001</v>
      </c>
      <c r="R1627">
        <v>0.18521661</v>
      </c>
      <c r="S1627">
        <v>0.18302405999999999</v>
      </c>
      <c r="T1627">
        <v>0.18095805000000001</v>
      </c>
      <c r="U1627">
        <v>0.177796605</v>
      </c>
      <c r="V1627">
        <v>0.1805409</v>
      </c>
      <c r="W1627">
        <v>0.18945054</v>
      </c>
      <c r="X1627">
        <v>0.186239505</v>
      </c>
      <c r="Y1627">
        <v>0.18316316999999999</v>
      </c>
      <c r="Z1627">
        <v>0.15630848999999999</v>
      </c>
      <c r="AA1627">
        <v>0.140443395</v>
      </c>
      <c r="AB1627">
        <v>0.12955479</v>
      </c>
    </row>
    <row r="1628" spans="1:28" hidden="1" x14ac:dyDescent="0.25">
      <c r="A1628" t="s">
        <v>232</v>
      </c>
      <c r="B1628" t="s">
        <v>245</v>
      </c>
      <c r="C1628">
        <v>115</v>
      </c>
      <c r="D1628" t="s">
        <v>2</v>
      </c>
      <c r="E1628">
        <v>9.9587400600000002</v>
      </c>
      <c r="F1628">
        <v>9.6388780549999993</v>
      </c>
      <c r="G1628">
        <v>9.5702993999999997</v>
      </c>
      <c r="H1628">
        <v>9.5420978650000006</v>
      </c>
      <c r="I1628">
        <v>9.881191995</v>
      </c>
      <c r="J1628">
        <v>10.701385735000001</v>
      </c>
      <c r="K1628">
        <v>13.842478829999999</v>
      </c>
      <c r="L1628">
        <v>16.666371389999998</v>
      </c>
      <c r="M1628">
        <v>18.290296564999998</v>
      </c>
      <c r="N1628">
        <v>18.538679089999999</v>
      </c>
      <c r="O1628">
        <v>18.689226489999999</v>
      </c>
      <c r="P1628">
        <v>18.888282185000001</v>
      </c>
      <c r="Q1628">
        <v>18.95195751</v>
      </c>
      <c r="R1628">
        <v>18.660962900000001</v>
      </c>
      <c r="S1628">
        <v>18.334913125</v>
      </c>
      <c r="T1628">
        <v>17.9331858</v>
      </c>
      <c r="U1628">
        <v>17.118097315</v>
      </c>
      <c r="V1628">
        <v>16.465998750000001</v>
      </c>
      <c r="W1628">
        <v>16.294462970000001</v>
      </c>
      <c r="X1628">
        <v>15.42792498</v>
      </c>
      <c r="Y1628">
        <v>14.710476590000001</v>
      </c>
      <c r="Z1628">
        <v>12.717473885</v>
      </c>
      <c r="AA1628">
        <v>11.462437120000001</v>
      </c>
      <c r="AB1628">
        <v>10.562056500000001</v>
      </c>
    </row>
    <row r="1629" spans="1:28" hidden="1" x14ac:dyDescent="0.25">
      <c r="A1629" t="s">
        <v>232</v>
      </c>
      <c r="B1629" t="s">
        <v>245</v>
      </c>
      <c r="C1629">
        <v>115</v>
      </c>
      <c r="D1629" t="s">
        <v>3</v>
      </c>
      <c r="E1629">
        <v>0.76008924</v>
      </c>
      <c r="F1629">
        <v>0.70974803620000004</v>
      </c>
      <c r="G1629">
        <v>0.70731404129999997</v>
      </c>
      <c r="H1629">
        <v>0.68810317239999996</v>
      </c>
      <c r="I1629">
        <v>0.68725651229999996</v>
      </c>
      <c r="J1629">
        <v>0.71102335009999995</v>
      </c>
      <c r="K1629">
        <v>1.1924671878999999</v>
      </c>
      <c r="L1629">
        <v>1.6796462818</v>
      </c>
      <c r="M1629">
        <v>1.9905509306</v>
      </c>
      <c r="N1629">
        <v>2.0774104696000002</v>
      </c>
      <c r="O1629">
        <v>2.2004515310000001</v>
      </c>
      <c r="P1629">
        <v>2.2964517029999998</v>
      </c>
      <c r="Q1629">
        <v>2.3702169420999999</v>
      </c>
      <c r="R1629">
        <v>2.4458106834</v>
      </c>
      <c r="S1629">
        <v>2.3800099761000002</v>
      </c>
      <c r="T1629">
        <v>2.2236465396999998</v>
      </c>
      <c r="U1629">
        <v>2.0566243398999999</v>
      </c>
      <c r="V1629">
        <v>1.9472387278000001</v>
      </c>
      <c r="W1629">
        <v>1.7129157997</v>
      </c>
      <c r="X1629">
        <v>1.5376465628</v>
      </c>
      <c r="Y1629">
        <v>1.4435005527</v>
      </c>
      <c r="Z1629">
        <v>1.1059541147</v>
      </c>
      <c r="AA1629">
        <v>0.91486287820000001</v>
      </c>
      <c r="AB1629">
        <v>0.82408785259999995</v>
      </c>
    </row>
    <row r="1630" spans="1:28" hidden="1" x14ac:dyDescent="0.25">
      <c r="A1630" t="s">
        <v>232</v>
      </c>
      <c r="B1630" t="s">
        <v>245</v>
      </c>
      <c r="C1630">
        <v>115</v>
      </c>
      <c r="D1630" t="s">
        <v>4</v>
      </c>
      <c r="E1630">
        <v>0.15165593999999999</v>
      </c>
      <c r="F1630">
        <v>0.146784945</v>
      </c>
      <c r="G1630">
        <v>0.1457406</v>
      </c>
      <c r="H1630">
        <v>0.14531113500000001</v>
      </c>
      <c r="I1630">
        <v>0.150475005</v>
      </c>
      <c r="J1630">
        <v>0.162965265</v>
      </c>
      <c r="K1630">
        <v>0.21079917000000001</v>
      </c>
      <c r="L1630">
        <v>0.25380260999999998</v>
      </c>
      <c r="M1630">
        <v>0.27853243500000002</v>
      </c>
      <c r="N1630">
        <v>0.28231490999999997</v>
      </c>
      <c r="O1630">
        <v>0.28460751000000001</v>
      </c>
      <c r="P1630">
        <v>0.28763881499999999</v>
      </c>
      <c r="Q1630">
        <v>0.28860849</v>
      </c>
      <c r="R1630">
        <v>0.28417710000000002</v>
      </c>
      <c r="S1630">
        <v>0.279211875</v>
      </c>
      <c r="T1630">
        <v>0.27309420000000001</v>
      </c>
      <c r="U1630">
        <v>0.260681685</v>
      </c>
      <c r="V1630">
        <v>0.25075124999999998</v>
      </c>
      <c r="W1630">
        <v>0.24813903000000001</v>
      </c>
      <c r="X1630">
        <v>0.23494302</v>
      </c>
      <c r="Y1630">
        <v>0.22401741</v>
      </c>
      <c r="Z1630">
        <v>0.193667115</v>
      </c>
      <c r="AA1630">
        <v>0.17455488</v>
      </c>
      <c r="AB1630">
        <v>0.1608435</v>
      </c>
    </row>
    <row r="1631" spans="1:28" hidden="1" x14ac:dyDescent="0.25">
      <c r="A1631" t="s">
        <v>232</v>
      </c>
      <c r="B1631" t="s">
        <v>246</v>
      </c>
      <c r="C1631">
        <v>115</v>
      </c>
      <c r="D1631" t="s">
        <v>2</v>
      </c>
      <c r="E1631">
        <v>29.666246744999999</v>
      </c>
      <c r="F1631">
        <v>28.586239554999999</v>
      </c>
      <c r="G1631">
        <v>28.152048600000001</v>
      </c>
      <c r="H1631">
        <v>28.058476554999999</v>
      </c>
      <c r="I1631">
        <v>29.192380974999999</v>
      </c>
      <c r="J1631">
        <v>32.154794084999999</v>
      </c>
      <c r="K1631">
        <v>39.820075905000003</v>
      </c>
      <c r="L1631">
        <v>48.16265456</v>
      </c>
      <c r="M1631">
        <v>53.95009692</v>
      </c>
      <c r="N1631">
        <v>56.711603519999997</v>
      </c>
      <c r="O1631">
        <v>58.122169814999999</v>
      </c>
      <c r="P1631">
        <v>59.192311244999999</v>
      </c>
      <c r="Q1631">
        <v>59.861270054999999</v>
      </c>
      <c r="R1631">
        <v>57.673352594999997</v>
      </c>
      <c r="S1631">
        <v>57.702341144999998</v>
      </c>
      <c r="T1631">
        <v>56.737640024999997</v>
      </c>
      <c r="U1631">
        <v>54.406520309999998</v>
      </c>
      <c r="V1631">
        <v>52.20252765</v>
      </c>
      <c r="W1631">
        <v>51.948459704999998</v>
      </c>
      <c r="X1631">
        <v>49.324313324999999</v>
      </c>
      <c r="Y1631">
        <v>46.948330800000001</v>
      </c>
      <c r="Z1631">
        <v>40.291625940000003</v>
      </c>
      <c r="AA1631">
        <v>35.839803195000002</v>
      </c>
      <c r="AB1631">
        <v>32.360341914999999</v>
      </c>
    </row>
    <row r="1632" spans="1:28" hidden="1" x14ac:dyDescent="0.25">
      <c r="A1632" t="s">
        <v>232</v>
      </c>
      <c r="B1632" t="s">
        <v>246</v>
      </c>
      <c r="C1632">
        <v>115</v>
      </c>
      <c r="D1632" t="s">
        <v>3</v>
      </c>
      <c r="E1632">
        <v>6.3751585644000004</v>
      </c>
      <c r="F1632">
        <v>6.2279671883000001</v>
      </c>
      <c r="G1632">
        <v>6.1871929982999996</v>
      </c>
      <c r="H1632">
        <v>6.0867048137999999</v>
      </c>
      <c r="I1632">
        <v>6.1160733735999999</v>
      </c>
      <c r="J1632">
        <v>6.3418586477999996</v>
      </c>
      <c r="K1632">
        <v>8.4535236209000004</v>
      </c>
      <c r="L1632">
        <v>10.916966437199999</v>
      </c>
      <c r="M1632">
        <v>12.9620266234</v>
      </c>
      <c r="N1632">
        <v>14.053853224599999</v>
      </c>
      <c r="O1632">
        <v>14.7538370077</v>
      </c>
      <c r="P1632">
        <v>15.3629871509</v>
      </c>
      <c r="Q1632">
        <v>15.5416963018</v>
      </c>
      <c r="R1632">
        <v>14.966300417199999</v>
      </c>
      <c r="S1632">
        <v>15.078956961699999</v>
      </c>
      <c r="T1632">
        <v>14.6800330819</v>
      </c>
      <c r="U1632">
        <v>13.805941659</v>
      </c>
      <c r="V1632">
        <v>12.7999429922</v>
      </c>
      <c r="W1632">
        <v>11.588523371599999</v>
      </c>
      <c r="X1632">
        <v>10.6730609676</v>
      </c>
      <c r="Y1632">
        <v>10.1053626225</v>
      </c>
      <c r="Z1632">
        <v>8.5617372720000002</v>
      </c>
      <c r="AA1632">
        <v>7.5306355672</v>
      </c>
      <c r="AB1632">
        <v>6.9974981578</v>
      </c>
    </row>
    <row r="1633" spans="1:28" hidden="1" x14ac:dyDescent="0.25">
      <c r="A1633" t="s">
        <v>232</v>
      </c>
      <c r="B1633" t="s">
        <v>246</v>
      </c>
      <c r="C1633">
        <v>115</v>
      </c>
      <c r="D1633" t="s">
        <v>4</v>
      </c>
      <c r="E1633">
        <v>0.45177025500000001</v>
      </c>
      <c r="F1633">
        <v>0.43532344499999998</v>
      </c>
      <c r="G1633">
        <v>0.42871140000000002</v>
      </c>
      <c r="H1633">
        <v>0.42728644500000001</v>
      </c>
      <c r="I1633">
        <v>0.44455402500000002</v>
      </c>
      <c r="J1633">
        <v>0.48966691499999998</v>
      </c>
      <c r="K1633">
        <v>0.60639709500000005</v>
      </c>
      <c r="L1633">
        <v>0.73344144</v>
      </c>
      <c r="M1633">
        <v>0.82157508000000001</v>
      </c>
      <c r="N1633">
        <v>0.86362848000000003</v>
      </c>
      <c r="O1633">
        <v>0.88510918500000002</v>
      </c>
      <c r="P1633">
        <v>0.90140575499999998</v>
      </c>
      <c r="Q1633">
        <v>0.91159294499999999</v>
      </c>
      <c r="R1633">
        <v>0.87827440499999998</v>
      </c>
      <c r="S1633">
        <v>0.87871585500000005</v>
      </c>
      <c r="T1633">
        <v>0.86402497499999997</v>
      </c>
      <c r="U1633">
        <v>0.82852568999999998</v>
      </c>
      <c r="V1633">
        <v>0.79496235000000004</v>
      </c>
      <c r="W1633">
        <v>0.79109329500000003</v>
      </c>
      <c r="X1633">
        <v>0.751131675</v>
      </c>
      <c r="Y1633">
        <v>0.71494919999999995</v>
      </c>
      <c r="Z1633">
        <v>0.61357806000000004</v>
      </c>
      <c r="AA1633">
        <v>0.54578380500000001</v>
      </c>
      <c r="AB1633">
        <v>0.49279708500000002</v>
      </c>
    </row>
    <row r="1634" spans="1:28" hidden="1" x14ac:dyDescent="0.25">
      <c r="A1634" t="s">
        <v>232</v>
      </c>
      <c r="B1634" t="s">
        <v>247</v>
      </c>
      <c r="C1634">
        <v>115</v>
      </c>
      <c r="D1634" t="s">
        <v>2</v>
      </c>
      <c r="E1634">
        <v>26.4416552</v>
      </c>
      <c r="F1634">
        <v>24.980638190000001</v>
      </c>
      <c r="G1634">
        <v>24.407756280000001</v>
      </c>
      <c r="H1634">
        <v>24.153001790000001</v>
      </c>
      <c r="I1634">
        <v>26.951440965</v>
      </c>
      <c r="J1634">
        <v>32.593651970000003</v>
      </c>
      <c r="K1634">
        <v>36.221765509999997</v>
      </c>
      <c r="L1634">
        <v>37.874527544999999</v>
      </c>
      <c r="M1634">
        <v>39.322045129999999</v>
      </c>
      <c r="N1634">
        <v>40.750724589999997</v>
      </c>
      <c r="O1634">
        <v>42.260627149999998</v>
      </c>
      <c r="P1634">
        <v>42.808926415000002</v>
      </c>
      <c r="Q1634">
        <v>42.927865165</v>
      </c>
      <c r="R1634">
        <v>42.261592450000002</v>
      </c>
      <c r="S1634">
        <v>41.714120585000003</v>
      </c>
      <c r="T1634">
        <v>41.089629600000002</v>
      </c>
      <c r="U1634">
        <v>40.383341260000002</v>
      </c>
      <c r="V1634">
        <v>41.451823949999998</v>
      </c>
      <c r="W1634">
        <v>47.643836344999997</v>
      </c>
      <c r="X1634">
        <v>48.085575355000003</v>
      </c>
      <c r="Y1634">
        <v>46.903617709999999</v>
      </c>
      <c r="Z1634">
        <v>39.820607805000002</v>
      </c>
      <c r="AA1634">
        <v>34.10731329</v>
      </c>
      <c r="AB1634">
        <v>29.599440104999999</v>
      </c>
    </row>
    <row r="1635" spans="1:28" hidden="1" x14ac:dyDescent="0.25">
      <c r="A1635" t="s">
        <v>232</v>
      </c>
      <c r="B1635" t="s">
        <v>247</v>
      </c>
      <c r="C1635">
        <v>115</v>
      </c>
      <c r="D1635" t="s">
        <v>3</v>
      </c>
      <c r="E1635">
        <v>5.9783888814999999</v>
      </c>
      <c r="F1635">
        <v>5.7859317747999999</v>
      </c>
      <c r="G1635">
        <v>5.6759982996999998</v>
      </c>
      <c r="H1635">
        <v>5.5863375526999999</v>
      </c>
      <c r="I1635">
        <v>5.8438936869999996</v>
      </c>
      <c r="J1635">
        <v>6.8617861425999997</v>
      </c>
      <c r="K1635">
        <v>8.7614998595000007</v>
      </c>
      <c r="L1635">
        <v>10.1132404793</v>
      </c>
      <c r="M1635">
        <v>11.1998307519</v>
      </c>
      <c r="N1635">
        <v>11.926632759</v>
      </c>
      <c r="O1635">
        <v>12.648711458899999</v>
      </c>
      <c r="P1635">
        <v>12.876143644200001</v>
      </c>
      <c r="Q1635">
        <v>12.980041744699999</v>
      </c>
      <c r="R1635">
        <v>12.899276087100001</v>
      </c>
      <c r="S1635">
        <v>12.6460448374</v>
      </c>
      <c r="T1635">
        <v>12.332543831900001</v>
      </c>
      <c r="U1635">
        <v>11.7015995632</v>
      </c>
      <c r="V1635">
        <v>11.2020690028</v>
      </c>
      <c r="W1635">
        <v>11.046223880499999</v>
      </c>
      <c r="X1635">
        <v>10.414531799300001</v>
      </c>
      <c r="Y1635">
        <v>9.9691062697999993</v>
      </c>
      <c r="Z1635">
        <v>8.4856473307000009</v>
      </c>
      <c r="AA1635">
        <v>7.2544646524000003</v>
      </c>
      <c r="AB1635">
        <v>6.4063509149</v>
      </c>
    </row>
    <row r="1636" spans="1:28" hidden="1" x14ac:dyDescent="0.25">
      <c r="A1636" t="s">
        <v>232</v>
      </c>
      <c r="B1636" t="s">
        <v>247</v>
      </c>
      <c r="C1636">
        <v>115</v>
      </c>
      <c r="D1636" t="s">
        <v>4</v>
      </c>
      <c r="E1636">
        <v>0.40266479999999999</v>
      </c>
      <c r="F1636">
        <v>0.38041581000000002</v>
      </c>
      <c r="G1636">
        <v>0.37169172</v>
      </c>
      <c r="H1636">
        <v>0.36781220999999997</v>
      </c>
      <c r="I1636">
        <v>0.41042803500000002</v>
      </c>
      <c r="J1636">
        <v>0.49635003</v>
      </c>
      <c r="K1636">
        <v>0.55160049</v>
      </c>
      <c r="L1636">
        <v>0.57676945499999999</v>
      </c>
      <c r="M1636">
        <v>0.59881287000000005</v>
      </c>
      <c r="N1636">
        <v>0.62056940999999999</v>
      </c>
      <c r="O1636">
        <v>0.64356285000000002</v>
      </c>
      <c r="P1636">
        <v>0.65191258500000004</v>
      </c>
      <c r="Q1636">
        <v>0.65372383499999998</v>
      </c>
      <c r="R1636">
        <v>0.64357755000000005</v>
      </c>
      <c r="S1636">
        <v>0.63524041499999995</v>
      </c>
      <c r="T1636">
        <v>0.62573040000000002</v>
      </c>
      <c r="U1636">
        <v>0.61497473999999996</v>
      </c>
      <c r="V1636">
        <v>0.63124605</v>
      </c>
      <c r="W1636">
        <v>0.72554065499999998</v>
      </c>
      <c r="X1636">
        <v>0.73226764499999997</v>
      </c>
      <c r="Y1636">
        <v>0.71426829000000003</v>
      </c>
      <c r="Z1636">
        <v>0.60640519500000001</v>
      </c>
      <c r="AA1636">
        <v>0.51940070999999999</v>
      </c>
      <c r="AB1636">
        <v>0.45075289499999999</v>
      </c>
    </row>
    <row r="1637" spans="1:28" hidden="1" x14ac:dyDescent="0.25">
      <c r="A1637" t="s">
        <v>232</v>
      </c>
      <c r="B1637" t="s">
        <v>248</v>
      </c>
      <c r="C1637">
        <v>115</v>
      </c>
      <c r="D1637" t="s">
        <v>2</v>
      </c>
      <c r="E1637">
        <v>33.340782349999998</v>
      </c>
      <c r="F1637">
        <v>30.065828740000001</v>
      </c>
      <c r="G1637">
        <v>29.339604000000001</v>
      </c>
      <c r="H1637">
        <v>30.246649130000002</v>
      </c>
      <c r="I1637">
        <v>38.201260910000002</v>
      </c>
      <c r="J1637">
        <v>48.983313219999999</v>
      </c>
      <c r="K1637">
        <v>45.749944339999999</v>
      </c>
      <c r="L1637">
        <v>45.753534664999997</v>
      </c>
      <c r="M1637">
        <v>48.048651645</v>
      </c>
      <c r="N1637">
        <v>50.890071294999998</v>
      </c>
      <c r="O1637">
        <v>54.079464850000001</v>
      </c>
      <c r="P1637">
        <v>55.920147155000002</v>
      </c>
      <c r="Q1637">
        <v>54.478465694999997</v>
      </c>
      <c r="R1637">
        <v>53.677710930000003</v>
      </c>
      <c r="S1637">
        <v>53.886222625000002</v>
      </c>
      <c r="T1637">
        <v>53.864848125000002</v>
      </c>
      <c r="U1637">
        <v>53.744847544999999</v>
      </c>
      <c r="V1637">
        <v>55.410741600000001</v>
      </c>
      <c r="W1637">
        <v>63.172031369999999</v>
      </c>
      <c r="X1637">
        <v>66.036021309999995</v>
      </c>
      <c r="Y1637">
        <v>67.180825740000003</v>
      </c>
      <c r="Z1637">
        <v>57.621146609999997</v>
      </c>
      <c r="AA1637">
        <v>48.159736004999999</v>
      </c>
      <c r="AB1637">
        <v>39.423114994999999</v>
      </c>
    </row>
    <row r="1638" spans="1:28" hidden="1" x14ac:dyDescent="0.25">
      <c r="A1638" t="s">
        <v>232</v>
      </c>
      <c r="B1638" t="s">
        <v>248</v>
      </c>
      <c r="C1638">
        <v>115</v>
      </c>
      <c r="D1638" t="s">
        <v>3</v>
      </c>
      <c r="E1638">
        <v>13.252504201900001</v>
      </c>
      <c r="F1638">
        <v>12.607737162099999</v>
      </c>
      <c r="G1638">
        <v>12.555156261600001</v>
      </c>
      <c r="H1638">
        <v>12.2901895192</v>
      </c>
      <c r="I1638">
        <v>13.0904585356</v>
      </c>
      <c r="J1638">
        <v>14.7610833689</v>
      </c>
      <c r="K1638">
        <v>15.550659270400001</v>
      </c>
      <c r="L1638">
        <v>17.129198708699999</v>
      </c>
      <c r="M1638">
        <v>19.030825005299999</v>
      </c>
      <c r="N1638">
        <v>20.496683937099998</v>
      </c>
      <c r="O1638">
        <v>21.9156041649</v>
      </c>
      <c r="P1638">
        <v>23.017027072299999</v>
      </c>
      <c r="Q1638">
        <v>22.475476305000001</v>
      </c>
      <c r="R1638">
        <v>21.676176320100002</v>
      </c>
      <c r="S1638">
        <v>22.571943448999999</v>
      </c>
      <c r="T1638">
        <v>22.648119116699998</v>
      </c>
      <c r="U1638">
        <v>22.1150567647</v>
      </c>
      <c r="V1638">
        <v>21.740767722899999</v>
      </c>
      <c r="W1638">
        <v>21.9204137698</v>
      </c>
      <c r="X1638">
        <v>22.1146965282</v>
      </c>
      <c r="Y1638">
        <v>22.309298240299999</v>
      </c>
      <c r="Z1638">
        <v>19.094105785299998</v>
      </c>
      <c r="AA1638">
        <v>16.343036045800002</v>
      </c>
      <c r="AB1638">
        <v>14.4974952267</v>
      </c>
    </row>
    <row r="1639" spans="1:28" hidden="1" x14ac:dyDescent="0.25">
      <c r="A1639" t="s">
        <v>232</v>
      </c>
      <c r="B1639" t="s">
        <v>248</v>
      </c>
      <c r="C1639">
        <v>115</v>
      </c>
      <c r="D1639" t="s">
        <v>4</v>
      </c>
      <c r="E1639">
        <v>0.50772764999999997</v>
      </c>
      <c r="F1639">
        <v>0.45785525999999999</v>
      </c>
      <c r="G1639">
        <v>0.44679600000000003</v>
      </c>
      <c r="H1639">
        <v>0.46060887</v>
      </c>
      <c r="I1639">
        <v>0.58174508999999996</v>
      </c>
      <c r="J1639">
        <v>0.74593878000000002</v>
      </c>
      <c r="K1639">
        <v>0.69669966000000005</v>
      </c>
      <c r="L1639">
        <v>0.69675433499999995</v>
      </c>
      <c r="M1639">
        <v>0.731705355</v>
      </c>
      <c r="N1639">
        <v>0.77497570500000001</v>
      </c>
      <c r="O1639">
        <v>0.82354514999999995</v>
      </c>
      <c r="P1639">
        <v>0.85157584500000005</v>
      </c>
      <c r="Q1639">
        <v>0.82962130499999998</v>
      </c>
      <c r="R1639">
        <v>0.81742707000000003</v>
      </c>
      <c r="S1639">
        <v>0.82060237499999999</v>
      </c>
      <c r="T1639">
        <v>0.82027687500000002</v>
      </c>
      <c r="U1639">
        <v>0.81844945499999999</v>
      </c>
      <c r="V1639">
        <v>0.84381839999999997</v>
      </c>
      <c r="W1639">
        <v>0.96201062999999998</v>
      </c>
      <c r="X1639">
        <v>1.0056246900000001</v>
      </c>
      <c r="Y1639">
        <v>1.02305826</v>
      </c>
      <c r="Z1639">
        <v>0.87747938999999997</v>
      </c>
      <c r="AA1639">
        <v>0.733396995</v>
      </c>
      <c r="AB1639">
        <v>0.60035200499999997</v>
      </c>
    </row>
    <row r="1640" spans="1:28" hidden="1" x14ac:dyDescent="0.25">
      <c r="A1640" t="s">
        <v>232</v>
      </c>
      <c r="B1640" t="s">
        <v>249</v>
      </c>
      <c r="C1640">
        <v>115</v>
      </c>
      <c r="D1640" t="s">
        <v>2</v>
      </c>
      <c r="E1640">
        <v>10.063727269999999</v>
      </c>
      <c r="F1640">
        <v>9.9692716800000003</v>
      </c>
      <c r="G1640">
        <v>9.8916379200000009</v>
      </c>
      <c r="H1640">
        <v>9.9575738200000004</v>
      </c>
      <c r="I1640">
        <v>10.001511714999999</v>
      </c>
      <c r="J1640">
        <v>9.5198447450000003</v>
      </c>
      <c r="K1640">
        <v>10.023864319999999</v>
      </c>
      <c r="L1640">
        <v>10.54483673</v>
      </c>
      <c r="M1640">
        <v>10.986734325</v>
      </c>
      <c r="N1640">
        <v>11.277875699999999</v>
      </c>
      <c r="O1640">
        <v>11.33282885</v>
      </c>
      <c r="P1640">
        <v>11.55412289</v>
      </c>
      <c r="Q1640">
        <v>11.483316165</v>
      </c>
      <c r="R1640">
        <v>11.460026825</v>
      </c>
      <c r="S1640">
        <v>11.55801364</v>
      </c>
      <c r="T1640">
        <v>11.338822575</v>
      </c>
      <c r="U1640">
        <v>11.248425185</v>
      </c>
      <c r="V1640">
        <v>11.473083000000001</v>
      </c>
      <c r="W1640">
        <v>12.034914195000001</v>
      </c>
      <c r="X1640">
        <v>12.094592390000001</v>
      </c>
      <c r="Y1640">
        <v>12.318347944999999</v>
      </c>
      <c r="Z1640">
        <v>11.088538014999999</v>
      </c>
      <c r="AA1640">
        <v>10.39494337</v>
      </c>
      <c r="AB1640">
        <v>10.048399685</v>
      </c>
    </row>
    <row r="1641" spans="1:28" hidden="1" x14ac:dyDescent="0.25">
      <c r="A1641" t="s">
        <v>232</v>
      </c>
      <c r="B1641" t="s">
        <v>249</v>
      </c>
      <c r="C1641">
        <v>115</v>
      </c>
      <c r="D1641" t="s">
        <v>3</v>
      </c>
      <c r="E1641">
        <v>1.1368380901999999</v>
      </c>
      <c r="F1641">
        <v>1.1144156687</v>
      </c>
      <c r="G1641">
        <v>1.0484098324</v>
      </c>
      <c r="H1641">
        <v>0.98633336869999999</v>
      </c>
      <c r="I1641">
        <v>0.93268125940000002</v>
      </c>
      <c r="J1641">
        <v>1.0306987165999999</v>
      </c>
      <c r="K1641">
        <v>1.4613156036999999</v>
      </c>
      <c r="L1641">
        <v>1.5800059059</v>
      </c>
      <c r="M1641">
        <v>1.5551621171000001</v>
      </c>
      <c r="N1641">
        <v>1.547231976</v>
      </c>
      <c r="O1641">
        <v>1.3788067951</v>
      </c>
      <c r="P1641">
        <v>1.5642146878000001</v>
      </c>
      <c r="Q1641">
        <v>1.399043977</v>
      </c>
      <c r="R1641">
        <v>1.5627454015</v>
      </c>
      <c r="S1641">
        <v>1.7595227846999999</v>
      </c>
      <c r="T1641">
        <v>1.8651230352999999</v>
      </c>
      <c r="U1641">
        <v>2.1331046462000001</v>
      </c>
      <c r="V1641">
        <v>1.7151289712</v>
      </c>
      <c r="W1641">
        <v>1.5344178488</v>
      </c>
      <c r="X1641">
        <v>1.5842383439000001</v>
      </c>
      <c r="Y1641">
        <v>1.4407072003000001</v>
      </c>
      <c r="Z1641">
        <v>1.3666779738999999</v>
      </c>
      <c r="AA1641">
        <v>1.4268801124999999</v>
      </c>
      <c r="AB1641">
        <v>1.2738563899999999</v>
      </c>
    </row>
    <row r="1642" spans="1:28" hidden="1" x14ac:dyDescent="0.25">
      <c r="A1642" t="s">
        <v>232</v>
      </c>
      <c r="B1642" t="s">
        <v>249</v>
      </c>
      <c r="C1642">
        <v>115</v>
      </c>
      <c r="D1642" t="s">
        <v>4</v>
      </c>
      <c r="E1642">
        <v>0.15325473000000001</v>
      </c>
      <c r="F1642">
        <v>0.15181632</v>
      </c>
      <c r="G1642">
        <v>0.15063408</v>
      </c>
      <c r="H1642">
        <v>0.15163818000000001</v>
      </c>
      <c r="I1642">
        <v>0.15230728499999999</v>
      </c>
      <c r="J1642">
        <v>0.14497225499999999</v>
      </c>
      <c r="K1642">
        <v>0.15264768000000001</v>
      </c>
      <c r="L1642">
        <v>0.16058127</v>
      </c>
      <c r="M1642">
        <v>0.16731067499999999</v>
      </c>
      <c r="N1642">
        <v>0.17174429999999999</v>
      </c>
      <c r="O1642">
        <v>0.17258114999999999</v>
      </c>
      <c r="P1642">
        <v>0.17595110999999999</v>
      </c>
      <c r="Q1642">
        <v>0.174872835</v>
      </c>
      <c r="R1642">
        <v>0.174518175</v>
      </c>
      <c r="S1642">
        <v>0.17601036</v>
      </c>
      <c r="T1642">
        <v>0.17267242499999999</v>
      </c>
      <c r="U1642">
        <v>0.17129581499999999</v>
      </c>
      <c r="V1642">
        <v>0.17471700000000001</v>
      </c>
      <c r="W1642">
        <v>0.18327280500000001</v>
      </c>
      <c r="X1642">
        <v>0.18418161</v>
      </c>
      <c r="Y1642">
        <v>0.187589055</v>
      </c>
      <c r="Z1642">
        <v>0.16886098499999999</v>
      </c>
      <c r="AA1642">
        <v>0.15829863</v>
      </c>
      <c r="AB1642">
        <v>0.15302131499999999</v>
      </c>
    </row>
    <row r="1643" spans="1:28" hidden="1" x14ac:dyDescent="0.25">
      <c r="A1643" t="s">
        <v>232</v>
      </c>
      <c r="B1643" t="s">
        <v>250</v>
      </c>
      <c r="C1643">
        <v>115</v>
      </c>
      <c r="D1643" t="s">
        <v>2</v>
      </c>
      <c r="E1643">
        <v>28.226428904999999</v>
      </c>
      <c r="F1643">
        <v>26.287848435000001</v>
      </c>
      <c r="G1643">
        <v>24.19818768</v>
      </c>
      <c r="H1643">
        <v>22.768081939999998</v>
      </c>
      <c r="I1643">
        <v>23.988587559999999</v>
      </c>
      <c r="J1643">
        <v>26.53403441</v>
      </c>
      <c r="K1643">
        <v>25.445193740000001</v>
      </c>
      <c r="L1643">
        <v>25.355001229999999</v>
      </c>
      <c r="M1643">
        <v>26.326307759999999</v>
      </c>
      <c r="N1643">
        <v>27.109865410000001</v>
      </c>
      <c r="O1643">
        <v>28.12220507</v>
      </c>
      <c r="P1643">
        <v>28.885306239999998</v>
      </c>
      <c r="Q1643">
        <v>28.730718370000002</v>
      </c>
      <c r="R1643">
        <v>28.5402962</v>
      </c>
      <c r="S1643">
        <v>28.467365815000001</v>
      </c>
      <c r="T1643">
        <v>28.423228949999999</v>
      </c>
      <c r="U1643">
        <v>28.366522499999999</v>
      </c>
      <c r="V1643">
        <v>28.83143265</v>
      </c>
      <c r="W1643">
        <v>31.687433254999998</v>
      </c>
      <c r="X1643">
        <v>33.873866319999998</v>
      </c>
      <c r="Y1643">
        <v>36.239640305000002</v>
      </c>
      <c r="Z1643">
        <v>35.522573110000003</v>
      </c>
      <c r="AA1643">
        <v>33.319817610000001</v>
      </c>
      <c r="AB1643">
        <v>30.642804309999999</v>
      </c>
    </row>
    <row r="1644" spans="1:28" hidden="1" x14ac:dyDescent="0.25">
      <c r="A1644" t="s">
        <v>232</v>
      </c>
      <c r="B1644" t="s">
        <v>250</v>
      </c>
      <c r="C1644">
        <v>115</v>
      </c>
      <c r="D1644" t="s">
        <v>3</v>
      </c>
      <c r="E1644">
        <v>3.7804213420999999</v>
      </c>
      <c r="F1644">
        <v>3.4741266580999999</v>
      </c>
      <c r="G1644">
        <v>3.3987172566999999</v>
      </c>
      <c r="H1644">
        <v>3.3910188791999998</v>
      </c>
      <c r="I1644">
        <v>3.4320421605</v>
      </c>
      <c r="J1644">
        <v>3.54356801</v>
      </c>
      <c r="K1644">
        <v>3.7346322680999999</v>
      </c>
      <c r="L1644">
        <v>4.2485911841000004</v>
      </c>
      <c r="M1644">
        <v>4.8138832551000004</v>
      </c>
      <c r="N1644">
        <v>5.2069487851999998</v>
      </c>
      <c r="O1644">
        <v>5.6200664839999996</v>
      </c>
      <c r="P1644">
        <v>5.9852470320000002</v>
      </c>
      <c r="Q1644">
        <v>5.9576442251000001</v>
      </c>
      <c r="R1644">
        <v>5.8799322172000004</v>
      </c>
      <c r="S1644">
        <v>5.9453104347999997</v>
      </c>
      <c r="T1644">
        <v>5.9317378553999998</v>
      </c>
      <c r="U1644">
        <v>5.9024933558999999</v>
      </c>
      <c r="V1644">
        <v>5.7526150854000004</v>
      </c>
      <c r="W1644">
        <v>5.3996596155000001</v>
      </c>
      <c r="X1644">
        <v>5.2458513459000002</v>
      </c>
      <c r="Y1644">
        <v>5.2290113430999998</v>
      </c>
      <c r="Z1644">
        <v>4.7847745776000004</v>
      </c>
      <c r="AA1644">
        <v>4.4343983608000004</v>
      </c>
      <c r="AB1644">
        <v>4.1438148284</v>
      </c>
    </row>
    <row r="1645" spans="1:28" hidden="1" x14ac:dyDescent="0.25">
      <c r="A1645" t="s">
        <v>232</v>
      </c>
      <c r="B1645" t="s">
        <v>250</v>
      </c>
      <c r="C1645">
        <v>115</v>
      </c>
      <c r="D1645" t="s">
        <v>4</v>
      </c>
      <c r="E1645">
        <v>0.42984409499999998</v>
      </c>
      <c r="F1645">
        <v>0.40032256500000002</v>
      </c>
      <c r="G1645">
        <v>0.36850031999999999</v>
      </c>
      <c r="H1645">
        <v>0.34672206</v>
      </c>
      <c r="I1645">
        <v>0.36530844000000001</v>
      </c>
      <c r="J1645">
        <v>0.40407158999999998</v>
      </c>
      <c r="K1645">
        <v>0.38749025999999998</v>
      </c>
      <c r="L1645">
        <v>0.38611677</v>
      </c>
      <c r="M1645">
        <v>0.40090824000000003</v>
      </c>
      <c r="N1645">
        <v>0.41284059000000001</v>
      </c>
      <c r="O1645">
        <v>0.42825692999999998</v>
      </c>
      <c r="P1645">
        <v>0.43987776000000001</v>
      </c>
      <c r="Q1645">
        <v>0.43752363</v>
      </c>
      <c r="R1645">
        <v>0.4346238</v>
      </c>
      <c r="S1645">
        <v>0.43351318500000002</v>
      </c>
      <c r="T1645">
        <v>0.43284105</v>
      </c>
      <c r="U1645">
        <v>0.43197750000000001</v>
      </c>
      <c r="V1645">
        <v>0.43905735000000001</v>
      </c>
      <c r="W1645">
        <v>0.48254974499999997</v>
      </c>
      <c r="X1645">
        <v>0.51584567999999997</v>
      </c>
      <c r="Y1645">
        <v>0.55187269500000002</v>
      </c>
      <c r="Z1645">
        <v>0.54095289000000002</v>
      </c>
      <c r="AA1645">
        <v>0.50740839000000004</v>
      </c>
      <c r="AB1645">
        <v>0.46664169</v>
      </c>
    </row>
    <row r="1646" spans="1:28" hidden="1" x14ac:dyDescent="0.25">
      <c r="A1646" t="s">
        <v>232</v>
      </c>
      <c r="B1646" t="s">
        <v>251</v>
      </c>
      <c r="C1646">
        <v>115</v>
      </c>
      <c r="D1646" t="s">
        <v>2</v>
      </c>
      <c r="E1646">
        <v>10.603658960000001</v>
      </c>
      <c r="F1646">
        <v>10.112921125</v>
      </c>
      <c r="G1646">
        <v>9.9195803999999992</v>
      </c>
      <c r="H1646">
        <v>9.9021774199999992</v>
      </c>
      <c r="I1646">
        <v>10.69334518</v>
      </c>
      <c r="J1646">
        <v>12.591850924999999</v>
      </c>
      <c r="K1646">
        <v>15.696710795</v>
      </c>
      <c r="L1646">
        <v>17.930172684999999</v>
      </c>
      <c r="M1646">
        <v>19.985392914999998</v>
      </c>
      <c r="N1646">
        <v>20.944626299999999</v>
      </c>
      <c r="O1646">
        <v>21.384363789999998</v>
      </c>
      <c r="P1646">
        <v>21.709113365</v>
      </c>
      <c r="Q1646">
        <v>21.957356019999999</v>
      </c>
      <c r="R1646">
        <v>21.339360124999999</v>
      </c>
      <c r="S1646">
        <v>21.317626099999998</v>
      </c>
      <c r="T1646">
        <v>20.718923400000001</v>
      </c>
      <c r="U1646">
        <v>19.95688406</v>
      </c>
      <c r="V1646">
        <v>19.3767624</v>
      </c>
      <c r="W1646">
        <v>19.314460165</v>
      </c>
      <c r="X1646">
        <v>17.995491975</v>
      </c>
      <c r="Y1646">
        <v>17.21438796</v>
      </c>
      <c r="Z1646">
        <v>14.778175640000001</v>
      </c>
      <c r="AA1646">
        <v>12.897429445</v>
      </c>
      <c r="AB1646">
        <v>11.42885059</v>
      </c>
    </row>
    <row r="1647" spans="1:28" hidden="1" x14ac:dyDescent="0.25">
      <c r="A1647" t="s">
        <v>232</v>
      </c>
      <c r="B1647" t="s">
        <v>251</v>
      </c>
      <c r="C1647">
        <v>115</v>
      </c>
      <c r="D1647" t="s">
        <v>3</v>
      </c>
      <c r="E1647">
        <v>0.44004813440000001</v>
      </c>
      <c r="F1647">
        <v>0.397089411</v>
      </c>
      <c r="G1647">
        <v>0.41165911360000002</v>
      </c>
      <c r="H1647">
        <v>0.39632493120000001</v>
      </c>
      <c r="I1647">
        <v>0.34164876830000002</v>
      </c>
      <c r="J1647">
        <v>0.34723334820000001</v>
      </c>
      <c r="K1647">
        <v>0.68829136120000001</v>
      </c>
      <c r="L1647">
        <v>1.1184926924</v>
      </c>
      <c r="M1647">
        <v>1.3518816358000001</v>
      </c>
      <c r="N1647">
        <v>1.4658130331999999</v>
      </c>
      <c r="O1647">
        <v>1.5804584728</v>
      </c>
      <c r="P1647">
        <v>1.6279820461000001</v>
      </c>
      <c r="Q1647">
        <v>1.8707986170999999</v>
      </c>
      <c r="R1647">
        <v>1.9143983804</v>
      </c>
      <c r="S1647">
        <v>1.8538521497</v>
      </c>
      <c r="T1647">
        <v>1.8017869581999999</v>
      </c>
      <c r="U1647">
        <v>1.7424674463000001</v>
      </c>
      <c r="V1647">
        <v>1.6347574705000001</v>
      </c>
      <c r="W1647">
        <v>1.2017270923000001</v>
      </c>
      <c r="X1647">
        <v>0.92202154000000003</v>
      </c>
      <c r="Y1647">
        <v>0.78571017259999998</v>
      </c>
      <c r="Z1647">
        <v>0.56498323429999997</v>
      </c>
      <c r="AA1647">
        <v>0.47587684749999998</v>
      </c>
      <c r="AB1647">
        <v>0.43693546</v>
      </c>
    </row>
    <row r="1648" spans="1:28" hidden="1" x14ac:dyDescent="0.25">
      <c r="A1648" t="s">
        <v>232</v>
      </c>
      <c r="B1648" t="s">
        <v>251</v>
      </c>
      <c r="C1648">
        <v>115</v>
      </c>
      <c r="D1648" t="s">
        <v>4</v>
      </c>
      <c r="E1648">
        <v>0.16147703999999999</v>
      </c>
      <c r="F1648">
        <v>0.15400387500000001</v>
      </c>
      <c r="G1648">
        <v>0.15105959999999999</v>
      </c>
      <c r="H1648">
        <v>0.15079458000000001</v>
      </c>
      <c r="I1648">
        <v>0.16284282</v>
      </c>
      <c r="J1648">
        <v>0.191754075</v>
      </c>
      <c r="K1648">
        <v>0.239036205</v>
      </c>
      <c r="L1648">
        <v>0.27304831499999999</v>
      </c>
      <c r="M1648">
        <v>0.30434608499999999</v>
      </c>
      <c r="N1648">
        <v>0.31895370000000001</v>
      </c>
      <c r="O1648">
        <v>0.32565021</v>
      </c>
      <c r="P1648">
        <v>0.330595635</v>
      </c>
      <c r="Q1648">
        <v>0.33437598000000002</v>
      </c>
      <c r="R1648">
        <v>0.32496487499999999</v>
      </c>
      <c r="S1648">
        <v>0.32463389999999998</v>
      </c>
      <c r="T1648">
        <v>0.31551659999999998</v>
      </c>
      <c r="U1648">
        <v>0.30391193999999999</v>
      </c>
      <c r="V1648">
        <v>0.2950776</v>
      </c>
      <c r="W1648">
        <v>0.29412883499999998</v>
      </c>
      <c r="X1648">
        <v>0.274043025</v>
      </c>
      <c r="Y1648">
        <v>0.26214804000000003</v>
      </c>
      <c r="Z1648">
        <v>0.22504836</v>
      </c>
      <c r="AA1648">
        <v>0.19640755500000001</v>
      </c>
      <c r="AB1648">
        <v>0.17404341000000001</v>
      </c>
    </row>
    <row r="1649" spans="1:28" hidden="1" x14ac:dyDescent="0.25">
      <c r="A1649" t="s">
        <v>232</v>
      </c>
      <c r="B1649" t="s">
        <v>252</v>
      </c>
      <c r="C1649">
        <v>58</v>
      </c>
      <c r="D1649" t="s">
        <v>2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</row>
    <row r="1650" spans="1:28" hidden="1" x14ac:dyDescent="0.25">
      <c r="A1650" t="s">
        <v>232</v>
      </c>
      <c r="B1650" t="s">
        <v>252</v>
      </c>
      <c r="C1650">
        <v>58</v>
      </c>
      <c r="D1650" t="s">
        <v>3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</row>
    <row r="1651" spans="1:28" hidden="1" x14ac:dyDescent="0.25">
      <c r="A1651" t="s">
        <v>232</v>
      </c>
      <c r="B1651" t="s">
        <v>252</v>
      </c>
      <c r="C1651">
        <v>58</v>
      </c>
      <c r="D1651" t="s">
        <v>4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</row>
    <row r="1652" spans="1:28" hidden="1" x14ac:dyDescent="0.25">
      <c r="A1652" t="s">
        <v>232</v>
      </c>
      <c r="B1652" t="s">
        <v>253</v>
      </c>
      <c r="C1652">
        <v>115</v>
      </c>
      <c r="D1652" t="s">
        <v>2</v>
      </c>
      <c r="E1652">
        <v>0.11998482000000001</v>
      </c>
      <c r="F1652">
        <v>0.11491995000000001</v>
      </c>
      <c r="G1652">
        <v>0.12574115999999999</v>
      </c>
      <c r="H1652">
        <v>0.12464288499999999</v>
      </c>
      <c r="I1652">
        <v>0.120318735</v>
      </c>
      <c r="J1652">
        <v>0.118153705</v>
      </c>
      <c r="K1652">
        <v>0.11015255</v>
      </c>
      <c r="L1652">
        <v>9.8734429999999998E-2</v>
      </c>
      <c r="M1652">
        <v>0.104635565</v>
      </c>
      <c r="N1652">
        <v>0.10740834</v>
      </c>
      <c r="O1652">
        <v>8.8365335000000003E-2</v>
      </c>
      <c r="P1652">
        <v>0.11283372</v>
      </c>
      <c r="Q1652">
        <v>8.9713799999999996E-2</v>
      </c>
      <c r="R1652">
        <v>8.7816690000000003E-2</v>
      </c>
      <c r="S1652">
        <v>8.7727054999999998E-2</v>
      </c>
      <c r="T1652">
        <v>8.7054300000000001E-2</v>
      </c>
      <c r="U1652">
        <v>8.5376845000000007E-2</v>
      </c>
      <c r="V1652">
        <v>0.10623225</v>
      </c>
      <c r="W1652">
        <v>0.11268695500000001</v>
      </c>
      <c r="X1652">
        <v>0.11261308</v>
      </c>
      <c r="Y1652">
        <v>0.134138285</v>
      </c>
      <c r="Z1652">
        <v>0.11775478</v>
      </c>
      <c r="AA1652">
        <v>0.122499525</v>
      </c>
      <c r="AB1652">
        <v>0.112361905</v>
      </c>
    </row>
    <row r="1653" spans="1:28" hidden="1" x14ac:dyDescent="0.25">
      <c r="A1653" t="s">
        <v>232</v>
      </c>
      <c r="B1653" t="s">
        <v>253</v>
      </c>
      <c r="C1653">
        <v>115</v>
      </c>
      <c r="D1653" t="s">
        <v>3</v>
      </c>
      <c r="E1653">
        <v>1.81758336E-2</v>
      </c>
      <c r="F1653">
        <v>1.5886239199999999E-2</v>
      </c>
      <c r="G1653">
        <v>1.7908048199999999E-2</v>
      </c>
      <c r="H1653">
        <v>1.54655243E-2</v>
      </c>
      <c r="I1653">
        <v>1.1744210099999999E-2</v>
      </c>
      <c r="J1653">
        <v>5.2840459999999999E-4</v>
      </c>
      <c r="K1653">
        <v>0</v>
      </c>
      <c r="L1653">
        <v>4.4155810000000002E-4</v>
      </c>
      <c r="M1653">
        <v>0</v>
      </c>
      <c r="N1653">
        <v>0</v>
      </c>
      <c r="O1653">
        <v>0</v>
      </c>
      <c r="P1653">
        <v>0</v>
      </c>
      <c r="Q1653">
        <v>4.0121630000000002E-4</v>
      </c>
      <c r="R1653">
        <v>5.9140264000000003E-3</v>
      </c>
      <c r="S1653">
        <v>2.6032694000000002E-3</v>
      </c>
      <c r="T1653">
        <v>1.0301124E-3</v>
      </c>
      <c r="U1653">
        <v>3.8182050000000001E-4</v>
      </c>
      <c r="V1653">
        <v>1.0623754999999999E-3</v>
      </c>
      <c r="W1653">
        <v>0</v>
      </c>
      <c r="X1653">
        <v>0</v>
      </c>
      <c r="Y1653">
        <v>1.0390618E-3</v>
      </c>
      <c r="Z1653">
        <v>1.2892238800000001E-2</v>
      </c>
      <c r="AA1653">
        <v>1.5148991299999999E-2</v>
      </c>
      <c r="AB1653">
        <v>2.1906356599999999E-2</v>
      </c>
    </row>
    <row r="1654" spans="1:28" hidden="1" x14ac:dyDescent="0.25">
      <c r="A1654" t="s">
        <v>232</v>
      </c>
      <c r="B1654" t="s">
        <v>253</v>
      </c>
      <c r="C1654">
        <v>115</v>
      </c>
      <c r="D1654" t="s">
        <v>4</v>
      </c>
      <c r="E1654">
        <v>1.8271800000000001E-3</v>
      </c>
      <c r="F1654">
        <v>1.75005E-3</v>
      </c>
      <c r="G1654">
        <v>1.9148399999999999E-3</v>
      </c>
      <c r="H1654">
        <v>1.8981149999999999E-3</v>
      </c>
      <c r="I1654">
        <v>1.832265E-3</v>
      </c>
      <c r="J1654">
        <v>1.799295E-3</v>
      </c>
      <c r="K1654">
        <v>1.67745E-3</v>
      </c>
      <c r="L1654">
        <v>1.5035700000000001E-3</v>
      </c>
      <c r="M1654">
        <v>1.593435E-3</v>
      </c>
      <c r="N1654">
        <v>1.6356599999999999E-3</v>
      </c>
      <c r="O1654">
        <v>1.345665E-3</v>
      </c>
      <c r="P1654">
        <v>1.71828E-3</v>
      </c>
      <c r="Q1654">
        <v>1.3661999999999999E-3</v>
      </c>
      <c r="R1654">
        <v>1.33731E-3</v>
      </c>
      <c r="S1654">
        <v>1.3359450000000001E-3</v>
      </c>
      <c r="T1654">
        <v>1.3257E-3</v>
      </c>
      <c r="U1654">
        <v>1.3001550000000001E-3</v>
      </c>
      <c r="V1654">
        <v>1.61775E-3</v>
      </c>
      <c r="W1654">
        <v>1.716045E-3</v>
      </c>
      <c r="X1654">
        <v>1.71492E-3</v>
      </c>
      <c r="Y1654">
        <v>2.0427150000000001E-3</v>
      </c>
      <c r="Z1654">
        <v>1.7932200000000001E-3</v>
      </c>
      <c r="AA1654">
        <v>1.8654749999999999E-3</v>
      </c>
      <c r="AB1654">
        <v>1.7110949999999999E-3</v>
      </c>
    </row>
    <row r="1655" spans="1:28" hidden="1" x14ac:dyDescent="0.25">
      <c r="A1655" t="s">
        <v>232</v>
      </c>
      <c r="B1655" t="s">
        <v>254</v>
      </c>
      <c r="C1655">
        <v>115</v>
      </c>
      <c r="D1655" t="s">
        <v>2</v>
      </c>
      <c r="E1655">
        <v>44.169412354999999</v>
      </c>
      <c r="F1655">
        <v>42.304762044999997</v>
      </c>
      <c r="G1655">
        <v>42.039461160000002</v>
      </c>
      <c r="H1655">
        <v>42.03858614</v>
      </c>
      <c r="I1655">
        <v>42.842189525000002</v>
      </c>
      <c r="J1655">
        <v>44.590182345000002</v>
      </c>
      <c r="K1655">
        <v>44.828936495000001</v>
      </c>
      <c r="L1655">
        <v>46.879106970000002</v>
      </c>
      <c r="M1655">
        <v>49.80652894</v>
      </c>
      <c r="N1655">
        <v>49.558208469999997</v>
      </c>
      <c r="O1655">
        <v>51.185506285000002</v>
      </c>
      <c r="P1655">
        <v>51.113452549999998</v>
      </c>
      <c r="Q1655">
        <v>51.719778165000001</v>
      </c>
      <c r="R1655">
        <v>51.482303530000003</v>
      </c>
      <c r="S1655">
        <v>50.72805554</v>
      </c>
      <c r="T1655">
        <v>50.817947625000002</v>
      </c>
      <c r="U1655">
        <v>50.948749714999998</v>
      </c>
      <c r="V1655">
        <v>50.715276150000001</v>
      </c>
      <c r="W1655">
        <v>52.647115280000001</v>
      </c>
      <c r="X1655">
        <v>54.25674515</v>
      </c>
      <c r="Y1655">
        <v>54.728339509999998</v>
      </c>
      <c r="Z1655">
        <v>49.240958685000003</v>
      </c>
      <c r="AA1655">
        <v>47.477239355000002</v>
      </c>
      <c r="AB1655">
        <v>44.607832899999998</v>
      </c>
    </row>
    <row r="1656" spans="1:28" hidden="1" x14ac:dyDescent="0.25">
      <c r="A1656" t="s">
        <v>232</v>
      </c>
      <c r="B1656" t="s">
        <v>254</v>
      </c>
      <c r="C1656">
        <v>115</v>
      </c>
      <c r="D1656" t="s">
        <v>3</v>
      </c>
      <c r="E1656">
        <v>11.316744423399999</v>
      </c>
      <c r="F1656">
        <v>11.0032771661</v>
      </c>
      <c r="G1656">
        <v>10.7980720456</v>
      </c>
      <c r="H1656">
        <v>10.7726051219</v>
      </c>
      <c r="I1656">
        <v>10.5485979326</v>
      </c>
      <c r="J1656">
        <v>10.680874315700001</v>
      </c>
      <c r="K1656">
        <v>10.5701020344</v>
      </c>
      <c r="L1656">
        <v>11.840942765299999</v>
      </c>
      <c r="M1656">
        <v>13.128842364800001</v>
      </c>
      <c r="N1656">
        <v>13.090394979699999</v>
      </c>
      <c r="O1656">
        <v>13.840948706300001</v>
      </c>
      <c r="P1656">
        <v>14.1483114589</v>
      </c>
      <c r="Q1656">
        <v>14.581391658499999</v>
      </c>
      <c r="R1656">
        <v>14.6897505752</v>
      </c>
      <c r="S1656">
        <v>14.619922542799999</v>
      </c>
      <c r="T1656">
        <v>14.3473434716</v>
      </c>
      <c r="U1656">
        <v>14.450964014</v>
      </c>
      <c r="V1656">
        <v>14.138106464</v>
      </c>
      <c r="W1656">
        <v>13.720051273199999</v>
      </c>
      <c r="X1656">
        <v>13.842903659299999</v>
      </c>
      <c r="Y1656">
        <v>14.076031308399999</v>
      </c>
      <c r="Z1656">
        <v>12.5015449319</v>
      </c>
      <c r="AA1656">
        <v>11.8052110409</v>
      </c>
      <c r="AB1656">
        <v>11.350325649</v>
      </c>
    </row>
    <row r="1657" spans="1:28" hidden="1" x14ac:dyDescent="0.25">
      <c r="A1657" t="s">
        <v>232</v>
      </c>
      <c r="B1657" t="s">
        <v>254</v>
      </c>
      <c r="C1657">
        <v>115</v>
      </c>
      <c r="D1657" t="s">
        <v>4</v>
      </c>
      <c r="E1657">
        <v>0.67263064500000003</v>
      </c>
      <c r="F1657">
        <v>0.64423495500000005</v>
      </c>
      <c r="G1657">
        <v>0.64019484000000004</v>
      </c>
      <c r="H1657">
        <v>0.64018151479999996</v>
      </c>
      <c r="I1657">
        <v>0.65241912980000005</v>
      </c>
      <c r="J1657">
        <v>0.67903830980000002</v>
      </c>
      <c r="K1657">
        <v>0.68267415980000001</v>
      </c>
      <c r="L1657">
        <v>0.71389502999999999</v>
      </c>
      <c r="M1657">
        <v>0.75847505999999998</v>
      </c>
      <c r="N1657">
        <v>0.75469352999999995</v>
      </c>
      <c r="O1657">
        <v>0.77947471499999998</v>
      </c>
      <c r="P1657">
        <v>0.77837745000000003</v>
      </c>
      <c r="Q1657">
        <v>0.78761083499999995</v>
      </c>
      <c r="R1657">
        <v>0.78399447</v>
      </c>
      <c r="S1657">
        <v>0.77250845999999995</v>
      </c>
      <c r="T1657">
        <v>0.77387737499999998</v>
      </c>
      <c r="U1657">
        <v>0.77586928499999996</v>
      </c>
      <c r="V1657">
        <v>0.77231384999999997</v>
      </c>
      <c r="W1657">
        <v>0.80173271999999995</v>
      </c>
      <c r="X1657">
        <v>0.82624485000000003</v>
      </c>
      <c r="Y1657">
        <v>0.83342649000000002</v>
      </c>
      <c r="Z1657">
        <v>0.749862315</v>
      </c>
      <c r="AA1657">
        <v>0.72300364500000003</v>
      </c>
      <c r="AB1657">
        <v>0.67930710000000005</v>
      </c>
    </row>
    <row r="1658" spans="1:28" hidden="1" x14ac:dyDescent="0.25">
      <c r="A1658" t="s">
        <v>232</v>
      </c>
      <c r="B1658" t="s">
        <v>255</v>
      </c>
      <c r="C1658">
        <v>115</v>
      </c>
      <c r="D1658" t="s">
        <v>2</v>
      </c>
      <c r="E1658">
        <v>26.036705940000001</v>
      </c>
      <c r="F1658">
        <v>25.39722227</v>
      </c>
      <c r="G1658">
        <v>25.399714320000001</v>
      </c>
      <c r="H1658">
        <v>26.09188958</v>
      </c>
      <c r="I1658">
        <v>30.019573139999999</v>
      </c>
      <c r="J1658">
        <v>31.428989940000001</v>
      </c>
      <c r="K1658">
        <v>33.467956684999997</v>
      </c>
      <c r="L1658">
        <v>34.873001070000001</v>
      </c>
      <c r="M1658">
        <v>35.952779739999997</v>
      </c>
      <c r="N1658">
        <v>36.926987095000001</v>
      </c>
      <c r="O1658">
        <v>37.665640564999997</v>
      </c>
      <c r="P1658">
        <v>37.799131705000001</v>
      </c>
      <c r="Q1658">
        <v>36.917066175000002</v>
      </c>
      <c r="R1658">
        <v>36.597441555000003</v>
      </c>
      <c r="S1658">
        <v>35.989943789999998</v>
      </c>
      <c r="T1658">
        <v>35.344045800000004</v>
      </c>
      <c r="U1658">
        <v>34.876521459999999</v>
      </c>
      <c r="V1658">
        <v>35.396585700000003</v>
      </c>
      <c r="W1658">
        <v>39.012053809999998</v>
      </c>
      <c r="X1658">
        <v>38.738730099999998</v>
      </c>
      <c r="Y1658">
        <v>38.184641990000003</v>
      </c>
      <c r="Z1658">
        <v>33.265614045</v>
      </c>
      <c r="AA1658">
        <v>29.574837760000001</v>
      </c>
      <c r="AB1658">
        <v>27.191676555000001</v>
      </c>
    </row>
    <row r="1659" spans="1:28" hidden="1" x14ac:dyDescent="0.25">
      <c r="A1659" t="s">
        <v>232</v>
      </c>
      <c r="B1659" t="s">
        <v>255</v>
      </c>
      <c r="C1659">
        <v>115</v>
      </c>
      <c r="D1659" t="s">
        <v>3</v>
      </c>
      <c r="E1659">
        <v>10.1472596218</v>
      </c>
      <c r="F1659">
        <v>9.8843327445</v>
      </c>
      <c r="G1659">
        <v>9.8844961477000002</v>
      </c>
      <c r="H1659">
        <v>10.131479568</v>
      </c>
      <c r="I1659">
        <v>10.8457856978</v>
      </c>
      <c r="J1659">
        <v>10.9668311587</v>
      </c>
      <c r="K1659">
        <v>13.0073071014</v>
      </c>
      <c r="L1659">
        <v>14.749450722800001</v>
      </c>
      <c r="M1659">
        <v>15.653084420300001</v>
      </c>
      <c r="N1659">
        <v>16.277959897599999</v>
      </c>
      <c r="O1659">
        <v>16.626980725599999</v>
      </c>
      <c r="P1659">
        <v>16.592949400599998</v>
      </c>
      <c r="Q1659">
        <v>16.3303759667</v>
      </c>
      <c r="R1659">
        <v>16.011090539400001</v>
      </c>
      <c r="S1659">
        <v>15.862766177499999</v>
      </c>
      <c r="T1659">
        <v>15.533046841899999</v>
      </c>
      <c r="U1659">
        <v>15.034454903</v>
      </c>
      <c r="V1659">
        <v>14.6335048812</v>
      </c>
      <c r="W1659">
        <v>14.2176416819</v>
      </c>
      <c r="X1659">
        <v>13.489773962799999</v>
      </c>
      <c r="Y1659">
        <v>13.279894220699999</v>
      </c>
      <c r="Z1659">
        <v>11.6721432602</v>
      </c>
      <c r="AA1659">
        <v>10.8456972263</v>
      </c>
      <c r="AB1659">
        <v>10.439685002799999</v>
      </c>
    </row>
    <row r="1660" spans="1:28" hidden="1" x14ac:dyDescent="0.25">
      <c r="A1660" t="s">
        <v>232</v>
      </c>
      <c r="B1660" t="s">
        <v>255</v>
      </c>
      <c r="C1660">
        <v>115</v>
      </c>
      <c r="D1660" t="s">
        <v>4</v>
      </c>
      <c r="E1660">
        <v>0.39649805999999999</v>
      </c>
      <c r="F1660">
        <v>0.38675973000000002</v>
      </c>
      <c r="G1660">
        <v>0.38679767999999998</v>
      </c>
      <c r="H1660">
        <v>0.39733842000000003</v>
      </c>
      <c r="I1660">
        <v>0.45715085999999999</v>
      </c>
      <c r="J1660">
        <v>0.47861406000000001</v>
      </c>
      <c r="K1660">
        <v>0.50966431499999998</v>
      </c>
      <c r="L1660">
        <v>0.53106092999999999</v>
      </c>
      <c r="M1660">
        <v>0.54750425999999996</v>
      </c>
      <c r="N1660">
        <v>0.56233990499999997</v>
      </c>
      <c r="O1660">
        <v>0.57358843500000001</v>
      </c>
      <c r="P1660">
        <v>0.57562129500000003</v>
      </c>
      <c r="Q1660">
        <v>0.562188825</v>
      </c>
      <c r="R1660">
        <v>0.55732144500000003</v>
      </c>
      <c r="S1660">
        <v>0.54807021</v>
      </c>
      <c r="T1660">
        <v>0.5382342</v>
      </c>
      <c r="U1660">
        <v>0.53111454000000002</v>
      </c>
      <c r="V1660">
        <v>0.53903429999999997</v>
      </c>
      <c r="W1660">
        <v>0.59409219000000002</v>
      </c>
      <c r="X1660">
        <v>0.58992990000000001</v>
      </c>
      <c r="Y1660">
        <v>0.58149200999999995</v>
      </c>
      <c r="Z1660">
        <v>0.50658295499999995</v>
      </c>
      <c r="AA1660">
        <v>0.45037823999999999</v>
      </c>
      <c r="AB1660">
        <v>0.41408644500000003</v>
      </c>
    </row>
    <row r="1661" spans="1:28" hidden="1" x14ac:dyDescent="0.25">
      <c r="A1661" t="s">
        <v>232</v>
      </c>
      <c r="B1661" t="s">
        <v>256</v>
      </c>
      <c r="C1661">
        <v>115</v>
      </c>
      <c r="D1661" t="s">
        <v>2</v>
      </c>
      <c r="E1661">
        <v>18.05771541</v>
      </c>
      <c r="F1661">
        <v>17.424677580000001</v>
      </c>
      <c r="G1661">
        <v>16.863286680000002</v>
      </c>
      <c r="H1661">
        <v>16.480546215</v>
      </c>
      <c r="I1661">
        <v>16.57393308</v>
      </c>
      <c r="J1661">
        <v>15.782011795000001</v>
      </c>
      <c r="K1661">
        <v>15.421329419999999</v>
      </c>
      <c r="L1661">
        <v>16.646625095000001</v>
      </c>
      <c r="M1661">
        <v>18.562349625</v>
      </c>
      <c r="N1661">
        <v>19.354983064999999</v>
      </c>
      <c r="O1661">
        <v>20.235616404999998</v>
      </c>
      <c r="P1661">
        <v>20.896713930000001</v>
      </c>
      <c r="Q1661">
        <v>20.970509145000001</v>
      </c>
      <c r="R1661">
        <v>21.383268470000001</v>
      </c>
      <c r="S1661">
        <v>21.997509545</v>
      </c>
      <c r="T1661">
        <v>22.177082925000001</v>
      </c>
      <c r="U1661">
        <v>22.133998040000002</v>
      </c>
      <c r="V1661">
        <v>21.883843500000001</v>
      </c>
      <c r="W1661">
        <v>23.25848586</v>
      </c>
      <c r="X1661">
        <v>23.490986244999998</v>
      </c>
      <c r="Y1661">
        <v>23.228245375</v>
      </c>
      <c r="Z1661">
        <v>21.27429201</v>
      </c>
      <c r="AA1661">
        <v>20.124889599999999</v>
      </c>
      <c r="AB1661">
        <v>18.876866034999999</v>
      </c>
    </row>
    <row r="1662" spans="1:28" hidden="1" x14ac:dyDescent="0.25">
      <c r="A1662" t="s">
        <v>232</v>
      </c>
      <c r="B1662" t="s">
        <v>256</v>
      </c>
      <c r="C1662">
        <v>115</v>
      </c>
      <c r="D1662" t="s">
        <v>3</v>
      </c>
      <c r="E1662">
        <v>4.9684637692000004</v>
      </c>
      <c r="F1662">
        <v>4.8154472152999999</v>
      </c>
      <c r="G1662">
        <v>4.7071357886999996</v>
      </c>
      <c r="H1662">
        <v>4.5571923265000001</v>
      </c>
      <c r="I1662">
        <v>4.5662559067000004</v>
      </c>
      <c r="J1662">
        <v>4.1871670922000002</v>
      </c>
      <c r="K1662">
        <v>4.3667314678000002</v>
      </c>
      <c r="L1662">
        <v>5.0214803420000003</v>
      </c>
      <c r="M1662">
        <v>5.8640087355999997</v>
      </c>
      <c r="N1662">
        <v>6.3196810171999998</v>
      </c>
      <c r="O1662">
        <v>6.7091107371999996</v>
      </c>
      <c r="P1662">
        <v>6.9760872649000003</v>
      </c>
      <c r="Q1662">
        <v>6.9852538011999998</v>
      </c>
      <c r="R1662">
        <v>7.1370158465999998</v>
      </c>
      <c r="S1662">
        <v>7.2333536895000003</v>
      </c>
      <c r="T1662">
        <v>7.3481094195000001</v>
      </c>
      <c r="U1662">
        <v>7.2813747674</v>
      </c>
      <c r="V1662">
        <v>6.9188888051999999</v>
      </c>
      <c r="W1662">
        <v>6.6254740728000003</v>
      </c>
      <c r="X1662">
        <v>6.3829845129000002</v>
      </c>
      <c r="Y1662">
        <v>6.1608072331999999</v>
      </c>
      <c r="Z1662">
        <v>5.5414634088000003</v>
      </c>
      <c r="AA1662">
        <v>5.2930244423000001</v>
      </c>
      <c r="AB1662">
        <v>5.0302939206000001</v>
      </c>
    </row>
    <row r="1663" spans="1:28" hidden="1" x14ac:dyDescent="0.25">
      <c r="A1663" t="s">
        <v>232</v>
      </c>
      <c r="B1663" t="s">
        <v>256</v>
      </c>
      <c r="C1663">
        <v>115</v>
      </c>
      <c r="D1663" t="s">
        <v>4</v>
      </c>
      <c r="E1663">
        <v>0.27499058999999998</v>
      </c>
      <c r="F1663">
        <v>0.26535041999999998</v>
      </c>
      <c r="G1663">
        <v>0.25680132</v>
      </c>
      <c r="H1663">
        <v>0.25097278499999998</v>
      </c>
      <c r="I1663">
        <v>0.25239492000000002</v>
      </c>
      <c r="J1663">
        <v>0.240335205</v>
      </c>
      <c r="K1663">
        <v>0.23484258</v>
      </c>
      <c r="L1663">
        <v>0.25350190500000003</v>
      </c>
      <c r="M1663">
        <v>0.28267537500000001</v>
      </c>
      <c r="N1663">
        <v>0.29474593500000001</v>
      </c>
      <c r="O1663">
        <v>0.30815659499999998</v>
      </c>
      <c r="P1663">
        <v>0.31822407000000003</v>
      </c>
      <c r="Q1663">
        <v>0.31934785500000001</v>
      </c>
      <c r="R1663">
        <v>0.32563353</v>
      </c>
      <c r="S1663">
        <v>0.33498745499999999</v>
      </c>
      <c r="T1663">
        <v>0.33772207500000001</v>
      </c>
      <c r="U1663">
        <v>0.33706596</v>
      </c>
      <c r="V1663">
        <v>0.33325650000000001</v>
      </c>
      <c r="W1663">
        <v>0.35419013999999999</v>
      </c>
      <c r="X1663">
        <v>0.35773075500000001</v>
      </c>
      <c r="Y1663">
        <v>0.35372962499999999</v>
      </c>
      <c r="Z1663">
        <v>0.32397398999999999</v>
      </c>
      <c r="AA1663">
        <v>0.30647039999999998</v>
      </c>
      <c r="AB1663">
        <v>0.28746496500000002</v>
      </c>
    </row>
    <row r="1664" spans="1:28" hidden="1" x14ac:dyDescent="0.25">
      <c r="A1664" t="s">
        <v>232</v>
      </c>
      <c r="B1664" t="s">
        <v>257</v>
      </c>
      <c r="C1664">
        <v>115</v>
      </c>
      <c r="D1664" t="s">
        <v>2</v>
      </c>
      <c r="E1664">
        <v>41.934694589999999</v>
      </c>
      <c r="F1664">
        <v>41.213025475000002</v>
      </c>
      <c r="G1664">
        <v>39.189328199999999</v>
      </c>
      <c r="H1664">
        <v>36.312598270000002</v>
      </c>
      <c r="I1664">
        <v>37.374068745000002</v>
      </c>
      <c r="J1664">
        <v>41.33705569</v>
      </c>
      <c r="K1664">
        <v>46.631162770000003</v>
      </c>
      <c r="L1664">
        <v>50.690256165000001</v>
      </c>
      <c r="M1664">
        <v>53.154867019999998</v>
      </c>
      <c r="N1664">
        <v>53.983431289999999</v>
      </c>
      <c r="O1664">
        <v>55.846767610000001</v>
      </c>
      <c r="P1664">
        <v>57.251579534999998</v>
      </c>
      <c r="Q1664">
        <v>56.855871545100001</v>
      </c>
      <c r="R1664">
        <v>54.951047025000001</v>
      </c>
      <c r="S1664">
        <v>55.421442640000002</v>
      </c>
      <c r="T1664">
        <v>55.5406434</v>
      </c>
      <c r="U1664">
        <v>53.446028095000003</v>
      </c>
      <c r="V1664">
        <v>52.266266999999999</v>
      </c>
      <c r="W1664">
        <v>53.661293935000003</v>
      </c>
      <c r="X1664">
        <v>53.806294800000003</v>
      </c>
      <c r="Y1664">
        <v>54.392994289999997</v>
      </c>
      <c r="Z1664">
        <v>51.380163955</v>
      </c>
      <c r="AA1664">
        <v>49.979725430000002</v>
      </c>
      <c r="AB1664">
        <v>46.132749814999997</v>
      </c>
    </row>
    <row r="1665" spans="1:28" hidden="1" x14ac:dyDescent="0.25">
      <c r="A1665" t="s">
        <v>232</v>
      </c>
      <c r="B1665" t="s">
        <v>257</v>
      </c>
      <c r="C1665">
        <v>115</v>
      </c>
      <c r="D1665" t="s">
        <v>3</v>
      </c>
      <c r="E1665">
        <v>9.5152511923999992</v>
      </c>
      <c r="F1665">
        <v>9.4334452369000008</v>
      </c>
      <c r="G1665">
        <v>9.6491909262999993</v>
      </c>
      <c r="H1665">
        <v>10.1098896612</v>
      </c>
      <c r="I1665">
        <v>10.490726739199999</v>
      </c>
      <c r="J1665">
        <v>10.1283906939</v>
      </c>
      <c r="K1665">
        <v>11.678714305</v>
      </c>
      <c r="L1665">
        <v>12.2931261585</v>
      </c>
      <c r="M1665">
        <v>13.377541620700001</v>
      </c>
      <c r="N1665">
        <v>13.8728854914</v>
      </c>
      <c r="O1665">
        <v>14.342163426100001</v>
      </c>
      <c r="P1665">
        <v>14.6734705357</v>
      </c>
      <c r="Q1665">
        <v>14.483977551600001</v>
      </c>
      <c r="R1665">
        <v>14.227137427300001</v>
      </c>
      <c r="S1665">
        <v>14.5483542638</v>
      </c>
      <c r="T1665">
        <v>14.2778212464</v>
      </c>
      <c r="U1665">
        <v>13.862490043399999</v>
      </c>
      <c r="V1665">
        <v>13.8166507615</v>
      </c>
      <c r="W1665">
        <v>13.095398063499999</v>
      </c>
      <c r="X1665">
        <v>12.7214600354</v>
      </c>
      <c r="Y1665">
        <v>12.770046198699999</v>
      </c>
      <c r="Z1665">
        <v>11.176277411499999</v>
      </c>
      <c r="AA1665">
        <v>9.7278924730000007</v>
      </c>
      <c r="AB1665">
        <v>9.2633471326999999</v>
      </c>
    </row>
    <row r="1666" spans="1:28" hidden="1" x14ac:dyDescent="0.25">
      <c r="A1666" t="s">
        <v>232</v>
      </c>
      <c r="B1666" t="s">
        <v>257</v>
      </c>
      <c r="C1666">
        <v>115</v>
      </c>
      <c r="D1666" t="s">
        <v>4</v>
      </c>
      <c r="E1666">
        <v>0.63859940999999998</v>
      </c>
      <c r="F1666">
        <v>0.627609525</v>
      </c>
      <c r="G1666">
        <v>0.59679179999999998</v>
      </c>
      <c r="H1666">
        <v>0.55298373000000001</v>
      </c>
      <c r="I1666">
        <v>0.56914825499999999</v>
      </c>
      <c r="J1666">
        <v>0.62949831000000001</v>
      </c>
      <c r="K1666">
        <v>0.71011922999999999</v>
      </c>
      <c r="L1666">
        <v>0.77193283499999998</v>
      </c>
      <c r="M1666">
        <v>0.80946498</v>
      </c>
      <c r="N1666">
        <v>0.82208270999999999</v>
      </c>
      <c r="O1666">
        <v>0.85045839000000001</v>
      </c>
      <c r="P1666">
        <v>0.87185146499999999</v>
      </c>
      <c r="Q1666">
        <v>0.86582545489999996</v>
      </c>
      <c r="R1666">
        <v>0.83681797499999999</v>
      </c>
      <c r="S1666">
        <v>0.84398136000000001</v>
      </c>
      <c r="T1666">
        <v>0.84579660000000001</v>
      </c>
      <c r="U1666">
        <v>0.81389890499999995</v>
      </c>
      <c r="V1666">
        <v>0.795933</v>
      </c>
      <c r="W1666">
        <v>0.81717706499999998</v>
      </c>
      <c r="X1666">
        <v>0.81938520000000004</v>
      </c>
      <c r="Y1666">
        <v>0.82831971000000004</v>
      </c>
      <c r="Z1666">
        <v>0.78243904500000006</v>
      </c>
      <c r="AA1666">
        <v>0.76111256999999999</v>
      </c>
      <c r="AB1666">
        <v>0.70252918499999994</v>
      </c>
    </row>
    <row r="1667" spans="1:28" hidden="1" x14ac:dyDescent="0.25">
      <c r="A1667" t="s">
        <v>232</v>
      </c>
      <c r="B1667" t="s">
        <v>258</v>
      </c>
      <c r="C1667">
        <v>115</v>
      </c>
      <c r="D1667" t="s">
        <v>2</v>
      </c>
      <c r="E1667">
        <v>69.471210780000007</v>
      </c>
      <c r="F1667">
        <v>68.908638865</v>
      </c>
      <c r="G1667">
        <v>66.000137760000001</v>
      </c>
      <c r="H1667">
        <v>60.835867815</v>
      </c>
      <c r="I1667">
        <v>61.224826585000002</v>
      </c>
      <c r="J1667">
        <v>64.207682384999998</v>
      </c>
      <c r="K1667">
        <v>69.139808860000002</v>
      </c>
      <c r="L1667">
        <v>74.583988224999999</v>
      </c>
      <c r="M1667">
        <v>78.623163934999994</v>
      </c>
      <c r="N1667">
        <v>79.761432889999995</v>
      </c>
      <c r="O1667">
        <v>81.362200715</v>
      </c>
      <c r="P1667">
        <v>83.857654874999994</v>
      </c>
      <c r="Q1667">
        <v>83.321326314999993</v>
      </c>
      <c r="R1667">
        <v>80.944671034999999</v>
      </c>
      <c r="S1667">
        <v>82.068475265000004</v>
      </c>
      <c r="T1667">
        <v>81.765751275</v>
      </c>
      <c r="U1667">
        <v>79.571402750000004</v>
      </c>
      <c r="V1667">
        <v>78.016964400000006</v>
      </c>
      <c r="W1667">
        <v>80.615895765000005</v>
      </c>
      <c r="X1667">
        <v>80.945927894999997</v>
      </c>
      <c r="Y1667">
        <v>82.047797160000002</v>
      </c>
      <c r="Z1667">
        <v>74.813286375000004</v>
      </c>
      <c r="AA1667">
        <v>69.089620795000002</v>
      </c>
      <c r="AB1667">
        <v>68.075501239999994</v>
      </c>
    </row>
    <row r="1668" spans="1:28" hidden="1" x14ac:dyDescent="0.25">
      <c r="A1668" t="s">
        <v>232</v>
      </c>
      <c r="B1668" t="s">
        <v>258</v>
      </c>
      <c r="C1668">
        <v>115</v>
      </c>
      <c r="D1668" t="s">
        <v>3</v>
      </c>
      <c r="E1668">
        <v>13.2628088591</v>
      </c>
      <c r="F1668">
        <v>13.017654093799999</v>
      </c>
      <c r="G1668">
        <v>12.931849396700001</v>
      </c>
      <c r="H1668">
        <v>13.20308846</v>
      </c>
      <c r="I1668">
        <v>14.0889521849</v>
      </c>
      <c r="J1668">
        <v>14.559978496099999</v>
      </c>
      <c r="K1668">
        <v>17.358274546600001</v>
      </c>
      <c r="L1668">
        <v>21.142982524200001</v>
      </c>
      <c r="M1668">
        <v>23.8915564357</v>
      </c>
      <c r="N1668">
        <v>24.787204233600001</v>
      </c>
      <c r="O1668">
        <v>25.569103890000001</v>
      </c>
      <c r="P1668">
        <v>27.2159434744</v>
      </c>
      <c r="Q1668">
        <v>26.8144535536</v>
      </c>
      <c r="R1668">
        <v>25.494208116700001</v>
      </c>
      <c r="S1668">
        <v>26.2601753352</v>
      </c>
      <c r="T1668">
        <v>26.2991089139</v>
      </c>
      <c r="U1668">
        <v>24.5423996683</v>
      </c>
      <c r="V1668">
        <v>22.812335741399998</v>
      </c>
      <c r="W1668">
        <v>21.246710485200001</v>
      </c>
      <c r="X1668">
        <v>20.6871517459</v>
      </c>
      <c r="Y1668">
        <v>20.616863758899999</v>
      </c>
      <c r="Z1668">
        <v>17.0111323629</v>
      </c>
      <c r="AA1668">
        <v>14.764316900400001</v>
      </c>
      <c r="AB1668">
        <v>13.951031933699999</v>
      </c>
    </row>
    <row r="1669" spans="1:28" hidden="1" x14ac:dyDescent="0.25">
      <c r="A1669" t="s">
        <v>232</v>
      </c>
      <c r="B1669" t="s">
        <v>258</v>
      </c>
      <c r="C1669">
        <v>115</v>
      </c>
      <c r="D1669" t="s">
        <v>4</v>
      </c>
      <c r="E1669">
        <v>1.0579372199999999</v>
      </c>
      <c r="F1669">
        <v>1.049370135</v>
      </c>
      <c r="G1669">
        <v>1.00507824</v>
      </c>
      <c r="H1669">
        <v>0.92643453519999996</v>
      </c>
      <c r="I1669">
        <v>0.93235776520000002</v>
      </c>
      <c r="J1669">
        <v>0.97778196520000005</v>
      </c>
      <c r="K1669">
        <v>1.0528904902</v>
      </c>
      <c r="L1669">
        <v>1.135796775</v>
      </c>
      <c r="M1669">
        <v>1.1973070649999999</v>
      </c>
      <c r="N1669">
        <v>1.2146411100000001</v>
      </c>
      <c r="O1669">
        <v>1.239018285</v>
      </c>
      <c r="P1669">
        <v>1.277020125</v>
      </c>
      <c r="Q1669">
        <v>1.2688526849999999</v>
      </c>
      <c r="R1669">
        <v>1.2326599650000001</v>
      </c>
      <c r="S1669">
        <v>1.249773735</v>
      </c>
      <c r="T1669">
        <v>1.2451637250000001</v>
      </c>
      <c r="U1669">
        <v>1.2117472499999999</v>
      </c>
      <c r="V1669">
        <v>1.1880755999999999</v>
      </c>
      <c r="W1669">
        <v>1.227653235</v>
      </c>
      <c r="X1669">
        <v>1.2326791050000001</v>
      </c>
      <c r="Y1669">
        <v>1.24945884</v>
      </c>
      <c r="Z1669">
        <v>1.1392886250000001</v>
      </c>
      <c r="AA1669">
        <v>1.052126205</v>
      </c>
      <c r="AB1669">
        <v>1.0366827599999999</v>
      </c>
    </row>
    <row r="1670" spans="1:28" hidden="1" x14ac:dyDescent="0.25">
      <c r="A1670" t="s">
        <v>232</v>
      </c>
      <c r="B1670" t="s">
        <v>259</v>
      </c>
      <c r="C1670">
        <v>58</v>
      </c>
      <c r="D1670" t="s">
        <v>2</v>
      </c>
      <c r="E1670">
        <v>49.613723069999999</v>
      </c>
      <c r="F1670">
        <v>48.826446060000002</v>
      </c>
      <c r="G1670">
        <v>48.494174039999997</v>
      </c>
      <c r="H1670">
        <v>49.040011790000001</v>
      </c>
      <c r="I1670">
        <v>50.368512809999999</v>
      </c>
      <c r="J1670">
        <v>50.367404684999997</v>
      </c>
      <c r="K1670">
        <v>58.821356305000002</v>
      </c>
      <c r="L1670">
        <v>66.112574524999999</v>
      </c>
      <c r="M1670">
        <v>70.942913070000003</v>
      </c>
      <c r="N1670">
        <v>71.684326510000005</v>
      </c>
      <c r="O1670">
        <v>72.304774069999993</v>
      </c>
      <c r="P1670">
        <v>73.7477971</v>
      </c>
      <c r="Q1670">
        <v>72.533289144999998</v>
      </c>
      <c r="R1670">
        <v>70.296945144999995</v>
      </c>
      <c r="S1670">
        <v>70.751710779999996</v>
      </c>
      <c r="T1670">
        <v>70.535746575000005</v>
      </c>
      <c r="U1670">
        <v>67.725338664999995</v>
      </c>
      <c r="V1670">
        <v>64.015553850000003</v>
      </c>
      <c r="W1670">
        <v>63.194568169999997</v>
      </c>
      <c r="X1670">
        <v>61.689175925000001</v>
      </c>
      <c r="Y1670">
        <v>61.435243909999997</v>
      </c>
      <c r="Z1670">
        <v>55.050175455000002</v>
      </c>
      <c r="AA1670">
        <v>50.942220149999997</v>
      </c>
      <c r="AB1670">
        <v>49.856757045000002</v>
      </c>
    </row>
    <row r="1671" spans="1:28" hidden="1" x14ac:dyDescent="0.25">
      <c r="A1671" t="s">
        <v>232</v>
      </c>
      <c r="B1671" t="s">
        <v>259</v>
      </c>
      <c r="C1671">
        <v>58</v>
      </c>
      <c r="D1671" t="s">
        <v>3</v>
      </c>
      <c r="E1671">
        <v>10.713563128300001</v>
      </c>
      <c r="F1671">
        <v>10.3507605252</v>
      </c>
      <c r="G1671">
        <v>9.9431720345999999</v>
      </c>
      <c r="H1671">
        <v>10.021967656399999</v>
      </c>
      <c r="I1671">
        <v>10.723262372800001</v>
      </c>
      <c r="J1671">
        <v>10.1985120757</v>
      </c>
      <c r="K1671">
        <v>14.644034252799999</v>
      </c>
      <c r="L1671">
        <v>20.005325966299999</v>
      </c>
      <c r="M1671">
        <v>23.1562948541</v>
      </c>
      <c r="N1671">
        <v>23.670701858899999</v>
      </c>
      <c r="O1671">
        <v>24.049038198200002</v>
      </c>
      <c r="P1671">
        <v>24.880190146099999</v>
      </c>
      <c r="Q1671">
        <v>24.0790691172</v>
      </c>
      <c r="R1671">
        <v>22.7291297055</v>
      </c>
      <c r="S1671">
        <v>23.149344750800001</v>
      </c>
      <c r="T1671">
        <v>22.856949746400002</v>
      </c>
      <c r="U1671">
        <v>21.059295388500001</v>
      </c>
      <c r="V1671">
        <v>18.546847848100001</v>
      </c>
      <c r="W1671">
        <v>16.774228663599999</v>
      </c>
      <c r="X1671">
        <v>16.146857306299999</v>
      </c>
      <c r="Y1671">
        <v>15.837813108400001</v>
      </c>
      <c r="Z1671">
        <v>13.784836977199999</v>
      </c>
      <c r="AA1671">
        <v>12.499985929299999</v>
      </c>
      <c r="AB1671">
        <v>12.3441309894</v>
      </c>
    </row>
    <row r="1672" spans="1:28" hidden="1" x14ac:dyDescent="0.25">
      <c r="A1672" t="s">
        <v>232</v>
      </c>
      <c r="B1672" t="s">
        <v>259</v>
      </c>
      <c r="C1672">
        <v>58</v>
      </c>
      <c r="D1672" t="s">
        <v>4</v>
      </c>
      <c r="E1672">
        <v>0.75553893000000005</v>
      </c>
      <c r="F1672">
        <v>0.74354993999999996</v>
      </c>
      <c r="G1672">
        <v>0.73848996</v>
      </c>
      <c r="H1672">
        <v>0.74680221000000002</v>
      </c>
      <c r="I1672">
        <v>0.76703319000000003</v>
      </c>
      <c r="J1672">
        <v>0.767016315</v>
      </c>
      <c r="K1672">
        <v>0.89575669499999999</v>
      </c>
      <c r="L1672">
        <v>1.0067904750000001</v>
      </c>
      <c r="M1672">
        <v>1.08034893</v>
      </c>
      <c r="N1672">
        <v>1.0916394899999999</v>
      </c>
      <c r="O1672">
        <v>1.10108793</v>
      </c>
      <c r="P1672">
        <v>1.1230629000000001</v>
      </c>
      <c r="Q1672">
        <v>1.104567855</v>
      </c>
      <c r="R1672">
        <v>1.0705118549999999</v>
      </c>
      <c r="S1672">
        <v>1.07743722</v>
      </c>
      <c r="T1672">
        <v>1.074148425</v>
      </c>
      <c r="U1672">
        <v>1.031350335</v>
      </c>
      <c r="V1672">
        <v>0.97485615000000003</v>
      </c>
      <c r="W1672">
        <v>0.96235382999999997</v>
      </c>
      <c r="X1672">
        <v>0.93942907499999995</v>
      </c>
      <c r="Y1672">
        <v>0.93556209000000001</v>
      </c>
      <c r="Z1672">
        <v>0.83832754499999995</v>
      </c>
      <c r="AA1672">
        <v>0.77576984999999998</v>
      </c>
      <c r="AB1672">
        <v>0.75923995499999997</v>
      </c>
    </row>
    <row r="1673" spans="1:28" hidden="1" x14ac:dyDescent="0.25">
      <c r="A1673" t="s">
        <v>232</v>
      </c>
      <c r="B1673" t="s">
        <v>260</v>
      </c>
      <c r="C1673">
        <v>115</v>
      </c>
      <c r="D1673" t="s">
        <v>2</v>
      </c>
      <c r="E1673">
        <v>24.431909465</v>
      </c>
      <c r="F1673">
        <v>24.291121445000002</v>
      </c>
      <c r="G1673">
        <v>24.21215892</v>
      </c>
      <c r="H1673">
        <v>24.194550074999999</v>
      </c>
      <c r="I1673">
        <v>25.206815859999999</v>
      </c>
      <c r="J1673">
        <v>24.373502904999999</v>
      </c>
      <c r="K1673">
        <v>25.830726680000001</v>
      </c>
      <c r="L1673">
        <v>25.690699080000002</v>
      </c>
      <c r="M1673">
        <v>25.238098475000001</v>
      </c>
      <c r="N1673">
        <v>24.875771149999998</v>
      </c>
      <c r="O1673">
        <v>24.786420815</v>
      </c>
      <c r="P1673">
        <v>25.094110189999999</v>
      </c>
      <c r="Q1673">
        <v>25.254323395</v>
      </c>
      <c r="R1673">
        <v>25.313047125000001</v>
      </c>
      <c r="S1673">
        <v>25.221471675</v>
      </c>
      <c r="T1673">
        <v>25.528673475000002</v>
      </c>
      <c r="U1673">
        <v>25.97596493</v>
      </c>
      <c r="V1673">
        <v>27.195456</v>
      </c>
      <c r="W1673">
        <v>28.194153409999998</v>
      </c>
      <c r="X1673">
        <v>27.927921699999999</v>
      </c>
      <c r="Y1673">
        <v>28.616125440000001</v>
      </c>
      <c r="Z1673">
        <v>26.141473495</v>
      </c>
      <c r="AA1673">
        <v>25.059862724999999</v>
      </c>
      <c r="AB1673">
        <v>24.767861445000001</v>
      </c>
    </row>
    <row r="1674" spans="1:28" hidden="1" x14ac:dyDescent="0.25">
      <c r="A1674" t="s">
        <v>232</v>
      </c>
      <c r="B1674" t="s">
        <v>260</v>
      </c>
      <c r="C1674">
        <v>115</v>
      </c>
      <c r="D1674" t="s">
        <v>3</v>
      </c>
      <c r="E1674">
        <v>6.0728413582999998</v>
      </c>
      <c r="F1674">
        <v>6.1576902847000001</v>
      </c>
      <c r="G1674">
        <v>6.2902809251000003</v>
      </c>
      <c r="H1674">
        <v>6.1300655907000001</v>
      </c>
      <c r="I1674">
        <v>6.2487925670999998</v>
      </c>
      <c r="J1674">
        <v>5.9142140665999996</v>
      </c>
      <c r="K1674">
        <v>6.7096860173000001</v>
      </c>
      <c r="L1674">
        <v>7.0904798037000001</v>
      </c>
      <c r="M1674">
        <v>7.1204128884999998</v>
      </c>
      <c r="N1674">
        <v>7.0910852467999996</v>
      </c>
      <c r="O1674">
        <v>6.8938822196</v>
      </c>
      <c r="P1674">
        <v>7.4091324224999999</v>
      </c>
      <c r="Q1674">
        <v>6.9475400531</v>
      </c>
      <c r="R1674">
        <v>7.1777187910000002</v>
      </c>
      <c r="S1674">
        <v>7.1327533661000002</v>
      </c>
      <c r="T1674">
        <v>7.1423110283</v>
      </c>
      <c r="U1674">
        <v>7.0422330229999996</v>
      </c>
      <c r="V1674">
        <v>7.2458949753999997</v>
      </c>
      <c r="W1674">
        <v>6.9382074181000002</v>
      </c>
      <c r="X1674">
        <v>6.6528444160999998</v>
      </c>
      <c r="Y1674">
        <v>7.1141374907000001</v>
      </c>
      <c r="Z1674">
        <v>6.3725015538000003</v>
      </c>
      <c r="AA1674">
        <v>6.0807588148000002</v>
      </c>
      <c r="AB1674">
        <v>6.4797377340000004</v>
      </c>
    </row>
    <row r="1675" spans="1:28" hidden="1" x14ac:dyDescent="0.25">
      <c r="A1675" t="s">
        <v>232</v>
      </c>
      <c r="B1675" t="s">
        <v>260</v>
      </c>
      <c r="C1675">
        <v>115</v>
      </c>
      <c r="D1675" t="s">
        <v>4</v>
      </c>
      <c r="E1675">
        <v>0.372059535</v>
      </c>
      <c r="F1675">
        <v>0.36991555500000001</v>
      </c>
      <c r="G1675">
        <v>0.36871308000000003</v>
      </c>
      <c r="H1675">
        <v>0.36844492499999998</v>
      </c>
      <c r="I1675">
        <v>0.38386014000000002</v>
      </c>
      <c r="J1675">
        <v>0.37117009499999998</v>
      </c>
      <c r="K1675">
        <v>0.39336132000000001</v>
      </c>
      <c r="L1675">
        <v>0.39122891999999998</v>
      </c>
      <c r="M1675">
        <v>0.38433652499999998</v>
      </c>
      <c r="N1675">
        <v>0.37881884999999998</v>
      </c>
      <c r="O1675">
        <v>0.377458185</v>
      </c>
      <c r="P1675">
        <v>0.38214380999999997</v>
      </c>
      <c r="Q1675">
        <v>0.384583605</v>
      </c>
      <c r="R1675">
        <v>0.38547787500000003</v>
      </c>
      <c r="S1675">
        <v>0.38408332499999998</v>
      </c>
      <c r="T1675">
        <v>0.388761525</v>
      </c>
      <c r="U1675">
        <v>0.39557307000000003</v>
      </c>
      <c r="V1675">
        <v>0.41414400000000001</v>
      </c>
      <c r="W1675">
        <v>0.42935258999999998</v>
      </c>
      <c r="X1675">
        <v>0.42529830000000002</v>
      </c>
      <c r="Y1675">
        <v>0.43577855999999998</v>
      </c>
      <c r="Z1675">
        <v>0.39809350500000001</v>
      </c>
      <c r="AA1675">
        <v>0.38162227500000001</v>
      </c>
      <c r="AB1675">
        <v>0.377175555</v>
      </c>
    </row>
    <row r="1676" spans="1:28" hidden="1" x14ac:dyDescent="0.25">
      <c r="A1676" t="s">
        <v>232</v>
      </c>
      <c r="B1676" t="s">
        <v>261</v>
      </c>
      <c r="C1676">
        <v>34</v>
      </c>
      <c r="D1676" t="s">
        <v>2</v>
      </c>
      <c r="E1676">
        <v>13.794904470000001</v>
      </c>
      <c r="F1676">
        <v>13.05693235</v>
      </c>
      <c r="G1676">
        <v>12.71283552</v>
      </c>
      <c r="H1676">
        <v>12.356297469999999</v>
      </c>
      <c r="I1676">
        <v>12.98910025</v>
      </c>
      <c r="J1676">
        <v>14.311639960000001</v>
      </c>
      <c r="K1676">
        <v>14.89722023</v>
      </c>
      <c r="L1676">
        <v>16.276445769999999</v>
      </c>
      <c r="M1676">
        <v>17.104993579999999</v>
      </c>
      <c r="N1676">
        <v>17.452492199999998</v>
      </c>
      <c r="O1676">
        <v>18.078296430000002</v>
      </c>
      <c r="P1676">
        <v>18.311744390000001</v>
      </c>
      <c r="Q1676">
        <v>18.28787269</v>
      </c>
      <c r="R1676">
        <v>18.05248958</v>
      </c>
      <c r="S1676">
        <v>17.99090816</v>
      </c>
      <c r="T1676">
        <v>17.938709549999999</v>
      </c>
      <c r="U1676">
        <v>17.887356780000001</v>
      </c>
      <c r="V1676">
        <v>18.4539978</v>
      </c>
      <c r="W1676">
        <v>21.350709770000002</v>
      </c>
      <c r="X1676">
        <v>21.846842460000001</v>
      </c>
      <c r="Y1676">
        <v>21.443482509999999</v>
      </c>
      <c r="Z1676">
        <v>18.669749079999999</v>
      </c>
      <c r="AA1676">
        <v>16.199403520000001</v>
      </c>
      <c r="AB1676">
        <v>14.463692310000001</v>
      </c>
    </row>
    <row r="1677" spans="1:28" hidden="1" x14ac:dyDescent="0.25">
      <c r="A1677" t="s">
        <v>232</v>
      </c>
      <c r="B1677" t="s">
        <v>261</v>
      </c>
      <c r="C1677">
        <v>34</v>
      </c>
      <c r="D1677" t="s">
        <v>3</v>
      </c>
      <c r="E1677">
        <v>6.2215042017000002</v>
      </c>
      <c r="F1677">
        <v>5.9884016686999999</v>
      </c>
      <c r="G1677">
        <v>5.8663358797000003</v>
      </c>
      <c r="H1677">
        <v>6.0064584633999996</v>
      </c>
      <c r="I1677">
        <v>6.3423232084999999</v>
      </c>
      <c r="J1677">
        <v>6.0001054846999997</v>
      </c>
      <c r="K1677">
        <v>6.1491529351000001</v>
      </c>
      <c r="L1677">
        <v>6.3014979558000004</v>
      </c>
      <c r="M1677">
        <v>5.7156739638999996</v>
      </c>
      <c r="N1677">
        <v>5.1529153586999996</v>
      </c>
      <c r="O1677">
        <v>4.9255572967000001</v>
      </c>
      <c r="P1677">
        <v>4.4548318030000003</v>
      </c>
      <c r="Q1677">
        <v>4.2740572578</v>
      </c>
      <c r="R1677">
        <v>4.3151672536000003</v>
      </c>
      <c r="S1677">
        <v>4.4631358344000001</v>
      </c>
      <c r="T1677">
        <v>4.5107447397999998</v>
      </c>
      <c r="U1677">
        <v>4.7658663496999996</v>
      </c>
      <c r="V1677">
        <v>5.0692618232999997</v>
      </c>
      <c r="W1677">
        <v>5.5676968480999998</v>
      </c>
      <c r="X1677">
        <v>5.6739204608999998</v>
      </c>
      <c r="Y1677">
        <v>6.0515443774</v>
      </c>
      <c r="Z1677">
        <v>5.6112775553000001</v>
      </c>
      <c r="AA1677">
        <v>5.6044947475000004</v>
      </c>
      <c r="AB1677">
        <v>5.7731222664999997</v>
      </c>
    </row>
    <row r="1678" spans="1:28" hidden="1" x14ac:dyDescent="0.25">
      <c r="A1678" t="s">
        <v>232</v>
      </c>
      <c r="B1678" t="s">
        <v>261</v>
      </c>
      <c r="C1678">
        <v>34</v>
      </c>
      <c r="D1678" t="s">
        <v>4</v>
      </c>
      <c r="E1678">
        <v>0.42664653000000002</v>
      </c>
      <c r="F1678">
        <v>0.40382265000000001</v>
      </c>
      <c r="G1678">
        <v>0.39318048</v>
      </c>
      <c r="H1678">
        <v>0.38215353000000002</v>
      </c>
      <c r="I1678">
        <v>0.40172475000000002</v>
      </c>
      <c r="J1678">
        <v>0.44262804</v>
      </c>
      <c r="K1678">
        <v>0.46073877000000002</v>
      </c>
      <c r="L1678">
        <v>0.50339522999999997</v>
      </c>
      <c r="M1678">
        <v>0.52902042000000005</v>
      </c>
      <c r="N1678">
        <v>0.53976780000000002</v>
      </c>
      <c r="O1678">
        <v>0.55912256999999999</v>
      </c>
      <c r="P1678">
        <v>0.56634260999999997</v>
      </c>
      <c r="Q1678">
        <v>0.56560431</v>
      </c>
      <c r="R1678">
        <v>0.55832442000000004</v>
      </c>
      <c r="S1678">
        <v>0.55641984</v>
      </c>
      <c r="T1678">
        <v>0.55480545000000003</v>
      </c>
      <c r="U1678">
        <v>0.55321721999999995</v>
      </c>
      <c r="V1678">
        <v>0.57074219999999998</v>
      </c>
      <c r="W1678">
        <v>0.66033123000000005</v>
      </c>
      <c r="X1678">
        <v>0.67567553999999996</v>
      </c>
      <c r="Y1678">
        <v>0.66320049000000003</v>
      </c>
      <c r="Z1678">
        <v>0.57741492000000005</v>
      </c>
      <c r="AA1678">
        <v>0.50101247999999998</v>
      </c>
      <c r="AB1678">
        <v>0.44733068999999998</v>
      </c>
    </row>
    <row r="1679" spans="1:28" hidden="1" x14ac:dyDescent="0.25">
      <c r="A1679" t="s">
        <v>232</v>
      </c>
      <c r="B1679" t="s">
        <v>262</v>
      </c>
      <c r="C1679">
        <v>115</v>
      </c>
      <c r="D1679" t="s">
        <v>2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</row>
    <row r="1680" spans="1:28" hidden="1" x14ac:dyDescent="0.25">
      <c r="A1680" t="s">
        <v>232</v>
      </c>
      <c r="B1680" t="s">
        <v>262</v>
      </c>
      <c r="C1680">
        <v>115</v>
      </c>
      <c r="D1680" t="s">
        <v>3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</row>
    <row r="1681" spans="1:28" hidden="1" x14ac:dyDescent="0.25">
      <c r="A1681" t="s">
        <v>232</v>
      </c>
      <c r="B1681" t="s">
        <v>262</v>
      </c>
      <c r="C1681">
        <v>115</v>
      </c>
      <c r="D1681" t="s">
        <v>4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</row>
    <row r="1682" spans="1:28" hidden="1" x14ac:dyDescent="0.25">
      <c r="A1682" t="s">
        <v>232</v>
      </c>
      <c r="B1682" t="s">
        <v>263</v>
      </c>
      <c r="C1682">
        <v>58</v>
      </c>
      <c r="D1682" t="s">
        <v>2</v>
      </c>
      <c r="E1682">
        <v>2.2797115799999998</v>
      </c>
      <c r="F1682">
        <v>2.054186965</v>
      </c>
      <c r="G1682">
        <v>2.03980104</v>
      </c>
      <c r="H1682">
        <v>2.2020226599999999</v>
      </c>
      <c r="I1682">
        <v>2.7372559000000001</v>
      </c>
      <c r="J1682">
        <v>3.2914356150000001</v>
      </c>
      <c r="K1682">
        <v>3.1393417650000002</v>
      </c>
      <c r="L1682">
        <v>3.4359577699999999</v>
      </c>
      <c r="M1682">
        <v>3.5576092099999999</v>
      </c>
      <c r="N1682">
        <v>4.2104071249999997</v>
      </c>
      <c r="O1682">
        <v>4.5949875699999998</v>
      </c>
      <c r="P1682">
        <v>4.2199626099999996</v>
      </c>
      <c r="Q1682">
        <v>4.3959564999999996</v>
      </c>
      <c r="R1682">
        <v>4.1054120349999996</v>
      </c>
      <c r="S1682">
        <v>4.2108887900000003</v>
      </c>
      <c r="T1682">
        <v>4.2221335499999997</v>
      </c>
      <c r="U1682">
        <v>4.1834752550000003</v>
      </c>
      <c r="V1682">
        <v>4.6529725500000003</v>
      </c>
      <c r="W1682">
        <v>6.1526813450000004</v>
      </c>
      <c r="X1682">
        <v>6.531530075</v>
      </c>
      <c r="Y1682">
        <v>5.1643165849999999</v>
      </c>
      <c r="Z1682">
        <v>4.1802808999999996</v>
      </c>
      <c r="AA1682">
        <v>3.1499827200000001</v>
      </c>
      <c r="AB1682">
        <v>2.5843326800000002</v>
      </c>
    </row>
    <row r="1683" spans="1:28" hidden="1" x14ac:dyDescent="0.25">
      <c r="A1683" t="s">
        <v>232</v>
      </c>
      <c r="B1683" t="s">
        <v>263</v>
      </c>
      <c r="C1683">
        <v>58</v>
      </c>
      <c r="D1683" t="s">
        <v>3</v>
      </c>
      <c r="E1683">
        <v>0.44925794790000001</v>
      </c>
      <c r="F1683">
        <v>0.42627570770000001</v>
      </c>
      <c r="G1683">
        <v>0.4354930937</v>
      </c>
      <c r="H1683">
        <v>0.4241479521</v>
      </c>
      <c r="I1683">
        <v>0.43350894359999997</v>
      </c>
      <c r="J1683">
        <v>0.46685697840000001</v>
      </c>
      <c r="K1683">
        <v>0.58050316479999997</v>
      </c>
      <c r="L1683">
        <v>0.78825364470000003</v>
      </c>
      <c r="M1683">
        <v>0.89037591189999998</v>
      </c>
      <c r="N1683">
        <v>1.0687773813999999</v>
      </c>
      <c r="O1683">
        <v>1.1800515139000001</v>
      </c>
      <c r="P1683">
        <v>1.1068687476000001</v>
      </c>
      <c r="Q1683">
        <v>1.1606033950000001</v>
      </c>
      <c r="R1683">
        <v>1.0972478792</v>
      </c>
      <c r="S1683">
        <v>1.1388293631999999</v>
      </c>
      <c r="T1683">
        <v>1.1333409375000001</v>
      </c>
      <c r="U1683">
        <v>1.0918240224</v>
      </c>
      <c r="V1683">
        <v>1.0930399534999999</v>
      </c>
      <c r="W1683">
        <v>1.0895419399999999</v>
      </c>
      <c r="X1683">
        <v>1.0764360965999999</v>
      </c>
      <c r="Y1683">
        <v>0.82932391849999998</v>
      </c>
      <c r="Z1683">
        <v>0.66177199769999995</v>
      </c>
      <c r="AA1683">
        <v>0.50072863320000005</v>
      </c>
      <c r="AB1683">
        <v>0.46175451449999999</v>
      </c>
    </row>
    <row r="1684" spans="1:28" hidden="1" x14ac:dyDescent="0.25">
      <c r="A1684" t="s">
        <v>232</v>
      </c>
      <c r="B1684" t="s">
        <v>263</v>
      </c>
      <c r="C1684">
        <v>58</v>
      </c>
      <c r="D1684" t="s">
        <v>4</v>
      </c>
      <c r="E1684">
        <v>3.4716419999999998E-2</v>
      </c>
      <c r="F1684">
        <v>3.1282035E-2</v>
      </c>
      <c r="G1684">
        <v>3.1062960000000001E-2</v>
      </c>
      <c r="H1684">
        <v>3.3533340000000002E-2</v>
      </c>
      <c r="I1684">
        <v>4.1684100000000002E-2</v>
      </c>
      <c r="J1684">
        <v>5.0123384999999999E-2</v>
      </c>
      <c r="K1684">
        <v>4.7807234999999997E-2</v>
      </c>
      <c r="L1684">
        <v>5.2324229999999999E-2</v>
      </c>
      <c r="M1684">
        <v>5.4176790000000002E-2</v>
      </c>
      <c r="N1684">
        <v>6.4117875000000005E-2</v>
      </c>
      <c r="O1684">
        <v>6.9974430000000004E-2</v>
      </c>
      <c r="P1684">
        <v>6.4263390000000004E-2</v>
      </c>
      <c r="Q1684">
        <v>6.6943500000000003E-2</v>
      </c>
      <c r="R1684">
        <v>6.2518964999999996E-2</v>
      </c>
      <c r="S1684">
        <v>6.4125210000000002E-2</v>
      </c>
      <c r="T1684">
        <v>6.4296450000000005E-2</v>
      </c>
      <c r="U1684">
        <v>6.3707744999999996E-2</v>
      </c>
      <c r="V1684">
        <v>7.0857450000000002E-2</v>
      </c>
      <c r="W1684">
        <v>9.3695655000000003E-2</v>
      </c>
      <c r="X1684">
        <v>9.9464924999999996E-2</v>
      </c>
      <c r="Y1684">
        <v>7.8644414999999995E-2</v>
      </c>
      <c r="Z1684">
        <v>6.3659099999999996E-2</v>
      </c>
      <c r="AA1684">
        <v>4.7969280000000003E-2</v>
      </c>
      <c r="AB1684">
        <v>3.9355319999999999E-2</v>
      </c>
    </row>
    <row r="1685" spans="1:28" hidden="1" x14ac:dyDescent="0.25">
      <c r="A1685" t="s">
        <v>232</v>
      </c>
      <c r="B1685" t="s">
        <v>264</v>
      </c>
      <c r="C1685">
        <v>115</v>
      </c>
      <c r="D1685" t="s">
        <v>2</v>
      </c>
      <c r="E1685">
        <v>40.839833599999999</v>
      </c>
      <c r="F1685">
        <v>40.135655130000004</v>
      </c>
      <c r="G1685">
        <v>40.027602600000002</v>
      </c>
      <c r="H1685">
        <v>40.024183665000002</v>
      </c>
      <c r="I1685">
        <v>41.149074349999999</v>
      </c>
      <c r="J1685">
        <v>41.269538865000001</v>
      </c>
      <c r="K1685">
        <v>50.045885910000003</v>
      </c>
      <c r="L1685">
        <v>56.278625099999999</v>
      </c>
      <c r="M1685">
        <v>59.998033364999998</v>
      </c>
      <c r="N1685">
        <v>61.330162139999999</v>
      </c>
      <c r="O1685">
        <v>62.805521734999999</v>
      </c>
      <c r="P1685">
        <v>64.382639710000007</v>
      </c>
      <c r="Q1685">
        <v>63.449806295000002</v>
      </c>
      <c r="R1685">
        <v>61.712901619999997</v>
      </c>
      <c r="S1685">
        <v>62.154479090000002</v>
      </c>
      <c r="T1685">
        <v>62.004425175000002</v>
      </c>
      <c r="U1685">
        <v>59.806618315000001</v>
      </c>
      <c r="V1685">
        <v>57.811590449999997</v>
      </c>
      <c r="W1685">
        <v>57.492633660000003</v>
      </c>
      <c r="X1685">
        <v>55.833321374999997</v>
      </c>
      <c r="Y1685">
        <v>55.175466470000003</v>
      </c>
      <c r="Z1685">
        <v>47.847532375</v>
      </c>
      <c r="AA1685">
        <v>42.839764795000001</v>
      </c>
      <c r="AB1685">
        <v>41.798775425000002</v>
      </c>
    </row>
    <row r="1686" spans="1:28" hidden="1" x14ac:dyDescent="0.25">
      <c r="A1686" t="s">
        <v>232</v>
      </c>
      <c r="B1686" t="s">
        <v>264</v>
      </c>
      <c r="C1686">
        <v>115</v>
      </c>
      <c r="D1686" t="s">
        <v>3</v>
      </c>
      <c r="E1686">
        <v>8.8573375404999997</v>
      </c>
      <c r="F1686">
        <v>8.7046154100000006</v>
      </c>
      <c r="G1686">
        <v>8.7206501975999995</v>
      </c>
      <c r="H1686">
        <v>8.6646096769999996</v>
      </c>
      <c r="I1686">
        <v>8.8877512958999993</v>
      </c>
      <c r="J1686">
        <v>8.6903710029999992</v>
      </c>
      <c r="K1686">
        <v>10.910678922900001</v>
      </c>
      <c r="L1686">
        <v>13.006131896999999</v>
      </c>
      <c r="M1686">
        <v>14.1936353603</v>
      </c>
      <c r="N1686">
        <v>14.5115873977</v>
      </c>
      <c r="O1686">
        <v>14.788523441200001</v>
      </c>
      <c r="P1686">
        <v>15.4276891197</v>
      </c>
      <c r="Q1686">
        <v>14.9723410614</v>
      </c>
      <c r="R1686">
        <v>14.6417276444</v>
      </c>
      <c r="S1686">
        <v>14.8853028052</v>
      </c>
      <c r="T1686">
        <v>14.8943479471</v>
      </c>
      <c r="U1686">
        <v>14.1099028843</v>
      </c>
      <c r="V1686">
        <v>13.406315659500001</v>
      </c>
      <c r="W1686">
        <v>12.880640084099999</v>
      </c>
      <c r="X1686">
        <v>12.465912039499999</v>
      </c>
      <c r="Y1686">
        <v>12.3668033537</v>
      </c>
      <c r="Z1686">
        <v>10.641360172300001</v>
      </c>
      <c r="AA1686">
        <v>9.3354331371000008</v>
      </c>
      <c r="AB1686">
        <v>9.1660075552000002</v>
      </c>
    </row>
    <row r="1687" spans="1:28" hidden="1" x14ac:dyDescent="0.25">
      <c r="A1687" t="s">
        <v>232</v>
      </c>
      <c r="B1687" t="s">
        <v>264</v>
      </c>
      <c r="C1687">
        <v>115</v>
      </c>
      <c r="D1687" t="s">
        <v>4</v>
      </c>
      <c r="E1687">
        <v>0.62192639999999999</v>
      </c>
      <c r="F1687">
        <v>0.61120286999999995</v>
      </c>
      <c r="G1687">
        <v>0.60955740000000003</v>
      </c>
      <c r="H1687">
        <v>0.60950533500000004</v>
      </c>
      <c r="I1687">
        <v>0.62663564999999999</v>
      </c>
      <c r="J1687">
        <v>0.62847013500000004</v>
      </c>
      <c r="K1687">
        <v>0.76212009000000003</v>
      </c>
      <c r="L1687">
        <v>0.85703490000000004</v>
      </c>
      <c r="M1687">
        <v>0.91367563500000004</v>
      </c>
      <c r="N1687">
        <v>0.93396186000000003</v>
      </c>
      <c r="O1687">
        <v>0.95642926500000003</v>
      </c>
      <c r="P1687">
        <v>0.98044629000000005</v>
      </c>
      <c r="Q1687">
        <v>0.96624070500000003</v>
      </c>
      <c r="R1687">
        <v>0.93979038000000004</v>
      </c>
      <c r="S1687">
        <v>0.94651490999999999</v>
      </c>
      <c r="T1687">
        <v>0.94422982499999997</v>
      </c>
      <c r="U1687">
        <v>0.91076068499999996</v>
      </c>
      <c r="V1687">
        <v>0.88037955000000001</v>
      </c>
      <c r="W1687">
        <v>0.87552233999999995</v>
      </c>
      <c r="X1687">
        <v>0.85025362500000001</v>
      </c>
      <c r="Y1687">
        <v>0.84023552999999995</v>
      </c>
      <c r="Z1687">
        <v>0.72864262499999999</v>
      </c>
      <c r="AA1687">
        <v>0.65238220499999999</v>
      </c>
      <c r="AB1687">
        <v>0.63652957499999996</v>
      </c>
    </row>
    <row r="1688" spans="1:28" hidden="1" x14ac:dyDescent="0.25">
      <c r="A1688" t="s">
        <v>232</v>
      </c>
      <c r="B1688" t="s">
        <v>265</v>
      </c>
      <c r="C1688">
        <v>115</v>
      </c>
      <c r="D1688" t="s">
        <v>2</v>
      </c>
      <c r="E1688">
        <v>5.3543230849999999</v>
      </c>
      <c r="F1688">
        <v>5.0995557900000001</v>
      </c>
      <c r="G1688">
        <v>5.2392149999999997</v>
      </c>
      <c r="H1688">
        <v>5.2903936299999996</v>
      </c>
      <c r="I1688">
        <v>5.8053880749999998</v>
      </c>
      <c r="J1688">
        <v>6.2284091300000002</v>
      </c>
      <c r="K1688">
        <v>6.9395978449999998</v>
      </c>
      <c r="L1688">
        <v>6.8916628199999996</v>
      </c>
      <c r="M1688">
        <v>7.7430318099999997</v>
      </c>
      <c r="N1688">
        <v>7.8408088200000003</v>
      </c>
      <c r="O1688">
        <v>7.6877674000000003</v>
      </c>
      <c r="P1688">
        <v>8.2142587650000003</v>
      </c>
      <c r="Q1688">
        <v>8.3882038550000004</v>
      </c>
      <c r="R1688">
        <v>7.8815129600000002</v>
      </c>
      <c r="S1688">
        <v>7.8734852100000001</v>
      </c>
      <c r="T1688">
        <v>7.2690340500000001</v>
      </c>
      <c r="U1688">
        <v>7.2783925350000001</v>
      </c>
      <c r="V1688">
        <v>7.5424897499999997</v>
      </c>
      <c r="W1688">
        <v>8.3387982249999997</v>
      </c>
      <c r="X1688">
        <v>9.3468452549999999</v>
      </c>
      <c r="Y1688">
        <v>8.8754705499999993</v>
      </c>
      <c r="Z1688">
        <v>7.7325376199999996</v>
      </c>
      <c r="AA1688">
        <v>6.4049644700000004</v>
      </c>
      <c r="AB1688">
        <v>5.9873057550000004</v>
      </c>
    </row>
    <row r="1689" spans="1:28" hidden="1" x14ac:dyDescent="0.25">
      <c r="A1689" t="s">
        <v>232</v>
      </c>
      <c r="B1689" t="s">
        <v>265</v>
      </c>
      <c r="C1689">
        <v>115</v>
      </c>
      <c r="D1689" t="s">
        <v>3</v>
      </c>
      <c r="E1689">
        <v>0.70176767790000005</v>
      </c>
      <c r="F1689">
        <v>0.64276303290000003</v>
      </c>
      <c r="G1689">
        <v>0.64137846549999999</v>
      </c>
      <c r="H1689">
        <v>0.60048099610000005</v>
      </c>
      <c r="I1689">
        <v>0.71792747109999999</v>
      </c>
      <c r="J1689">
        <v>0.7830204905</v>
      </c>
      <c r="K1689">
        <v>0.89861677390000005</v>
      </c>
      <c r="L1689">
        <v>0.98945910969999995</v>
      </c>
      <c r="M1689">
        <v>1.1996370395</v>
      </c>
      <c r="N1689">
        <v>1.2787766098</v>
      </c>
      <c r="O1689">
        <v>1.3240841043</v>
      </c>
      <c r="P1689">
        <v>1.4594655114999999</v>
      </c>
      <c r="Q1689">
        <v>1.4482800058</v>
      </c>
      <c r="R1689">
        <v>1.2989215311</v>
      </c>
      <c r="S1689">
        <v>1.3324789451000001</v>
      </c>
      <c r="T1689">
        <v>1.279469915</v>
      </c>
      <c r="U1689">
        <v>1.2641326880999999</v>
      </c>
      <c r="V1689">
        <v>1.2520705706999999</v>
      </c>
      <c r="W1689">
        <v>1.1396314857000001</v>
      </c>
      <c r="X1689">
        <v>1.1253428301999999</v>
      </c>
      <c r="Y1689">
        <v>1.0403622176</v>
      </c>
      <c r="Z1689">
        <v>0.89555502710000001</v>
      </c>
      <c r="AA1689">
        <v>0.80365041240000001</v>
      </c>
      <c r="AB1689">
        <v>0.74190879949999999</v>
      </c>
    </row>
    <row r="1690" spans="1:28" hidden="1" x14ac:dyDescent="0.25">
      <c r="A1690" t="s">
        <v>232</v>
      </c>
      <c r="B1690" t="s">
        <v>265</v>
      </c>
      <c r="C1690">
        <v>115</v>
      </c>
      <c r="D1690" t="s">
        <v>4</v>
      </c>
      <c r="E1690">
        <v>8.1537915000000002E-2</v>
      </c>
      <c r="F1690">
        <v>7.7658210000000005E-2</v>
      </c>
      <c r="G1690">
        <v>7.9784999999999995E-2</v>
      </c>
      <c r="H1690">
        <v>8.0564369999999996E-2</v>
      </c>
      <c r="I1690">
        <v>8.8406924999999997E-2</v>
      </c>
      <c r="J1690">
        <v>9.4848870000000002E-2</v>
      </c>
      <c r="K1690">
        <v>0.105679155</v>
      </c>
      <c r="L1690">
        <v>0.10494918</v>
      </c>
      <c r="M1690">
        <v>0.11791419</v>
      </c>
      <c r="N1690">
        <v>0.11940318</v>
      </c>
      <c r="O1690">
        <v>0.1170726</v>
      </c>
      <c r="P1690">
        <v>0.12509023499999999</v>
      </c>
      <c r="Q1690">
        <v>0.127739145</v>
      </c>
      <c r="R1690">
        <v>0.12002304</v>
      </c>
      <c r="S1690">
        <v>0.11990078999999999</v>
      </c>
      <c r="T1690">
        <v>0.11069595</v>
      </c>
      <c r="U1690">
        <v>0.110838465</v>
      </c>
      <c r="V1690">
        <v>0.11486025</v>
      </c>
      <c r="W1690">
        <v>0.126986775</v>
      </c>
      <c r="X1690">
        <v>0.14233774499999999</v>
      </c>
      <c r="Y1690">
        <v>0.13515944999999999</v>
      </c>
      <c r="Z1690">
        <v>0.11775438000000001</v>
      </c>
      <c r="AA1690">
        <v>9.7537529999999997E-2</v>
      </c>
      <c r="AB1690">
        <v>9.1177245000000004E-2</v>
      </c>
    </row>
    <row r="1691" spans="1:28" hidden="1" x14ac:dyDescent="0.25">
      <c r="A1691" t="s">
        <v>232</v>
      </c>
      <c r="B1691" t="s">
        <v>266</v>
      </c>
      <c r="C1691">
        <v>115</v>
      </c>
      <c r="D1691" t="s">
        <v>2</v>
      </c>
      <c r="E1691">
        <v>13.648273274999999</v>
      </c>
      <c r="F1691">
        <v>13.661062514999999</v>
      </c>
      <c r="G1691">
        <v>13.663872720000001</v>
      </c>
      <c r="H1691">
        <v>13.696857415</v>
      </c>
      <c r="I1691">
        <v>13.926915985000001</v>
      </c>
      <c r="J1691">
        <v>13.418929815</v>
      </c>
      <c r="K1691">
        <v>13.401869615000001</v>
      </c>
      <c r="L1691">
        <v>13.62535134</v>
      </c>
      <c r="M1691">
        <v>13.623550760000001</v>
      </c>
      <c r="N1691">
        <v>13.619377314999999</v>
      </c>
      <c r="O1691">
        <v>13.69659639</v>
      </c>
      <c r="P1691">
        <v>13.607687335</v>
      </c>
      <c r="Q1691">
        <v>13.5467247</v>
      </c>
      <c r="R1691">
        <v>13.61152588</v>
      </c>
      <c r="S1691">
        <v>13.641526024999999</v>
      </c>
      <c r="T1691">
        <v>13.754579400000001</v>
      </c>
      <c r="U1691">
        <v>13.638982755000001</v>
      </c>
      <c r="V1691">
        <v>14.001410549999999</v>
      </c>
      <c r="W1691">
        <v>14.221032060000001</v>
      </c>
      <c r="X1691">
        <v>13.941438825000001</v>
      </c>
      <c r="Y1691">
        <v>14.285706175</v>
      </c>
      <c r="Z1691">
        <v>13.581005655</v>
      </c>
      <c r="AA1691">
        <v>13.264927034999999</v>
      </c>
      <c r="AB1691">
        <v>13.435320215000001</v>
      </c>
    </row>
    <row r="1692" spans="1:28" hidden="1" x14ac:dyDescent="0.25">
      <c r="A1692" t="s">
        <v>232</v>
      </c>
      <c r="B1692" t="s">
        <v>266</v>
      </c>
      <c r="C1692">
        <v>115</v>
      </c>
      <c r="D1692" t="s">
        <v>3</v>
      </c>
      <c r="E1692">
        <v>5.3593003632</v>
      </c>
      <c r="F1692">
        <v>5.3340738098999996</v>
      </c>
      <c r="G1692">
        <v>5.3299740973</v>
      </c>
      <c r="H1692">
        <v>5.3632269549</v>
      </c>
      <c r="I1692">
        <v>5.3887616707000001</v>
      </c>
      <c r="J1692">
        <v>5.1489144297999996</v>
      </c>
      <c r="K1692">
        <v>5.1809065104999998</v>
      </c>
      <c r="L1692">
        <v>5.2607825958000003</v>
      </c>
      <c r="M1692">
        <v>5.2457329208000001</v>
      </c>
      <c r="N1692">
        <v>5.2436905997999999</v>
      </c>
      <c r="O1692">
        <v>5.2501915934000003</v>
      </c>
      <c r="P1692">
        <v>5.2178549227</v>
      </c>
      <c r="Q1692">
        <v>5.3134342200000004</v>
      </c>
      <c r="R1692">
        <v>5.325938303</v>
      </c>
      <c r="S1692">
        <v>5.3372450027999996</v>
      </c>
      <c r="T1692">
        <v>5.3579403800999996</v>
      </c>
      <c r="U1692">
        <v>5.3124781523999998</v>
      </c>
      <c r="V1692">
        <v>5.4394175208000002</v>
      </c>
      <c r="W1692">
        <v>5.5333221860000004</v>
      </c>
      <c r="X1692">
        <v>5.3748153994000001</v>
      </c>
      <c r="Y1692">
        <v>5.5983181256999996</v>
      </c>
      <c r="Z1692">
        <v>5.3273094087999997</v>
      </c>
      <c r="AA1692">
        <v>5.2096087503000001</v>
      </c>
      <c r="AB1692">
        <v>5.2357079411000003</v>
      </c>
    </row>
    <row r="1693" spans="1:28" hidden="1" x14ac:dyDescent="0.25">
      <c r="A1693" t="s">
        <v>232</v>
      </c>
      <c r="B1693" t="s">
        <v>266</v>
      </c>
      <c r="C1693">
        <v>115</v>
      </c>
      <c r="D1693" t="s">
        <v>4</v>
      </c>
      <c r="E1693">
        <v>0.207841725</v>
      </c>
      <c r="F1693">
        <v>0.20803648499999999</v>
      </c>
      <c r="G1693">
        <v>0.20807928000000001</v>
      </c>
      <c r="H1693">
        <v>0.20858158500000001</v>
      </c>
      <c r="I1693">
        <v>0.21208501499999999</v>
      </c>
      <c r="J1693">
        <v>0.20434918499999999</v>
      </c>
      <c r="K1693">
        <v>0.20408938500000001</v>
      </c>
      <c r="L1693">
        <v>0.20749266</v>
      </c>
      <c r="M1693">
        <v>0.20746524</v>
      </c>
      <c r="N1693">
        <v>0.207401685</v>
      </c>
      <c r="O1693">
        <v>0.20857761</v>
      </c>
      <c r="P1693">
        <v>0.207223665</v>
      </c>
      <c r="Q1693">
        <v>0.20629529999999999</v>
      </c>
      <c r="R1693">
        <v>0.20728211999999999</v>
      </c>
      <c r="S1693">
        <v>0.20773897499999999</v>
      </c>
      <c r="T1693">
        <v>0.2094606</v>
      </c>
      <c r="U1693">
        <v>0.20770024500000001</v>
      </c>
      <c r="V1693">
        <v>0.21321945</v>
      </c>
      <c r="W1693">
        <v>0.21656394000000001</v>
      </c>
      <c r="X1693">
        <v>0.21230617500000001</v>
      </c>
      <c r="Y1693">
        <v>0.217548825</v>
      </c>
      <c r="Z1693">
        <v>0.20681734500000001</v>
      </c>
      <c r="AA1693">
        <v>0.20200396500000001</v>
      </c>
      <c r="AB1693">
        <v>0.20459878500000001</v>
      </c>
    </row>
    <row r="1694" spans="1:28" hidden="1" x14ac:dyDescent="0.25">
      <c r="A1694" t="s">
        <v>232</v>
      </c>
      <c r="B1694" t="s">
        <v>267</v>
      </c>
      <c r="C1694">
        <v>115</v>
      </c>
      <c r="D1694" t="s">
        <v>2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0</v>
      </c>
    </row>
    <row r="1695" spans="1:28" hidden="1" x14ac:dyDescent="0.25">
      <c r="A1695" t="s">
        <v>232</v>
      </c>
      <c r="B1695" t="s">
        <v>267</v>
      </c>
      <c r="C1695">
        <v>115</v>
      </c>
      <c r="D1695" t="s">
        <v>3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</row>
    <row r="1696" spans="1:28" hidden="1" x14ac:dyDescent="0.25">
      <c r="A1696" t="s">
        <v>232</v>
      </c>
      <c r="B1696" t="s">
        <v>267</v>
      </c>
      <c r="C1696">
        <v>115</v>
      </c>
      <c r="D1696" t="s">
        <v>4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</row>
    <row r="1697" spans="1:28" hidden="1" x14ac:dyDescent="0.25">
      <c r="A1697" t="s">
        <v>232</v>
      </c>
      <c r="B1697" t="s">
        <v>268</v>
      </c>
      <c r="C1697">
        <v>115</v>
      </c>
      <c r="D1697" t="s">
        <v>2</v>
      </c>
      <c r="E1697">
        <v>0.32995825499999998</v>
      </c>
      <c r="F1697">
        <v>0.31602838500000002</v>
      </c>
      <c r="G1697">
        <v>0.32133852000000002</v>
      </c>
      <c r="H1697">
        <v>0.33238036999999998</v>
      </c>
      <c r="I1697">
        <v>0.4060761</v>
      </c>
      <c r="J1697">
        <v>0.54013263</v>
      </c>
      <c r="K1697">
        <v>0.60583803999999997</v>
      </c>
      <c r="L1697">
        <v>0.57265929999999998</v>
      </c>
      <c r="M1697">
        <v>0.54410513500000002</v>
      </c>
      <c r="N1697">
        <v>0.53704169999999996</v>
      </c>
      <c r="O1697">
        <v>0.57437320010000004</v>
      </c>
      <c r="P1697">
        <v>0.60929933000000003</v>
      </c>
      <c r="Q1697">
        <v>0.60556519499999995</v>
      </c>
      <c r="R1697">
        <v>0.54885185000000003</v>
      </c>
      <c r="S1697">
        <v>0.48249732499999998</v>
      </c>
      <c r="T1697">
        <v>0.45703507500000001</v>
      </c>
      <c r="U1697">
        <v>0.46957412500000001</v>
      </c>
      <c r="V1697">
        <v>0.5099148</v>
      </c>
      <c r="W1697">
        <v>0.60850738999999998</v>
      </c>
      <c r="X1697">
        <v>0.60810846500000004</v>
      </c>
      <c r="Y1697">
        <v>0.55890870000000004</v>
      </c>
      <c r="Z1697">
        <v>0.45139201000000001</v>
      </c>
      <c r="AA1697">
        <v>0.38499808499999999</v>
      </c>
      <c r="AB1697">
        <v>0.33708670000000002</v>
      </c>
    </row>
    <row r="1698" spans="1:28" hidden="1" x14ac:dyDescent="0.25">
      <c r="A1698" t="s">
        <v>232</v>
      </c>
      <c r="B1698" t="s">
        <v>268</v>
      </c>
      <c r="C1698">
        <v>115</v>
      </c>
      <c r="D1698" t="s">
        <v>3</v>
      </c>
      <c r="E1698">
        <v>3.9043919E-3</v>
      </c>
      <c r="F1698">
        <v>4.2402294E-3</v>
      </c>
      <c r="G1698">
        <v>4.3114768000000001E-3</v>
      </c>
      <c r="H1698">
        <v>1.2081939599999999E-2</v>
      </c>
      <c r="I1698">
        <v>4.0609640000000002E-3</v>
      </c>
      <c r="J1698">
        <v>1.6028245600000001E-2</v>
      </c>
      <c r="K1698">
        <v>1.40812931E-2</v>
      </c>
      <c r="L1698">
        <v>2.1284334799999999E-2</v>
      </c>
      <c r="M1698">
        <v>3.0427688200000001E-2</v>
      </c>
      <c r="N1698">
        <v>3.6407246999999997E-2</v>
      </c>
      <c r="O1698">
        <v>4.01976005E-2</v>
      </c>
      <c r="P1698">
        <v>3.6094037900000001E-2</v>
      </c>
      <c r="Q1698">
        <v>5.60090476E-2</v>
      </c>
      <c r="R1698">
        <v>4.1010913199999999E-2</v>
      </c>
      <c r="S1698">
        <v>3.6762228600000002E-2</v>
      </c>
      <c r="T1698">
        <v>3.5718509500000002E-2</v>
      </c>
      <c r="U1698">
        <v>2.6678237699999999E-2</v>
      </c>
      <c r="V1698">
        <v>2.2935197399999999E-2</v>
      </c>
      <c r="W1698">
        <v>1.49086806E-2</v>
      </c>
      <c r="X1698">
        <v>7.1957399999999999E-3</v>
      </c>
      <c r="Y1698">
        <v>4.3294179000000002E-3</v>
      </c>
      <c r="Z1698">
        <v>1.02953053E-2</v>
      </c>
      <c r="AA1698">
        <v>1.7217808000000001E-3</v>
      </c>
      <c r="AB1698">
        <v>3.3710354999999998E-3</v>
      </c>
    </row>
    <row r="1699" spans="1:28" hidden="1" x14ac:dyDescent="0.25">
      <c r="A1699" t="s">
        <v>232</v>
      </c>
      <c r="B1699" t="s">
        <v>268</v>
      </c>
      <c r="C1699">
        <v>115</v>
      </c>
      <c r="D1699" t="s">
        <v>4</v>
      </c>
      <c r="E1699">
        <v>5.0247449999999997E-3</v>
      </c>
      <c r="F1699">
        <v>4.8126150000000001E-3</v>
      </c>
      <c r="G1699">
        <v>4.8934800000000004E-3</v>
      </c>
      <c r="H1699">
        <v>5.0616300000000001E-3</v>
      </c>
      <c r="I1699">
        <v>6.1839E-3</v>
      </c>
      <c r="J1699">
        <v>8.2253699999999992E-3</v>
      </c>
      <c r="K1699">
        <v>9.2259600000000001E-3</v>
      </c>
      <c r="L1699">
        <v>8.7206999999999996E-3</v>
      </c>
      <c r="M1699">
        <v>8.2858649999999999E-3</v>
      </c>
      <c r="N1699">
        <v>8.1782999999999995E-3</v>
      </c>
      <c r="O1699">
        <v>8.7467998999999994E-3</v>
      </c>
      <c r="P1699">
        <v>9.2786699999999993E-3</v>
      </c>
      <c r="Q1699">
        <v>9.2218049999999996E-3</v>
      </c>
      <c r="R1699">
        <v>8.35815E-3</v>
      </c>
      <c r="S1699">
        <v>7.3476749999999997E-3</v>
      </c>
      <c r="T1699">
        <v>6.9599249999999996E-3</v>
      </c>
      <c r="U1699">
        <v>7.1508750000000001E-3</v>
      </c>
      <c r="V1699">
        <v>7.7651999000000003E-3</v>
      </c>
      <c r="W1699">
        <v>9.2666099999999998E-3</v>
      </c>
      <c r="X1699">
        <v>9.2605350000000003E-3</v>
      </c>
      <c r="Y1699">
        <v>8.5112999999999994E-3</v>
      </c>
      <c r="Z1699">
        <v>6.87399E-3</v>
      </c>
      <c r="AA1699">
        <v>5.8629149000000002E-3</v>
      </c>
      <c r="AB1699">
        <v>5.1333000000000004E-3</v>
      </c>
    </row>
    <row r="1700" spans="1:28" hidden="1" x14ac:dyDescent="0.25">
      <c r="A1700" t="s">
        <v>232</v>
      </c>
      <c r="B1700" t="s">
        <v>269</v>
      </c>
      <c r="C1700">
        <v>115</v>
      </c>
      <c r="D1700" t="s">
        <v>2</v>
      </c>
      <c r="E1700">
        <v>30.146186024999999</v>
      </c>
      <c r="F1700">
        <v>28.528779579999998</v>
      </c>
      <c r="G1700">
        <v>27.844681319999999</v>
      </c>
      <c r="H1700">
        <v>27.753793399999999</v>
      </c>
      <c r="I1700">
        <v>29.839095530000002</v>
      </c>
      <c r="J1700">
        <v>36.155153900000002</v>
      </c>
      <c r="K1700">
        <v>41.545795904999999</v>
      </c>
      <c r="L1700">
        <v>47.037082255000001</v>
      </c>
      <c r="M1700">
        <v>51.041228410000002</v>
      </c>
      <c r="N1700">
        <v>53.38194498</v>
      </c>
      <c r="O1700">
        <v>55.184029074999998</v>
      </c>
      <c r="P1700">
        <v>56.822812974999998</v>
      </c>
      <c r="Q1700">
        <v>57.371722939999998</v>
      </c>
      <c r="R1700">
        <v>55.5438072201</v>
      </c>
      <c r="S1700">
        <v>55.794281884999997</v>
      </c>
      <c r="T1700">
        <v>55.1924262</v>
      </c>
      <c r="U1700">
        <v>53.744847544999999</v>
      </c>
      <c r="V1700">
        <v>52.776181800000003</v>
      </c>
      <c r="W1700">
        <v>55.576963305</v>
      </c>
      <c r="X1700">
        <v>54.684672489999997</v>
      </c>
      <c r="Y1700">
        <v>53.185751695</v>
      </c>
      <c r="Z1700">
        <v>44.628911899999999</v>
      </c>
      <c r="AA1700">
        <v>38.097291204999998</v>
      </c>
      <c r="AB1700">
        <v>33.227136989999998</v>
      </c>
    </row>
    <row r="1701" spans="1:28" hidden="1" x14ac:dyDescent="0.25">
      <c r="A1701" t="s">
        <v>232</v>
      </c>
      <c r="B1701" t="s">
        <v>269</v>
      </c>
      <c r="C1701">
        <v>115</v>
      </c>
      <c r="D1701" t="s">
        <v>3</v>
      </c>
      <c r="E1701">
        <v>7.2810438571000002</v>
      </c>
      <c r="F1701">
        <v>7.0773424734999999</v>
      </c>
      <c r="G1701">
        <v>6.9419362905000002</v>
      </c>
      <c r="H1701">
        <v>6.9581826598000003</v>
      </c>
      <c r="I1701">
        <v>7.1285007062999997</v>
      </c>
      <c r="J1701">
        <v>7.8431111132</v>
      </c>
      <c r="K1701">
        <v>9.9157547140000002</v>
      </c>
      <c r="L1701">
        <v>12.1981788134</v>
      </c>
      <c r="M1701">
        <v>14.2821550331</v>
      </c>
      <c r="N1701">
        <v>15.4035591784</v>
      </c>
      <c r="O1701">
        <v>16.346198323799999</v>
      </c>
      <c r="P1701">
        <v>17.326689336600001</v>
      </c>
      <c r="Q1701">
        <v>17.158416357499998</v>
      </c>
      <c r="R1701">
        <v>16.435744080700001</v>
      </c>
      <c r="S1701">
        <v>16.920882785100002</v>
      </c>
      <c r="T1701">
        <v>16.594604668399999</v>
      </c>
      <c r="U1701">
        <v>15.713036002400001</v>
      </c>
      <c r="V1701">
        <v>14.433074076</v>
      </c>
      <c r="W1701">
        <v>13.4857127203</v>
      </c>
      <c r="X1701">
        <v>12.524769492300001</v>
      </c>
      <c r="Y1701">
        <v>11.9641867796</v>
      </c>
      <c r="Z1701">
        <v>9.8215101649999994</v>
      </c>
      <c r="AA1701">
        <v>8.4267430340999994</v>
      </c>
      <c r="AB1701">
        <v>7.8284280719000003</v>
      </c>
    </row>
    <row r="1702" spans="1:28" hidden="1" x14ac:dyDescent="0.25">
      <c r="A1702" t="s">
        <v>232</v>
      </c>
      <c r="B1702" t="s">
        <v>269</v>
      </c>
      <c r="C1702">
        <v>115</v>
      </c>
      <c r="D1702" t="s">
        <v>4</v>
      </c>
      <c r="E1702">
        <v>0.459078975</v>
      </c>
      <c r="F1702">
        <v>0.43444842</v>
      </c>
      <c r="G1702">
        <v>0.42403067999999999</v>
      </c>
      <c r="H1702">
        <v>0.42264659999999998</v>
      </c>
      <c r="I1702">
        <v>0.45440247</v>
      </c>
      <c r="J1702">
        <v>0.55058609999999997</v>
      </c>
      <c r="K1702">
        <v>0.63267709500000002</v>
      </c>
      <c r="L1702">
        <v>0.71630074499999996</v>
      </c>
      <c r="M1702">
        <v>0.77727758999999996</v>
      </c>
      <c r="N1702">
        <v>0.81292302000000005</v>
      </c>
      <c r="O1702">
        <v>0.84036592499999996</v>
      </c>
      <c r="P1702">
        <v>0.86532202499999999</v>
      </c>
      <c r="Q1702">
        <v>0.87368106000000001</v>
      </c>
      <c r="R1702">
        <v>0.84584477989999995</v>
      </c>
      <c r="S1702">
        <v>0.84965911500000002</v>
      </c>
      <c r="T1702">
        <v>0.84049379999999996</v>
      </c>
      <c r="U1702">
        <v>0.81844945499999999</v>
      </c>
      <c r="V1702">
        <v>0.80369820000000003</v>
      </c>
      <c r="W1702">
        <v>0.84634969500000001</v>
      </c>
      <c r="X1702">
        <v>0.83276150999999998</v>
      </c>
      <c r="Y1702">
        <v>0.80993530499999999</v>
      </c>
      <c r="Z1702">
        <v>0.67962809999999996</v>
      </c>
      <c r="AA1702">
        <v>0.58016179499999998</v>
      </c>
      <c r="AB1702">
        <v>0.50599700999999997</v>
      </c>
    </row>
    <row r="1703" spans="1:28" hidden="1" x14ac:dyDescent="0.25">
      <c r="A1703" t="s">
        <v>232</v>
      </c>
      <c r="B1703" t="s">
        <v>270</v>
      </c>
      <c r="C1703">
        <v>115</v>
      </c>
      <c r="D1703" t="s">
        <v>2</v>
      </c>
      <c r="E1703">
        <v>70.266110705000003</v>
      </c>
      <c r="F1703">
        <v>68.219121134999995</v>
      </c>
      <c r="G1703">
        <v>67.495060440000003</v>
      </c>
      <c r="H1703">
        <v>68.567381674999993</v>
      </c>
      <c r="I1703">
        <v>75.199332499999997</v>
      </c>
      <c r="J1703">
        <v>78.623113700000005</v>
      </c>
      <c r="K1703">
        <v>84.982540635000007</v>
      </c>
      <c r="L1703">
        <v>92.040236039999996</v>
      </c>
      <c r="M1703">
        <v>96.097303289999999</v>
      </c>
      <c r="N1703">
        <v>96.774914339999995</v>
      </c>
      <c r="O1703">
        <v>100.1839757</v>
      </c>
      <c r="P1703">
        <v>102.00123766</v>
      </c>
      <c r="Q1703">
        <v>99.469739395000005</v>
      </c>
      <c r="R1703">
        <v>97.541950584999995</v>
      </c>
      <c r="S1703">
        <v>98.495330115000002</v>
      </c>
      <c r="T1703">
        <v>98.980739099999994</v>
      </c>
      <c r="U1703">
        <v>97.543270484999994</v>
      </c>
      <c r="V1703">
        <v>95.927721750000003</v>
      </c>
      <c r="W1703">
        <v>100.358563995</v>
      </c>
      <c r="X1703">
        <v>101.8017791</v>
      </c>
      <c r="Y1703">
        <v>101.36368163500001</v>
      </c>
      <c r="Z1703">
        <v>88.884935304999999</v>
      </c>
      <c r="AA1703">
        <v>79.537063680000003</v>
      </c>
      <c r="AB1703">
        <v>74.335686469999999</v>
      </c>
    </row>
    <row r="1704" spans="1:28" hidden="1" x14ac:dyDescent="0.25">
      <c r="A1704" t="s">
        <v>232</v>
      </c>
      <c r="B1704" t="s">
        <v>270</v>
      </c>
      <c r="C1704">
        <v>115</v>
      </c>
      <c r="D1704" t="s">
        <v>3</v>
      </c>
      <c r="E1704">
        <v>21.5100222053</v>
      </c>
      <c r="F1704">
        <v>21.503656554599999</v>
      </c>
      <c r="G1704">
        <v>20.845238262599999</v>
      </c>
      <c r="H1704">
        <v>21.209483588200001</v>
      </c>
      <c r="I1704">
        <v>21.8572696807</v>
      </c>
      <c r="J1704">
        <v>21.639017935599998</v>
      </c>
      <c r="K1704">
        <v>25.926026930599999</v>
      </c>
      <c r="L1704">
        <v>32.047524274200001</v>
      </c>
      <c r="M1704">
        <v>36.245007619799999</v>
      </c>
      <c r="N1704">
        <v>36.984105274999997</v>
      </c>
      <c r="O1704">
        <v>38.869575994000002</v>
      </c>
      <c r="P1704">
        <v>40.524904958</v>
      </c>
      <c r="Q1704">
        <v>38.402344108599998</v>
      </c>
      <c r="R1704">
        <v>37.333580805899999</v>
      </c>
      <c r="S1704">
        <v>38.054427933299998</v>
      </c>
      <c r="T1704">
        <v>38.537976839499997</v>
      </c>
      <c r="U1704">
        <v>37.183726471600004</v>
      </c>
      <c r="V1704">
        <v>33.9346831298</v>
      </c>
      <c r="W1704">
        <v>32.007213994600001</v>
      </c>
      <c r="X1704">
        <v>31.3611261498</v>
      </c>
      <c r="Y1704">
        <v>30.8779094197</v>
      </c>
      <c r="Z1704">
        <v>26.468119592200001</v>
      </c>
      <c r="AA1704">
        <v>23.760273249600001</v>
      </c>
      <c r="AB1704">
        <v>23.032317774599999</v>
      </c>
    </row>
    <row r="1705" spans="1:28" hidden="1" x14ac:dyDescent="0.25">
      <c r="A1705" t="s">
        <v>232</v>
      </c>
      <c r="B1705" t="s">
        <v>270</v>
      </c>
      <c r="C1705">
        <v>115</v>
      </c>
      <c r="D1705" t="s">
        <v>4</v>
      </c>
      <c r="E1705">
        <v>1.0700422949999999</v>
      </c>
      <c r="F1705">
        <v>1.0388698649999999</v>
      </c>
      <c r="G1705">
        <v>1.02784356</v>
      </c>
      <c r="H1705">
        <v>1.044173325</v>
      </c>
      <c r="I1705">
        <v>1.1451674999999999</v>
      </c>
      <c r="J1705">
        <v>1.1973062999999999</v>
      </c>
      <c r="K1705">
        <v>1.2941503649999999</v>
      </c>
      <c r="L1705">
        <v>1.4016279599999999</v>
      </c>
      <c r="M1705">
        <v>1.46341071</v>
      </c>
      <c r="N1705">
        <v>1.4737296600000001</v>
      </c>
      <c r="O1705">
        <v>1.5256443</v>
      </c>
      <c r="P1705">
        <v>1.5533183399999999</v>
      </c>
      <c r="Q1705">
        <v>1.5147676050000001</v>
      </c>
      <c r="R1705">
        <v>1.485410415</v>
      </c>
      <c r="S1705">
        <v>1.4999288850000001</v>
      </c>
      <c r="T1705">
        <v>1.5073209000000001</v>
      </c>
      <c r="U1705">
        <v>1.485430515</v>
      </c>
      <c r="V1705">
        <v>1.4608282500000001</v>
      </c>
      <c r="W1705">
        <v>1.5283030049999999</v>
      </c>
      <c r="X1705">
        <v>1.5502809</v>
      </c>
      <c r="Y1705">
        <v>1.543609365</v>
      </c>
      <c r="Z1705">
        <v>1.353577695</v>
      </c>
      <c r="AA1705">
        <v>1.2112243199999999</v>
      </c>
      <c r="AB1705">
        <v>1.1320155300000001</v>
      </c>
    </row>
    <row r="1706" spans="1:28" hidden="1" x14ac:dyDescent="0.25">
      <c r="A1706" t="s">
        <v>232</v>
      </c>
      <c r="B1706" t="s">
        <v>271</v>
      </c>
      <c r="C1706">
        <v>115</v>
      </c>
      <c r="D1706" t="s">
        <v>2</v>
      </c>
      <c r="E1706">
        <v>25.466778045000002</v>
      </c>
      <c r="F1706">
        <v>25.124287635000002</v>
      </c>
      <c r="G1706">
        <v>24.421727520000001</v>
      </c>
      <c r="H1706">
        <v>25.870302994999999</v>
      </c>
      <c r="I1706">
        <v>27.477835800000001</v>
      </c>
      <c r="J1706">
        <v>28.154434269999999</v>
      </c>
      <c r="K1706">
        <v>29.777853154999999</v>
      </c>
      <c r="L1706">
        <v>30.21273558</v>
      </c>
      <c r="M1706">
        <v>30.595439599999999</v>
      </c>
      <c r="N1706">
        <v>31.019528394999998</v>
      </c>
      <c r="O1706">
        <v>31.524263080000001</v>
      </c>
      <c r="P1706">
        <v>32.044636609999998</v>
      </c>
      <c r="Q1706">
        <v>30.771698454999999</v>
      </c>
      <c r="R1706">
        <v>30.933290660000001</v>
      </c>
      <c r="S1706">
        <v>29.607814574999999</v>
      </c>
      <c r="T1706">
        <v>31.078385099999998</v>
      </c>
      <c r="U1706">
        <v>30.607669359999999</v>
      </c>
      <c r="V1706">
        <v>31.7421963</v>
      </c>
      <c r="W1706">
        <v>32.724148710000001</v>
      </c>
      <c r="X1706">
        <v>33.896389329999998</v>
      </c>
      <c r="Y1706">
        <v>34.42877592</v>
      </c>
      <c r="Z1706">
        <v>30.75352028</v>
      </c>
      <c r="AA1706">
        <v>27.387349759999999</v>
      </c>
      <c r="AB1706">
        <v>26.710123844999998</v>
      </c>
    </row>
    <row r="1707" spans="1:28" hidden="1" x14ac:dyDescent="0.25">
      <c r="A1707" t="s">
        <v>232</v>
      </c>
      <c r="B1707" t="s">
        <v>271</v>
      </c>
      <c r="C1707">
        <v>115</v>
      </c>
      <c r="D1707" t="s">
        <v>3</v>
      </c>
      <c r="E1707">
        <v>7.0974343364000001</v>
      </c>
      <c r="F1707">
        <v>7.1231990346999998</v>
      </c>
      <c r="G1707">
        <v>7.0393437164000003</v>
      </c>
      <c r="H1707">
        <v>7.2905438191999998</v>
      </c>
      <c r="I1707">
        <v>7.2844803844000001</v>
      </c>
      <c r="J1707">
        <v>6.5864918038000004</v>
      </c>
      <c r="K1707">
        <v>8.2653815862000002</v>
      </c>
      <c r="L1707">
        <v>9.6269381959999993</v>
      </c>
      <c r="M1707">
        <v>10.0855184216</v>
      </c>
      <c r="N1707">
        <v>10.521112797100001</v>
      </c>
      <c r="O1707">
        <v>10.8545200096</v>
      </c>
      <c r="P1707">
        <v>11.303410210499999</v>
      </c>
      <c r="Q1707">
        <v>10.5084569575</v>
      </c>
      <c r="R1707">
        <v>10.3320912171</v>
      </c>
      <c r="S1707">
        <v>10.1559374698</v>
      </c>
      <c r="T1707">
        <v>10.6956545258</v>
      </c>
      <c r="U1707">
        <v>10.317532074800001</v>
      </c>
      <c r="V1707">
        <v>10.020682513200001</v>
      </c>
      <c r="W1707">
        <v>9.4860717381999997</v>
      </c>
      <c r="X1707">
        <v>9.1421266344000003</v>
      </c>
      <c r="Y1707">
        <v>9.0825359419999998</v>
      </c>
      <c r="Z1707">
        <v>7.9857989943999996</v>
      </c>
      <c r="AA1707">
        <v>7.2008128774999998</v>
      </c>
      <c r="AB1707">
        <v>7.3772354019000002</v>
      </c>
    </row>
    <row r="1708" spans="1:28" hidden="1" x14ac:dyDescent="0.25">
      <c r="A1708" t="s">
        <v>232</v>
      </c>
      <c r="B1708" t="s">
        <v>271</v>
      </c>
      <c r="C1708">
        <v>115</v>
      </c>
      <c r="D1708" t="s">
        <v>4</v>
      </c>
      <c r="E1708">
        <v>0.38781895500000002</v>
      </c>
      <c r="F1708">
        <v>0.38260336499999997</v>
      </c>
      <c r="G1708">
        <v>0.37190447999999998</v>
      </c>
      <c r="H1708">
        <v>0.39396400500000001</v>
      </c>
      <c r="I1708">
        <v>0.41844419999999999</v>
      </c>
      <c r="J1708">
        <v>0.42874772999999999</v>
      </c>
      <c r="K1708">
        <v>0.45346984499999998</v>
      </c>
      <c r="L1708">
        <v>0.46009242</v>
      </c>
      <c r="M1708">
        <v>0.46592040000000001</v>
      </c>
      <c r="N1708">
        <v>0.47237860500000001</v>
      </c>
      <c r="O1708">
        <v>0.48006492000000001</v>
      </c>
      <c r="P1708">
        <v>0.48798939000000002</v>
      </c>
      <c r="Q1708">
        <v>0.46860454499999998</v>
      </c>
      <c r="R1708">
        <v>0.47106534</v>
      </c>
      <c r="S1708">
        <v>0.45088042499999997</v>
      </c>
      <c r="T1708">
        <v>0.4732749</v>
      </c>
      <c r="U1708">
        <v>0.46610664000000002</v>
      </c>
      <c r="V1708">
        <v>0.48338370000000003</v>
      </c>
      <c r="W1708">
        <v>0.49833728999999999</v>
      </c>
      <c r="X1708">
        <v>0.51618867000000002</v>
      </c>
      <c r="Y1708">
        <v>0.52429608000000005</v>
      </c>
      <c r="Z1708">
        <v>0.46832772</v>
      </c>
      <c r="AA1708">
        <v>0.41706623999999998</v>
      </c>
      <c r="AB1708">
        <v>0.40675315499999998</v>
      </c>
    </row>
    <row r="1709" spans="1:28" hidden="1" x14ac:dyDescent="0.25">
      <c r="A1709" t="s">
        <v>232</v>
      </c>
      <c r="B1709" t="s">
        <v>272</v>
      </c>
      <c r="C1709">
        <v>58</v>
      </c>
      <c r="D1709" t="s">
        <v>2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</row>
    <row r="1710" spans="1:28" hidden="1" x14ac:dyDescent="0.25">
      <c r="A1710" t="s">
        <v>232</v>
      </c>
      <c r="B1710" t="s">
        <v>272</v>
      </c>
      <c r="C1710">
        <v>58</v>
      </c>
      <c r="D1710" t="s">
        <v>3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</row>
    <row r="1711" spans="1:28" hidden="1" x14ac:dyDescent="0.25">
      <c r="A1711" t="s">
        <v>232</v>
      </c>
      <c r="B1711" t="s">
        <v>272</v>
      </c>
      <c r="C1711">
        <v>58</v>
      </c>
      <c r="D1711" t="s">
        <v>4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</row>
    <row r="1712" spans="1:28" hidden="1" x14ac:dyDescent="0.25">
      <c r="A1712" t="s">
        <v>232</v>
      </c>
      <c r="B1712" t="s">
        <v>273</v>
      </c>
      <c r="C1712">
        <v>115</v>
      </c>
      <c r="D1712" t="s">
        <v>2</v>
      </c>
      <c r="E1712">
        <v>14.03822394</v>
      </c>
      <c r="F1712">
        <v>14.135105585</v>
      </c>
      <c r="G1712">
        <v>14.320520999999999</v>
      </c>
      <c r="H1712">
        <v>14.458562840000001</v>
      </c>
      <c r="I1712">
        <v>14.67890931</v>
      </c>
      <c r="J1712">
        <v>14.009700309999999</v>
      </c>
      <c r="K1712">
        <v>14.42995844</v>
      </c>
      <c r="L1712">
        <v>14.415226779999999</v>
      </c>
      <c r="M1712">
        <v>14.314145095000001</v>
      </c>
      <c r="N1712">
        <v>11.92232574</v>
      </c>
      <c r="O1712">
        <v>11.95138521</v>
      </c>
      <c r="P1712">
        <v>11.57668924</v>
      </c>
      <c r="Q1712">
        <v>14.197146795</v>
      </c>
      <c r="R1712">
        <v>13.940836989999999</v>
      </c>
      <c r="S1712">
        <v>13.027438610000001</v>
      </c>
      <c r="T1712">
        <v>11.991729825</v>
      </c>
      <c r="U1712">
        <v>12.486392885000001</v>
      </c>
      <c r="V1712">
        <v>12.641637749999999</v>
      </c>
      <c r="W1712">
        <v>14.130882890000001</v>
      </c>
      <c r="X1712">
        <v>13.62612358</v>
      </c>
      <c r="Y1712">
        <v>13.704440930000001</v>
      </c>
      <c r="Z1712">
        <v>14.169777585</v>
      </c>
      <c r="AA1712">
        <v>14.192421749999999</v>
      </c>
      <c r="AB1712">
        <v>14.013184255000001</v>
      </c>
    </row>
    <row r="1713" spans="1:28" hidden="1" x14ac:dyDescent="0.25">
      <c r="A1713" t="s">
        <v>232</v>
      </c>
      <c r="B1713" t="s">
        <v>273</v>
      </c>
      <c r="C1713">
        <v>115</v>
      </c>
      <c r="D1713" t="s">
        <v>3</v>
      </c>
      <c r="E1713">
        <v>6.6740702105</v>
      </c>
      <c r="F1713">
        <v>6.6910412290999997</v>
      </c>
      <c r="G1713">
        <v>6.7636431366999998</v>
      </c>
      <c r="H1713">
        <v>6.8218000043</v>
      </c>
      <c r="I1713">
        <v>6.9085095252000004</v>
      </c>
      <c r="J1713">
        <v>6.564991</v>
      </c>
      <c r="K1713">
        <v>6.7610958266000001</v>
      </c>
      <c r="L1713">
        <v>6.7653763395000004</v>
      </c>
      <c r="M1713">
        <v>6.7035401167000002</v>
      </c>
      <c r="N1713">
        <v>5.6063571133999996</v>
      </c>
      <c r="O1713">
        <v>5.5884292310000001</v>
      </c>
      <c r="P1713">
        <v>5.3982249886</v>
      </c>
      <c r="Q1713">
        <v>6.6622111669999997</v>
      </c>
      <c r="R1713">
        <v>6.5543420572000004</v>
      </c>
      <c r="S1713">
        <v>6.1118123420000003</v>
      </c>
      <c r="T1713">
        <v>5.6324536968999999</v>
      </c>
      <c r="U1713">
        <v>5.8719624991000003</v>
      </c>
      <c r="V1713">
        <v>5.9924042353999996</v>
      </c>
      <c r="W1713">
        <v>6.7019737625999998</v>
      </c>
      <c r="X1713">
        <v>6.4348957641000002</v>
      </c>
      <c r="Y1713">
        <v>6.5052048863999996</v>
      </c>
      <c r="Z1713">
        <v>6.6969096420999996</v>
      </c>
      <c r="AA1713">
        <v>6.7104557551999999</v>
      </c>
      <c r="AB1713">
        <v>6.6425463489999999</v>
      </c>
    </row>
    <row r="1714" spans="1:28" hidden="1" x14ac:dyDescent="0.25">
      <c r="A1714" t="s">
        <v>232</v>
      </c>
      <c r="B1714" t="s">
        <v>273</v>
      </c>
      <c r="C1714">
        <v>115</v>
      </c>
      <c r="D1714" t="s">
        <v>4</v>
      </c>
      <c r="E1714">
        <v>0.21378005999999999</v>
      </c>
      <c r="F1714">
        <v>0.21525541500000001</v>
      </c>
      <c r="G1714">
        <v>0.218079</v>
      </c>
      <c r="H1714">
        <v>0.22018115999999999</v>
      </c>
      <c r="I1714">
        <v>0.22353669000000001</v>
      </c>
      <c r="J1714">
        <v>0.21334569</v>
      </c>
      <c r="K1714">
        <v>0.21974556000000001</v>
      </c>
      <c r="L1714">
        <v>0.21952121999999999</v>
      </c>
      <c r="M1714">
        <v>0.217981905</v>
      </c>
      <c r="N1714">
        <v>0.18155826</v>
      </c>
      <c r="O1714">
        <v>0.18200079</v>
      </c>
      <c r="P1714">
        <v>0.17629475999999999</v>
      </c>
      <c r="Q1714">
        <v>0.21620020500000001</v>
      </c>
      <c r="R1714">
        <v>0.21229701000000001</v>
      </c>
      <c r="S1714">
        <v>0.19838739</v>
      </c>
      <c r="T1714">
        <v>0.18261517499999999</v>
      </c>
      <c r="U1714">
        <v>0.19014811500000001</v>
      </c>
      <c r="V1714">
        <v>0.19251225</v>
      </c>
      <c r="W1714">
        <v>0.21519110999999999</v>
      </c>
      <c r="X1714">
        <v>0.20750441999999999</v>
      </c>
      <c r="Y1714">
        <v>0.20869707000000001</v>
      </c>
      <c r="Z1714">
        <v>0.21578341500000001</v>
      </c>
      <c r="AA1714">
        <v>0.21612824999999999</v>
      </c>
      <c r="AB1714">
        <v>0.213398745</v>
      </c>
    </row>
    <row r="1715" spans="1:28" hidden="1" x14ac:dyDescent="0.25">
      <c r="A1715" t="s">
        <v>232</v>
      </c>
      <c r="B1715" t="s">
        <v>274</v>
      </c>
      <c r="C1715">
        <v>115</v>
      </c>
      <c r="D1715" t="s">
        <v>2</v>
      </c>
      <c r="E1715">
        <v>24.746869125</v>
      </c>
      <c r="F1715">
        <v>23.012640695000002</v>
      </c>
      <c r="G1715">
        <v>22.619437560000001</v>
      </c>
      <c r="H1715">
        <v>22.546495355000001</v>
      </c>
      <c r="I1715">
        <v>24.981218354999999</v>
      </c>
      <c r="J1715">
        <v>31.226440449999998</v>
      </c>
      <c r="K1715">
        <v>36.4971459</v>
      </c>
      <c r="L1715">
        <v>42.041119899999998</v>
      </c>
      <c r="M1715">
        <v>47.04414963</v>
      </c>
      <c r="N1715">
        <v>49.343391789999998</v>
      </c>
      <c r="O1715">
        <v>50.94250186</v>
      </c>
      <c r="P1715">
        <v>52.715684084999999</v>
      </c>
      <c r="Q1715">
        <v>51.719778165000001</v>
      </c>
      <c r="R1715">
        <v>49.04540171</v>
      </c>
      <c r="S1715">
        <v>50.508738395000002</v>
      </c>
      <c r="T1715">
        <v>50.252094675000002</v>
      </c>
      <c r="U1715">
        <v>48.643569974999998</v>
      </c>
      <c r="V1715">
        <v>45.658621050000001</v>
      </c>
      <c r="W1715">
        <v>45.435181679999999</v>
      </c>
      <c r="X1715">
        <v>44.076567240000003</v>
      </c>
      <c r="Y1715">
        <v>43.281889925000002</v>
      </c>
      <c r="Z1715">
        <v>37.112257714999998</v>
      </c>
      <c r="AA1715">
        <v>31.447327685000001</v>
      </c>
      <c r="AB1715">
        <v>27.352194125</v>
      </c>
    </row>
    <row r="1716" spans="1:28" hidden="1" x14ac:dyDescent="0.25">
      <c r="A1716" t="s">
        <v>232</v>
      </c>
      <c r="B1716" t="s">
        <v>274</v>
      </c>
      <c r="C1716">
        <v>115</v>
      </c>
      <c r="D1716" t="s">
        <v>3</v>
      </c>
      <c r="E1716">
        <v>5.7675148680000001</v>
      </c>
      <c r="F1716">
        <v>5.4861480476000004</v>
      </c>
      <c r="G1716">
        <v>5.4150482892999996</v>
      </c>
      <c r="H1716">
        <v>5.3770750617000003</v>
      </c>
      <c r="I1716">
        <v>5.5292364380999999</v>
      </c>
      <c r="J1716">
        <v>6.0113313604999998</v>
      </c>
      <c r="K1716">
        <v>8.4550504859999993</v>
      </c>
      <c r="L1716">
        <v>11.906105825099999</v>
      </c>
      <c r="M1716">
        <v>15.4376092974</v>
      </c>
      <c r="N1716">
        <v>16.609056597599999</v>
      </c>
      <c r="O1716">
        <v>17.398495518200001</v>
      </c>
      <c r="P1716">
        <v>18.562813331299999</v>
      </c>
      <c r="Q1716">
        <v>17.891679313000001</v>
      </c>
      <c r="R1716">
        <v>16.122184312000002</v>
      </c>
      <c r="S1716">
        <v>17.4727383205</v>
      </c>
      <c r="T1716">
        <v>17.8039221015</v>
      </c>
      <c r="U1716">
        <v>16.578018339300002</v>
      </c>
      <c r="V1716">
        <v>13.8074581659</v>
      </c>
      <c r="W1716">
        <v>11.3114419421</v>
      </c>
      <c r="X1716">
        <v>10.2827345594</v>
      </c>
      <c r="Y1716">
        <v>9.8106498482000006</v>
      </c>
      <c r="Z1716">
        <v>8.0378946339000006</v>
      </c>
      <c r="AA1716">
        <v>6.5724794542999998</v>
      </c>
      <c r="AB1716">
        <v>6.0207476239000002</v>
      </c>
    </row>
    <row r="1717" spans="1:28" hidden="1" x14ac:dyDescent="0.25">
      <c r="A1717" t="s">
        <v>232</v>
      </c>
      <c r="B1717" t="s">
        <v>274</v>
      </c>
      <c r="C1717">
        <v>115</v>
      </c>
      <c r="D1717" t="s">
        <v>4</v>
      </c>
      <c r="E1717">
        <v>0.37685587500000001</v>
      </c>
      <c r="F1717">
        <v>0.35044630500000001</v>
      </c>
      <c r="G1717">
        <v>0.34445843999999998</v>
      </c>
      <c r="H1717">
        <v>0.34334764499999998</v>
      </c>
      <c r="I1717">
        <v>0.38042464500000001</v>
      </c>
      <c r="J1717">
        <v>0.47552955000000002</v>
      </c>
      <c r="K1717">
        <v>0.55579409999999996</v>
      </c>
      <c r="L1717">
        <v>0.64022009999999996</v>
      </c>
      <c r="M1717">
        <v>0.71640837000000002</v>
      </c>
      <c r="N1717">
        <v>0.75142220999999998</v>
      </c>
      <c r="O1717">
        <v>0.77577414</v>
      </c>
      <c r="P1717">
        <v>0.80277691500000004</v>
      </c>
      <c r="Q1717">
        <v>0.78761083499999995</v>
      </c>
      <c r="R1717">
        <v>0.74688429000000001</v>
      </c>
      <c r="S1717">
        <v>0.76916860499999995</v>
      </c>
      <c r="T1717">
        <v>0.76526032499999996</v>
      </c>
      <c r="U1717">
        <v>0.74076502499999997</v>
      </c>
      <c r="V1717">
        <v>0.69530895000000004</v>
      </c>
      <c r="W1717">
        <v>0.69190631999999996</v>
      </c>
      <c r="X1717">
        <v>0.67121675999999997</v>
      </c>
      <c r="Y1717">
        <v>0.65911507499999999</v>
      </c>
      <c r="Z1717">
        <v>0.56516128499999996</v>
      </c>
      <c r="AA1717">
        <v>0.47889331499999999</v>
      </c>
      <c r="AB1717">
        <v>0.41653087500000002</v>
      </c>
    </row>
    <row r="1718" spans="1:28" hidden="1" x14ac:dyDescent="0.25">
      <c r="A1718" t="s">
        <v>232</v>
      </c>
      <c r="B1718" t="s">
        <v>275</v>
      </c>
      <c r="C1718">
        <v>110</v>
      </c>
      <c r="D1718" t="s">
        <v>2</v>
      </c>
      <c r="E1718">
        <v>52.598345960000003</v>
      </c>
      <c r="F1718">
        <v>52.259668484999999</v>
      </c>
      <c r="G1718">
        <v>52.657603559999998</v>
      </c>
      <c r="H1718">
        <v>53.083977554999997</v>
      </c>
      <c r="I1718">
        <v>54.564635465000002</v>
      </c>
      <c r="J1718">
        <v>53.034310900000001</v>
      </c>
      <c r="K1718">
        <v>58.270594539999998</v>
      </c>
      <c r="L1718">
        <v>64.118138645000002</v>
      </c>
      <c r="M1718">
        <v>65.794843075000003</v>
      </c>
      <c r="N1718">
        <v>65.132417770000004</v>
      </c>
      <c r="O1718">
        <v>64.837920500099997</v>
      </c>
      <c r="P1718">
        <v>65.646372055100002</v>
      </c>
      <c r="Q1718">
        <v>64.728222035000002</v>
      </c>
      <c r="R1718">
        <v>63.557044230000002</v>
      </c>
      <c r="S1718">
        <v>63.58004004</v>
      </c>
      <c r="T1718">
        <v>63.527875424999998</v>
      </c>
      <c r="U1718">
        <v>61.193994754999999</v>
      </c>
      <c r="V1718">
        <v>61.168529550000002</v>
      </c>
      <c r="W1718">
        <v>60.850689750000001</v>
      </c>
      <c r="X1718">
        <v>60.045031655000003</v>
      </c>
      <c r="Y1718">
        <v>61.323462169999999</v>
      </c>
      <c r="Z1718">
        <v>56.031462005000002</v>
      </c>
      <c r="AA1718">
        <v>53.637205760000001</v>
      </c>
      <c r="AB1718">
        <v>54.431507789999998</v>
      </c>
    </row>
    <row r="1719" spans="1:28" hidden="1" x14ac:dyDescent="0.25">
      <c r="A1719" t="s">
        <v>232</v>
      </c>
      <c r="B1719" t="s">
        <v>275</v>
      </c>
      <c r="C1719">
        <v>110</v>
      </c>
      <c r="D1719" t="s">
        <v>3</v>
      </c>
      <c r="E1719">
        <v>11.4412578821</v>
      </c>
      <c r="F1719">
        <v>11.232996673400001</v>
      </c>
      <c r="G1719">
        <v>10.845910074700001</v>
      </c>
      <c r="H1719">
        <v>11.0619914869</v>
      </c>
      <c r="I1719">
        <v>11.289352405500001</v>
      </c>
      <c r="J1719">
        <v>10.609864908300001</v>
      </c>
      <c r="K1719">
        <v>13.026917173199999</v>
      </c>
      <c r="L1719">
        <v>16.752843996799999</v>
      </c>
      <c r="M1719">
        <v>19.271621608099998</v>
      </c>
      <c r="N1719">
        <v>19.6349898289</v>
      </c>
      <c r="O1719">
        <v>20.127901334099999</v>
      </c>
      <c r="P1719">
        <v>20.147278039700002</v>
      </c>
      <c r="Q1719">
        <v>19.193131209099999</v>
      </c>
      <c r="R1719">
        <v>18.692147001799999</v>
      </c>
      <c r="S1719">
        <v>18.452842001800001</v>
      </c>
      <c r="T1719">
        <v>18.7300049732</v>
      </c>
      <c r="U1719">
        <v>17.051932701199998</v>
      </c>
      <c r="V1719">
        <v>15.784727993700001</v>
      </c>
      <c r="W1719">
        <v>14.406507877199999</v>
      </c>
      <c r="X1719">
        <v>14.1080799661</v>
      </c>
      <c r="Y1719">
        <v>14.428249274200001</v>
      </c>
      <c r="Z1719">
        <v>12.5532794294</v>
      </c>
      <c r="AA1719">
        <v>11.5877104554</v>
      </c>
      <c r="AB1719">
        <v>12.0608432104</v>
      </c>
    </row>
    <row r="1720" spans="1:28" hidden="1" x14ac:dyDescent="0.25">
      <c r="A1720" t="s">
        <v>232</v>
      </c>
      <c r="B1720" t="s">
        <v>275</v>
      </c>
      <c r="C1720">
        <v>110</v>
      </c>
      <c r="D1720" t="s">
        <v>4</v>
      </c>
      <c r="E1720">
        <v>0.80099003999999996</v>
      </c>
      <c r="F1720">
        <v>0.79583251499999996</v>
      </c>
      <c r="G1720">
        <v>0.80189244000000004</v>
      </c>
      <c r="H1720">
        <v>0.80838544499999998</v>
      </c>
      <c r="I1720">
        <v>0.830933535</v>
      </c>
      <c r="J1720">
        <v>0.80762909999999999</v>
      </c>
      <c r="K1720">
        <v>0.88736946000000005</v>
      </c>
      <c r="L1720">
        <v>0.97641835499999996</v>
      </c>
      <c r="M1720">
        <v>1.001951925</v>
      </c>
      <c r="N1720">
        <v>0.99186423000000001</v>
      </c>
      <c r="O1720">
        <v>0.98737949989999996</v>
      </c>
      <c r="P1720">
        <v>0.99969094489999999</v>
      </c>
      <c r="Q1720">
        <v>0.98570896500000005</v>
      </c>
      <c r="R1720">
        <v>0.96787376999999997</v>
      </c>
      <c r="S1720">
        <v>0.96822395999999999</v>
      </c>
      <c r="T1720">
        <v>0.96742957500000004</v>
      </c>
      <c r="U1720">
        <v>0.931888245</v>
      </c>
      <c r="V1720">
        <v>0.93150045000000004</v>
      </c>
      <c r="W1720">
        <v>0.92666024999999996</v>
      </c>
      <c r="X1720">
        <v>0.91439134499999997</v>
      </c>
      <c r="Y1720">
        <v>0.93385982999999995</v>
      </c>
      <c r="Z1720">
        <v>0.85327099500000003</v>
      </c>
      <c r="AA1720">
        <v>0.81681024000000002</v>
      </c>
      <c r="AB1720">
        <v>0.82890620999999998</v>
      </c>
    </row>
    <row r="1721" spans="1:28" hidden="1" x14ac:dyDescent="0.25">
      <c r="A1721" t="s">
        <v>232</v>
      </c>
      <c r="B1721" t="s">
        <v>276</v>
      </c>
      <c r="C1721">
        <v>115</v>
      </c>
      <c r="D1721" t="s">
        <v>2</v>
      </c>
      <c r="E1721">
        <v>1.9947481250000001</v>
      </c>
      <c r="F1721">
        <v>2.01109223</v>
      </c>
      <c r="G1721">
        <v>1.9140598799999999</v>
      </c>
      <c r="H1721">
        <v>2.021983375</v>
      </c>
      <c r="I1721">
        <v>2.015342505</v>
      </c>
      <c r="J1721">
        <v>1.8060694049999999</v>
      </c>
      <c r="K1721">
        <v>1.7991547050000001</v>
      </c>
      <c r="L1721">
        <v>1.915447745</v>
      </c>
      <c r="M1721">
        <v>2.009003045</v>
      </c>
      <c r="N1721">
        <v>1.9763138499999999</v>
      </c>
      <c r="O1721">
        <v>1.9661240250000001</v>
      </c>
      <c r="P1721">
        <v>2.0084317450000002</v>
      </c>
      <c r="Q1721">
        <v>2.0409800850000002</v>
      </c>
      <c r="R1721">
        <v>1.9319583149999999</v>
      </c>
      <c r="S1721">
        <v>1.8422642149999999</v>
      </c>
      <c r="T1721">
        <v>2.0022489000000001</v>
      </c>
      <c r="U1721">
        <v>1.9636723599999999</v>
      </c>
      <c r="V1721">
        <v>2.06090565</v>
      </c>
      <c r="W1721">
        <v>2.0734309099999999</v>
      </c>
      <c r="X1721">
        <v>2.0270265749999998</v>
      </c>
      <c r="Y1721">
        <v>2.0567844100000001</v>
      </c>
      <c r="Z1721">
        <v>1.864444445</v>
      </c>
      <c r="AA1721">
        <v>1.8199904099999999</v>
      </c>
      <c r="AB1721">
        <v>1.8941077200000001</v>
      </c>
    </row>
    <row r="1722" spans="1:28" hidden="1" x14ac:dyDescent="0.25">
      <c r="A1722" t="s">
        <v>232</v>
      </c>
      <c r="B1722" t="s">
        <v>276</v>
      </c>
      <c r="C1722">
        <v>115</v>
      </c>
      <c r="D1722" t="s">
        <v>3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>
        <v>0</v>
      </c>
    </row>
    <row r="1723" spans="1:28" hidden="1" x14ac:dyDescent="0.25">
      <c r="A1723" t="s">
        <v>232</v>
      </c>
      <c r="B1723" t="s">
        <v>276</v>
      </c>
      <c r="C1723">
        <v>115</v>
      </c>
      <c r="D1723" t="s">
        <v>4</v>
      </c>
      <c r="E1723">
        <v>3.0376875000000001E-2</v>
      </c>
      <c r="F1723">
        <v>3.062577E-2</v>
      </c>
      <c r="G1723">
        <v>2.914812E-2</v>
      </c>
      <c r="H1723">
        <v>3.0791625E-2</v>
      </c>
      <c r="I1723">
        <v>3.0690495000000002E-2</v>
      </c>
      <c r="J1723">
        <v>2.7503594999999999E-2</v>
      </c>
      <c r="K1723">
        <v>2.7398295E-2</v>
      </c>
      <c r="L1723">
        <v>2.9169255000000002E-2</v>
      </c>
      <c r="M1723">
        <v>3.0593954999999999E-2</v>
      </c>
      <c r="N1723">
        <v>3.0096149999999999E-2</v>
      </c>
      <c r="O1723">
        <v>2.9940975000000002E-2</v>
      </c>
      <c r="P1723">
        <v>3.0585254999999999E-2</v>
      </c>
      <c r="Q1723">
        <v>3.1080915000000001E-2</v>
      </c>
      <c r="R1723">
        <v>2.9420684999999999E-2</v>
      </c>
      <c r="S1723">
        <v>2.8054784999999999E-2</v>
      </c>
      <c r="T1723">
        <v>3.04911E-2</v>
      </c>
      <c r="U1723">
        <v>2.9903639999999999E-2</v>
      </c>
      <c r="V1723">
        <v>3.1384349999999998E-2</v>
      </c>
      <c r="W1723">
        <v>3.157509E-2</v>
      </c>
      <c r="X1723">
        <v>3.0868425000000001E-2</v>
      </c>
      <c r="Y1723">
        <v>3.1321590000000003E-2</v>
      </c>
      <c r="Z1723">
        <v>2.8392555E-2</v>
      </c>
      <c r="AA1723">
        <v>2.7715589999999998E-2</v>
      </c>
      <c r="AB1723">
        <v>2.884428E-2</v>
      </c>
    </row>
    <row r="1724" spans="1:28" hidden="1" x14ac:dyDescent="0.25">
      <c r="A1724" t="s">
        <v>232</v>
      </c>
      <c r="B1724" t="s">
        <v>277</v>
      </c>
      <c r="C1724">
        <v>115</v>
      </c>
      <c r="D1724" t="s">
        <v>2</v>
      </c>
      <c r="E1724">
        <v>19.30255841</v>
      </c>
      <c r="F1724">
        <v>19.407040315</v>
      </c>
      <c r="G1724">
        <v>19.461937320000001</v>
      </c>
      <c r="H1724">
        <v>19.4442743</v>
      </c>
      <c r="I1724">
        <v>19.687185150000001</v>
      </c>
      <c r="J1724">
        <v>18.75274323</v>
      </c>
      <c r="K1724">
        <v>19.074716089999999</v>
      </c>
      <c r="L1724">
        <v>18.996504134999999</v>
      </c>
      <c r="M1724">
        <v>19.315724905</v>
      </c>
      <c r="N1724">
        <v>19.333501200000001</v>
      </c>
      <c r="O1724">
        <v>19.307782849999999</v>
      </c>
      <c r="P1724">
        <v>19.24934871</v>
      </c>
      <c r="Q1724">
        <v>19.221096939999999</v>
      </c>
      <c r="R1724">
        <v>19.385447145000001</v>
      </c>
      <c r="S1724">
        <v>19.321840770000001</v>
      </c>
      <c r="T1724">
        <v>19.45663605</v>
      </c>
      <c r="U1724">
        <v>19.316556245000001</v>
      </c>
      <c r="V1724">
        <v>19.7591985</v>
      </c>
      <c r="W1724">
        <v>20.035653525000001</v>
      </c>
      <c r="X1724">
        <v>19.639635259999999</v>
      </c>
      <c r="Y1724">
        <v>20.076000109999999</v>
      </c>
      <c r="Z1724">
        <v>19.1154616</v>
      </c>
      <c r="AA1724">
        <v>19.197394885000001</v>
      </c>
      <c r="AB1724">
        <v>19.101590829999999</v>
      </c>
    </row>
    <row r="1725" spans="1:28" hidden="1" x14ac:dyDescent="0.25">
      <c r="A1725" t="s">
        <v>232</v>
      </c>
      <c r="B1725" t="s">
        <v>277</v>
      </c>
      <c r="C1725">
        <v>115</v>
      </c>
      <c r="D1725" t="s">
        <v>3</v>
      </c>
      <c r="E1725">
        <v>9.1034090685999995</v>
      </c>
      <c r="F1725">
        <v>9.1376625098000002</v>
      </c>
      <c r="G1725">
        <v>9.2653966144000002</v>
      </c>
      <c r="H1725">
        <v>9.252548182</v>
      </c>
      <c r="I1725">
        <v>9.1620029394000007</v>
      </c>
      <c r="J1725">
        <v>8.8505547779999993</v>
      </c>
      <c r="K1725">
        <v>8.8896185249999995</v>
      </c>
      <c r="L1725">
        <v>8.9061910302000005</v>
      </c>
      <c r="M1725">
        <v>9.0236331844999995</v>
      </c>
      <c r="N1725">
        <v>9.1290801623999993</v>
      </c>
      <c r="O1725">
        <v>9.0310342475999992</v>
      </c>
      <c r="P1725">
        <v>9.0932031941000009</v>
      </c>
      <c r="Q1725">
        <v>9.1370206798000009</v>
      </c>
      <c r="R1725">
        <v>9.0656879686000007</v>
      </c>
      <c r="S1725">
        <v>9.0703756601999999</v>
      </c>
      <c r="T1725">
        <v>9.1051361580000005</v>
      </c>
      <c r="U1725">
        <v>9.0656758006999993</v>
      </c>
      <c r="V1725">
        <v>9.351019441</v>
      </c>
      <c r="W1725">
        <v>9.3328366096999993</v>
      </c>
      <c r="X1725">
        <v>9.2364734041999998</v>
      </c>
      <c r="Y1725">
        <v>9.3643560225000009</v>
      </c>
      <c r="Z1725">
        <v>9.1282484452000006</v>
      </c>
      <c r="AA1725">
        <v>9.0697602502999999</v>
      </c>
      <c r="AB1725">
        <v>9.0856656324999996</v>
      </c>
    </row>
    <row r="1726" spans="1:28" hidden="1" x14ac:dyDescent="0.25">
      <c r="A1726" t="s">
        <v>232</v>
      </c>
      <c r="B1726" t="s">
        <v>277</v>
      </c>
      <c r="C1726">
        <v>115</v>
      </c>
      <c r="D1726" t="s">
        <v>4</v>
      </c>
      <c r="E1726">
        <v>0.29394758999999998</v>
      </c>
      <c r="F1726">
        <v>0.29553868500000002</v>
      </c>
      <c r="G1726">
        <v>0.29637468</v>
      </c>
      <c r="H1726">
        <v>0.29610570000000003</v>
      </c>
      <c r="I1726">
        <v>0.29980485000000001</v>
      </c>
      <c r="J1726">
        <v>0.28557476999999998</v>
      </c>
      <c r="K1726">
        <v>0.29047791000000001</v>
      </c>
      <c r="L1726">
        <v>0.289286865</v>
      </c>
      <c r="M1726">
        <v>0.294148095</v>
      </c>
      <c r="N1726">
        <v>0.29441879999999998</v>
      </c>
      <c r="O1726">
        <v>0.29402715000000001</v>
      </c>
      <c r="P1726">
        <v>0.29313728999999999</v>
      </c>
      <c r="Q1726">
        <v>0.29270706000000002</v>
      </c>
      <c r="R1726">
        <v>0.29520985500000002</v>
      </c>
      <c r="S1726">
        <v>0.29424123000000002</v>
      </c>
      <c r="T1726">
        <v>0.29629394999999997</v>
      </c>
      <c r="U1726">
        <v>0.294160755</v>
      </c>
      <c r="V1726">
        <v>0.30090149999999999</v>
      </c>
      <c r="W1726">
        <v>0.30511147500000002</v>
      </c>
      <c r="X1726">
        <v>0.29908074000000001</v>
      </c>
      <c r="Y1726">
        <v>0.30572589</v>
      </c>
      <c r="Z1726">
        <v>0.29109839999999998</v>
      </c>
      <c r="AA1726">
        <v>0.29234611500000002</v>
      </c>
      <c r="AB1726">
        <v>0.29088716999999997</v>
      </c>
    </row>
    <row r="1727" spans="1:28" hidden="1" x14ac:dyDescent="0.25">
      <c r="A1727" t="s">
        <v>232</v>
      </c>
      <c r="B1727" t="s">
        <v>278</v>
      </c>
      <c r="C1727">
        <v>115</v>
      </c>
      <c r="D1727" t="s">
        <v>2</v>
      </c>
      <c r="E1727">
        <v>15.103089710000001</v>
      </c>
      <c r="F1727">
        <v>14.135105585</v>
      </c>
      <c r="G1727">
        <v>13.719757680000001</v>
      </c>
      <c r="H1727">
        <v>14.043086884999999</v>
      </c>
      <c r="I1727">
        <v>16.18289596</v>
      </c>
      <c r="J1727">
        <v>17.537444319999999</v>
      </c>
      <c r="K1727">
        <v>17.789605304999998</v>
      </c>
      <c r="L1727">
        <v>18.265869550000001</v>
      </c>
      <c r="M1727">
        <v>18.541422314999998</v>
      </c>
      <c r="N1727">
        <v>18.753495770000001</v>
      </c>
      <c r="O1727">
        <v>19.462421939999999</v>
      </c>
      <c r="P1727">
        <v>19.858648039999999</v>
      </c>
      <c r="Q1727">
        <v>19.736949320000001</v>
      </c>
      <c r="R1727">
        <v>19.604987885</v>
      </c>
      <c r="S1727">
        <v>19.672748004999999</v>
      </c>
      <c r="T1727">
        <v>19.63074465</v>
      </c>
      <c r="U1727">
        <v>19.572686780000002</v>
      </c>
      <c r="V1727">
        <v>19.7591985</v>
      </c>
      <c r="W1727">
        <v>21.816099139999999</v>
      </c>
      <c r="X1727">
        <v>22.590085545000001</v>
      </c>
      <c r="Y1727">
        <v>23.049394984999999</v>
      </c>
      <c r="Z1727">
        <v>20.48926277</v>
      </c>
      <c r="AA1727">
        <v>18.199900159999999</v>
      </c>
      <c r="AB1727">
        <v>16.308584915000001</v>
      </c>
    </row>
    <row r="1728" spans="1:28" hidden="1" x14ac:dyDescent="0.25">
      <c r="A1728" t="s">
        <v>232</v>
      </c>
      <c r="B1728" t="s">
        <v>278</v>
      </c>
      <c r="C1728">
        <v>115</v>
      </c>
      <c r="D1728" t="s">
        <v>3</v>
      </c>
      <c r="E1728">
        <v>5.1956653940999997</v>
      </c>
      <c r="F1728">
        <v>4.9802747529999998</v>
      </c>
      <c r="G1728">
        <v>4.8709679658000002</v>
      </c>
      <c r="H1728">
        <v>4.9592460077</v>
      </c>
      <c r="I1728">
        <v>5.1182243349999998</v>
      </c>
      <c r="J1728">
        <v>5.0591243833000004</v>
      </c>
      <c r="K1728">
        <v>5.5893051394000004</v>
      </c>
      <c r="L1728">
        <v>6.1080671935000002</v>
      </c>
      <c r="M1728">
        <v>6.3382529178000002</v>
      </c>
      <c r="N1728">
        <v>6.4958355721999999</v>
      </c>
      <c r="O1728">
        <v>6.7480511326999997</v>
      </c>
      <c r="P1728">
        <v>7.0009019187000003</v>
      </c>
      <c r="Q1728">
        <v>6.9004422534999996</v>
      </c>
      <c r="R1728">
        <v>6.7880917826999996</v>
      </c>
      <c r="S1728">
        <v>6.9453390226999998</v>
      </c>
      <c r="T1728">
        <v>6.8338973809999999</v>
      </c>
      <c r="U1728">
        <v>6.7862823856999999</v>
      </c>
      <c r="V1728">
        <v>6.6860777794999997</v>
      </c>
      <c r="W1728">
        <v>6.6309902220000003</v>
      </c>
      <c r="X1728">
        <v>6.6237210455</v>
      </c>
      <c r="Y1728">
        <v>6.6976942227</v>
      </c>
      <c r="Z1728">
        <v>6.0290541369000001</v>
      </c>
      <c r="AA1728">
        <v>5.5393650321000001</v>
      </c>
      <c r="AB1728">
        <v>5.3081071640999999</v>
      </c>
    </row>
    <row r="1729" spans="1:28" hidden="1" x14ac:dyDescent="0.25">
      <c r="A1729" t="s">
        <v>232</v>
      </c>
      <c r="B1729" t="s">
        <v>278</v>
      </c>
      <c r="C1729">
        <v>115</v>
      </c>
      <c r="D1729" t="s">
        <v>4</v>
      </c>
      <c r="E1729">
        <v>0.22999628999999999</v>
      </c>
      <c r="F1729">
        <v>0.21525541500000001</v>
      </c>
      <c r="G1729">
        <v>0.20893032</v>
      </c>
      <c r="H1729">
        <v>0.21385411500000001</v>
      </c>
      <c r="I1729">
        <v>0.24644004</v>
      </c>
      <c r="J1729">
        <v>0.26706767999999997</v>
      </c>
      <c r="K1729">
        <v>0.270907695</v>
      </c>
      <c r="L1729">
        <v>0.27816045</v>
      </c>
      <c r="M1729">
        <v>0.282356685</v>
      </c>
      <c r="N1729">
        <v>0.28558623</v>
      </c>
      <c r="O1729">
        <v>0.29638206</v>
      </c>
      <c r="P1729">
        <v>0.30241595999999998</v>
      </c>
      <c r="Q1729">
        <v>0.30056268000000003</v>
      </c>
      <c r="R1729">
        <v>0.29855311499999998</v>
      </c>
      <c r="S1729">
        <v>0.29958499500000002</v>
      </c>
      <c r="T1729">
        <v>0.29894535</v>
      </c>
      <c r="U1729">
        <v>0.29806122000000002</v>
      </c>
      <c r="V1729">
        <v>0.30090149999999999</v>
      </c>
      <c r="W1729">
        <v>0.33222486000000001</v>
      </c>
      <c r="X1729">
        <v>0.34401145500000002</v>
      </c>
      <c r="Y1729">
        <v>0.351006015</v>
      </c>
      <c r="Z1729">
        <v>0.31201922999999998</v>
      </c>
      <c r="AA1729">
        <v>0.27715583999999999</v>
      </c>
      <c r="AB1729">
        <v>0.248354085</v>
      </c>
    </row>
    <row r="1730" spans="1:28" hidden="1" x14ac:dyDescent="0.25">
      <c r="A1730" t="s">
        <v>232</v>
      </c>
      <c r="B1730" t="s">
        <v>279</v>
      </c>
      <c r="C1730">
        <v>115</v>
      </c>
      <c r="D1730" t="s">
        <v>2</v>
      </c>
      <c r="E1730">
        <v>33.820721630000001</v>
      </c>
      <c r="F1730">
        <v>32.163110439999997</v>
      </c>
      <c r="G1730">
        <v>31.75662852</v>
      </c>
      <c r="H1730">
        <v>31.520776179999999</v>
      </c>
      <c r="I1730">
        <v>33.192985069999999</v>
      </c>
      <c r="J1730">
        <v>37.539245364999999</v>
      </c>
      <c r="K1730">
        <v>44.409757280000001</v>
      </c>
      <c r="L1730">
        <v>50.018862435000003</v>
      </c>
      <c r="M1730">
        <v>53.95009692</v>
      </c>
      <c r="N1730">
        <v>55.723446594999999</v>
      </c>
      <c r="O1730">
        <v>57.282700609999999</v>
      </c>
      <c r="P1730">
        <v>58.312211775100003</v>
      </c>
      <c r="Q1730">
        <v>58.964135994999999</v>
      </c>
      <c r="R1730">
        <v>57.278179459999997</v>
      </c>
      <c r="S1730">
        <v>57.1759798</v>
      </c>
      <c r="T1730">
        <v>56.10649635</v>
      </c>
      <c r="U1730">
        <v>54.171732755000001</v>
      </c>
      <c r="V1730">
        <v>53.774764949999998</v>
      </c>
      <c r="W1730">
        <v>56.613678759999999</v>
      </c>
      <c r="X1730">
        <v>55.833321374999997</v>
      </c>
      <c r="Y1730">
        <v>53.945867329999999</v>
      </c>
      <c r="Z1730">
        <v>46.493356345000002</v>
      </c>
      <c r="AA1730">
        <v>41.177273915000001</v>
      </c>
      <c r="AB1730">
        <v>37.063507110000003</v>
      </c>
    </row>
    <row r="1731" spans="1:28" hidden="1" x14ac:dyDescent="0.25">
      <c r="A1731" t="s">
        <v>232</v>
      </c>
      <c r="B1731" t="s">
        <v>279</v>
      </c>
      <c r="C1731">
        <v>115</v>
      </c>
      <c r="D1731" t="s">
        <v>3</v>
      </c>
      <c r="E1731">
        <v>5.5180605846999997</v>
      </c>
      <c r="F1731">
        <v>5.079012337</v>
      </c>
      <c r="G1731">
        <v>4.9792328734</v>
      </c>
      <c r="H1731">
        <v>4.8284483908000002</v>
      </c>
      <c r="I1731">
        <v>4.9597751171000004</v>
      </c>
      <c r="J1731">
        <v>5.6169893142999996</v>
      </c>
      <c r="K1731">
        <v>8.0487948768000006</v>
      </c>
      <c r="L1731">
        <v>10.2454063736</v>
      </c>
      <c r="M1731">
        <v>11.951555987900001</v>
      </c>
      <c r="N1731">
        <v>12.694231492</v>
      </c>
      <c r="O1731">
        <v>13.5775273502</v>
      </c>
      <c r="P1731">
        <v>14.305809245200001</v>
      </c>
      <c r="Q1731">
        <v>14.5964410594</v>
      </c>
      <c r="R1731">
        <v>14.103025362</v>
      </c>
      <c r="S1731">
        <v>14.006690711499999</v>
      </c>
      <c r="T1731">
        <v>13.5435058146</v>
      </c>
      <c r="U1731">
        <v>12.800401068999999</v>
      </c>
      <c r="V1731">
        <v>12.135246452900001</v>
      </c>
      <c r="W1731">
        <v>11.388816760699999</v>
      </c>
      <c r="X1731">
        <v>10.690006584100001</v>
      </c>
      <c r="Y1731">
        <v>9.8238775362999995</v>
      </c>
      <c r="Z1731">
        <v>7.9454005041000002</v>
      </c>
      <c r="AA1731">
        <v>6.7966640694000002</v>
      </c>
      <c r="AB1731">
        <v>6.2633428489999998</v>
      </c>
    </row>
    <row r="1732" spans="1:28" hidden="1" x14ac:dyDescent="0.25">
      <c r="A1732" t="s">
        <v>232</v>
      </c>
      <c r="B1732" t="s">
        <v>279</v>
      </c>
      <c r="C1732">
        <v>115</v>
      </c>
      <c r="D1732" t="s">
        <v>4</v>
      </c>
      <c r="E1732">
        <v>0.51503637000000002</v>
      </c>
      <c r="F1732">
        <v>0.48979356000000002</v>
      </c>
      <c r="G1732">
        <v>0.48360347999999997</v>
      </c>
      <c r="H1732">
        <v>0.48001181999999998</v>
      </c>
      <c r="I1732">
        <v>0.50547693000000005</v>
      </c>
      <c r="J1732">
        <v>0.57166363499999995</v>
      </c>
      <c r="K1732">
        <v>0.67629072000000001</v>
      </c>
      <c r="L1732">
        <v>0.76170856499999995</v>
      </c>
      <c r="M1732">
        <v>0.82157508000000001</v>
      </c>
      <c r="N1732">
        <v>0.84858040499999998</v>
      </c>
      <c r="O1732">
        <v>0.87232538999999998</v>
      </c>
      <c r="P1732">
        <v>0.88800322490000005</v>
      </c>
      <c r="Q1732">
        <v>0.897931005</v>
      </c>
      <c r="R1732">
        <v>0.87225653999999997</v>
      </c>
      <c r="S1732">
        <v>0.87070020000000004</v>
      </c>
      <c r="T1732">
        <v>0.85441365000000002</v>
      </c>
      <c r="U1732">
        <v>0.82495024500000003</v>
      </c>
      <c r="V1732">
        <v>0.81890505000000002</v>
      </c>
      <c r="W1732">
        <v>0.86213724000000003</v>
      </c>
      <c r="X1732">
        <v>0.85025362500000001</v>
      </c>
      <c r="Y1732">
        <v>0.82151067</v>
      </c>
      <c r="Z1732">
        <v>0.708020655</v>
      </c>
      <c r="AA1732">
        <v>0.62706508500000002</v>
      </c>
      <c r="AB1732">
        <v>0.56441889000000001</v>
      </c>
    </row>
    <row r="1733" spans="1:28" hidden="1" x14ac:dyDescent="0.25">
      <c r="A1733" t="s">
        <v>232</v>
      </c>
      <c r="B1733" t="s">
        <v>280</v>
      </c>
      <c r="C1733">
        <v>115</v>
      </c>
      <c r="D1733" t="s">
        <v>2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>
        <v>0</v>
      </c>
    </row>
    <row r="1734" spans="1:28" hidden="1" x14ac:dyDescent="0.25">
      <c r="A1734" t="s">
        <v>232</v>
      </c>
      <c r="B1734" t="s">
        <v>280</v>
      </c>
      <c r="C1734">
        <v>115</v>
      </c>
      <c r="D1734" t="s">
        <v>3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</row>
    <row r="1735" spans="1:28" hidden="1" x14ac:dyDescent="0.25">
      <c r="A1735" t="s">
        <v>232</v>
      </c>
      <c r="B1735" t="s">
        <v>280</v>
      </c>
      <c r="C1735">
        <v>115</v>
      </c>
      <c r="D1735" t="s">
        <v>4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</row>
    <row r="1736" spans="1:28" hidden="1" x14ac:dyDescent="0.25">
      <c r="A1736" t="s">
        <v>232</v>
      </c>
      <c r="B1736" t="s">
        <v>281</v>
      </c>
      <c r="C1736">
        <v>58</v>
      </c>
      <c r="D1736" t="s">
        <v>2</v>
      </c>
      <c r="E1736">
        <v>12.718390919999999</v>
      </c>
      <c r="F1736">
        <v>12.25329756</v>
      </c>
      <c r="G1736">
        <v>12.05718012</v>
      </c>
      <c r="H1736">
        <v>12.062651795000001</v>
      </c>
      <c r="I1736">
        <v>12.573328</v>
      </c>
      <c r="J1736">
        <v>13.48644664</v>
      </c>
      <c r="K1736">
        <v>16.339265695000002</v>
      </c>
      <c r="L1736">
        <v>20.062836570000002</v>
      </c>
      <c r="M1736">
        <v>24.108034570000001</v>
      </c>
      <c r="N1736">
        <v>26.74467666</v>
      </c>
      <c r="O1736">
        <v>27.702470959999999</v>
      </c>
      <c r="P1736">
        <v>28.343706945000001</v>
      </c>
      <c r="Q1736">
        <v>28.349436690000001</v>
      </c>
      <c r="R1736">
        <v>27.596271215000002</v>
      </c>
      <c r="S1736">
        <v>27.633960269999999</v>
      </c>
      <c r="T1736">
        <v>27.291523049999999</v>
      </c>
      <c r="U1736">
        <v>25.933277</v>
      </c>
      <c r="V1736">
        <v>23.881009800000001</v>
      </c>
      <c r="W1736">
        <v>22.018935265</v>
      </c>
      <c r="X1736">
        <v>19.436933095000001</v>
      </c>
      <c r="Y1736">
        <v>18.33220536</v>
      </c>
      <c r="Z1736">
        <v>15.877215984999999</v>
      </c>
      <c r="AA1736">
        <v>14.34992128</v>
      </c>
      <c r="AB1736">
        <v>13.33900987</v>
      </c>
    </row>
    <row r="1737" spans="1:28" hidden="1" x14ac:dyDescent="0.25">
      <c r="A1737" t="s">
        <v>232</v>
      </c>
      <c r="B1737" t="s">
        <v>281</v>
      </c>
      <c r="C1737">
        <v>58</v>
      </c>
      <c r="D1737" t="s">
        <v>3</v>
      </c>
      <c r="E1737">
        <v>1.5622736672999999</v>
      </c>
      <c r="F1737">
        <v>1.565212373</v>
      </c>
      <c r="G1737">
        <v>1.4910598088</v>
      </c>
      <c r="H1737">
        <v>1.5360145634</v>
      </c>
      <c r="I1737">
        <v>1.4923173803000001</v>
      </c>
      <c r="J1737">
        <v>1.6700405932</v>
      </c>
      <c r="K1737">
        <v>2.3116186868000002</v>
      </c>
      <c r="L1737">
        <v>3.6280331713999998</v>
      </c>
      <c r="M1737">
        <v>4.9330601152</v>
      </c>
      <c r="N1737">
        <v>5.7126086107000003</v>
      </c>
      <c r="O1737">
        <v>5.9379605051000004</v>
      </c>
      <c r="P1737">
        <v>6.4850510441999996</v>
      </c>
      <c r="Q1737">
        <v>6.3391367053999996</v>
      </c>
      <c r="R1737">
        <v>5.9755264984999998</v>
      </c>
      <c r="S1737">
        <v>6.1525085458</v>
      </c>
      <c r="T1737">
        <v>6.0868039652999997</v>
      </c>
      <c r="U1737">
        <v>5.4871553798999999</v>
      </c>
      <c r="V1737">
        <v>4.5180618942999997</v>
      </c>
      <c r="W1737">
        <v>3.6676088138999998</v>
      </c>
      <c r="X1737">
        <v>3.0591346438000002</v>
      </c>
      <c r="Y1737">
        <v>2.8414557840999999</v>
      </c>
      <c r="Z1737">
        <v>2.3558822704</v>
      </c>
      <c r="AA1737">
        <v>1.9922229199000001</v>
      </c>
      <c r="AB1737">
        <v>1.8774169543000001</v>
      </c>
    </row>
    <row r="1738" spans="1:28" hidden="1" x14ac:dyDescent="0.25">
      <c r="A1738" t="s">
        <v>232</v>
      </c>
      <c r="B1738" t="s">
        <v>281</v>
      </c>
      <c r="C1738">
        <v>58</v>
      </c>
      <c r="D1738" t="s">
        <v>4</v>
      </c>
      <c r="E1738">
        <v>0.19368108000000001</v>
      </c>
      <c r="F1738">
        <v>0.18659844</v>
      </c>
      <c r="G1738">
        <v>0.18361188000000001</v>
      </c>
      <c r="H1738">
        <v>0.183695205</v>
      </c>
      <c r="I1738">
        <v>0.191472</v>
      </c>
      <c r="J1738">
        <v>0.20537736000000001</v>
      </c>
      <c r="K1738">
        <v>0.24882130499999999</v>
      </c>
      <c r="L1738">
        <v>0.30552542999999999</v>
      </c>
      <c r="M1738">
        <v>0.36712742999999998</v>
      </c>
      <c r="N1738">
        <v>0.40727933999999999</v>
      </c>
      <c r="O1738">
        <v>0.42186504000000002</v>
      </c>
      <c r="P1738">
        <v>0.43163005500000001</v>
      </c>
      <c r="Q1738">
        <v>0.43171731000000002</v>
      </c>
      <c r="R1738">
        <v>0.42024778499999998</v>
      </c>
      <c r="S1738">
        <v>0.42082173</v>
      </c>
      <c r="T1738">
        <v>0.41560694999999998</v>
      </c>
      <c r="U1738">
        <v>0.39492300000000002</v>
      </c>
      <c r="V1738">
        <v>0.3636702</v>
      </c>
      <c r="W1738">
        <v>0.335313735</v>
      </c>
      <c r="X1738">
        <v>0.295993905</v>
      </c>
      <c r="Y1738">
        <v>0.27917064000000003</v>
      </c>
      <c r="Z1738">
        <v>0.24178501499999999</v>
      </c>
      <c r="AA1738">
        <v>0.21852672000000001</v>
      </c>
      <c r="AB1738">
        <v>0.20313212999999999</v>
      </c>
    </row>
    <row r="1739" spans="1:28" hidden="1" x14ac:dyDescent="0.25">
      <c r="A1739" t="s">
        <v>232</v>
      </c>
      <c r="B1739" t="s">
        <v>282</v>
      </c>
      <c r="C1739">
        <v>115</v>
      </c>
      <c r="D1739" t="s">
        <v>2</v>
      </c>
      <c r="E1739">
        <v>6.3741940550000002</v>
      </c>
      <c r="F1739">
        <v>6.11946616</v>
      </c>
      <c r="G1739">
        <v>6.1892593199999997</v>
      </c>
      <c r="H1739">
        <v>6.2321393250000003</v>
      </c>
      <c r="I1739">
        <v>6.5122624900000003</v>
      </c>
      <c r="J1739">
        <v>7.1736417250000004</v>
      </c>
      <c r="K1739">
        <v>9.1793627499999992</v>
      </c>
      <c r="L1739">
        <v>12.578766184999999</v>
      </c>
      <c r="M1739">
        <v>18.687911515</v>
      </c>
      <c r="N1739">
        <v>24.23132111</v>
      </c>
      <c r="O1739">
        <v>26.20026322</v>
      </c>
      <c r="P1739">
        <v>27.237941020000001</v>
      </c>
      <c r="Q1739">
        <v>27.093448415000001</v>
      </c>
      <c r="R1739">
        <v>26.059486034999999</v>
      </c>
      <c r="S1739">
        <v>26.88828178</v>
      </c>
      <c r="T1739">
        <v>26.8127244</v>
      </c>
      <c r="U1739">
        <v>25.762522324999999</v>
      </c>
      <c r="V1739">
        <v>23.158630500000001</v>
      </c>
      <c r="W1739">
        <v>17.691775105000001</v>
      </c>
      <c r="X1739">
        <v>11.418916865</v>
      </c>
      <c r="Y1739">
        <v>9.6132296400000001</v>
      </c>
      <c r="Z1739">
        <v>8.1250522400000005</v>
      </c>
      <c r="AA1739">
        <v>7.1574611299999997</v>
      </c>
      <c r="AB1739">
        <v>6.6293760349999999</v>
      </c>
    </row>
    <row r="1740" spans="1:28" hidden="1" x14ac:dyDescent="0.25">
      <c r="A1740" t="s">
        <v>232</v>
      </c>
      <c r="B1740" t="s">
        <v>282</v>
      </c>
      <c r="C1740">
        <v>115</v>
      </c>
      <c r="D1740" t="s">
        <v>3</v>
      </c>
      <c r="E1740">
        <v>9.0151477699999996E-2</v>
      </c>
      <c r="F1740">
        <v>7.7409578100000001E-2</v>
      </c>
      <c r="G1740">
        <v>3.9145095599999999E-2</v>
      </c>
      <c r="H1740">
        <v>6.2324509200000003E-2</v>
      </c>
      <c r="I1740">
        <v>7.1342541400000001E-2</v>
      </c>
      <c r="J1740">
        <v>3.20818213E-2</v>
      </c>
      <c r="K1740">
        <v>0.67339412620000005</v>
      </c>
      <c r="L1740">
        <v>1.9937920132</v>
      </c>
      <c r="M1740">
        <v>3.7257404686000002</v>
      </c>
      <c r="N1740">
        <v>4.7817208850000004</v>
      </c>
      <c r="O1740">
        <v>5.3951258316999997</v>
      </c>
      <c r="P1740">
        <v>5.8722868216000004</v>
      </c>
      <c r="Q1740">
        <v>5.6195288833000001</v>
      </c>
      <c r="R1740">
        <v>4.8438594948000002</v>
      </c>
      <c r="S1740">
        <v>5.5838759577000001</v>
      </c>
      <c r="T1740">
        <v>5.5502774113999997</v>
      </c>
      <c r="U1740">
        <v>5.0255196991000002</v>
      </c>
      <c r="V1740">
        <v>3.7249712401999999</v>
      </c>
      <c r="W1740">
        <v>1.9549773765</v>
      </c>
      <c r="X1740">
        <v>0.93421912139999996</v>
      </c>
      <c r="Y1740">
        <v>0.74506732799999997</v>
      </c>
      <c r="Z1740">
        <v>0.59716549860000001</v>
      </c>
      <c r="AA1740">
        <v>0.43715650309999998</v>
      </c>
      <c r="AB1740">
        <v>0.35366693179999997</v>
      </c>
    </row>
    <row r="1741" spans="1:28" hidden="1" x14ac:dyDescent="0.25">
      <c r="A1741" t="s">
        <v>232</v>
      </c>
      <c r="B1741" t="s">
        <v>282</v>
      </c>
      <c r="C1741">
        <v>115</v>
      </c>
      <c r="D1741" t="s">
        <v>4</v>
      </c>
      <c r="E1741">
        <v>9.7068945000000004E-2</v>
      </c>
      <c r="F1741">
        <v>9.3189839999999996E-2</v>
      </c>
      <c r="G1741">
        <v>9.4252680000000005E-2</v>
      </c>
      <c r="H1741">
        <v>9.4905674999999995E-2</v>
      </c>
      <c r="I1741">
        <v>9.9171510000000004E-2</v>
      </c>
      <c r="J1741">
        <v>0.109243275</v>
      </c>
      <c r="K1741">
        <v>0.13978725</v>
      </c>
      <c r="L1741">
        <v>0.19155481499999999</v>
      </c>
      <c r="M1741">
        <v>0.28458748499999997</v>
      </c>
      <c r="N1741">
        <v>0.36900488999999997</v>
      </c>
      <c r="O1741">
        <v>0.39898877999999999</v>
      </c>
      <c r="P1741">
        <v>0.41479097999999998</v>
      </c>
      <c r="Q1741">
        <v>0.41259058500000001</v>
      </c>
      <c r="R1741">
        <v>0.39684496499999999</v>
      </c>
      <c r="S1741">
        <v>0.40946621999999999</v>
      </c>
      <c r="T1741">
        <v>0.4083156</v>
      </c>
      <c r="U1741">
        <v>0.39232267500000001</v>
      </c>
      <c r="V1741">
        <v>0.35266950000000002</v>
      </c>
      <c r="W1741">
        <v>0.26941789500000002</v>
      </c>
      <c r="X1741">
        <v>0.173892135</v>
      </c>
      <c r="Y1741">
        <v>0.14639436</v>
      </c>
      <c r="Z1741">
        <v>0.12373176</v>
      </c>
      <c r="AA1741">
        <v>0.10899687</v>
      </c>
      <c r="AB1741">
        <v>0.10095496499999999</v>
      </c>
    </row>
    <row r="1742" spans="1:28" hidden="1" x14ac:dyDescent="0.25">
      <c r="A1742" t="s">
        <v>232</v>
      </c>
      <c r="B1742" t="s">
        <v>283</v>
      </c>
      <c r="C1742">
        <v>230</v>
      </c>
      <c r="D1742" t="s">
        <v>2</v>
      </c>
      <c r="E1742">
        <v>14.724026</v>
      </c>
      <c r="F1742">
        <v>13.548257</v>
      </c>
      <c r="G1742">
        <v>13.077648</v>
      </c>
      <c r="H1742">
        <v>13.413335</v>
      </c>
      <c r="I1742">
        <v>16.734714</v>
      </c>
      <c r="J1742">
        <v>21.694429</v>
      </c>
      <c r="K1742">
        <v>20.949449000000001</v>
      </c>
      <c r="L1742">
        <v>21.871932000000001</v>
      </c>
      <c r="M1742">
        <v>23.327888000000002</v>
      </c>
      <c r="N1742">
        <v>24.425856</v>
      </c>
      <c r="O1742">
        <v>25.724571999999998</v>
      </c>
      <c r="P1742">
        <v>26.553038000000001</v>
      </c>
      <c r="Q1742">
        <v>25.866606000000001</v>
      </c>
      <c r="R1742">
        <v>25.341911</v>
      </c>
      <c r="S1742">
        <v>25.605554999999999</v>
      </c>
      <c r="T1742">
        <v>25.608104999999998</v>
      </c>
      <c r="U1742">
        <v>25.288073000000001</v>
      </c>
      <c r="V1742">
        <v>25.387889999999999</v>
      </c>
      <c r="W1742">
        <v>28.577745</v>
      </c>
      <c r="X1742">
        <v>29.382168</v>
      </c>
      <c r="Y1742">
        <v>29.210781999999998</v>
      </c>
      <c r="Z1742">
        <v>24.925674999999998</v>
      </c>
      <c r="AA1742">
        <v>20.928819000000001</v>
      </c>
      <c r="AB1742">
        <v>17.388045000000002</v>
      </c>
    </row>
    <row r="1743" spans="1:28" hidden="1" x14ac:dyDescent="0.25">
      <c r="A1743" t="s">
        <v>232</v>
      </c>
      <c r="B1743" t="s">
        <v>283</v>
      </c>
      <c r="C1743">
        <v>230</v>
      </c>
      <c r="D1743" t="s">
        <v>3</v>
      </c>
      <c r="E1743">
        <v>5.2061786104000003</v>
      </c>
      <c r="F1743">
        <v>5.1824694736000003</v>
      </c>
      <c r="G1743">
        <v>5.1788955209000003</v>
      </c>
      <c r="H1743">
        <v>5.0321431301999997</v>
      </c>
      <c r="I1743">
        <v>4.9787862708999997</v>
      </c>
      <c r="J1743">
        <v>4.7827653826000001</v>
      </c>
      <c r="K1743">
        <v>5.2247305303999996</v>
      </c>
      <c r="L1743">
        <v>6.2434332964000001</v>
      </c>
      <c r="M1743">
        <v>7.1559927454999999</v>
      </c>
      <c r="N1743">
        <v>7.3791640817999999</v>
      </c>
      <c r="O1743">
        <v>7.8758256639999997</v>
      </c>
      <c r="P1743">
        <v>8.2183932799000008</v>
      </c>
      <c r="Q1743">
        <v>7.8854329404000003</v>
      </c>
      <c r="R1743">
        <v>7.6108643648000003</v>
      </c>
      <c r="S1743">
        <v>7.9070932535000003</v>
      </c>
      <c r="T1743">
        <v>8.0533017001000005</v>
      </c>
      <c r="U1743">
        <v>7.8268757497000001</v>
      </c>
      <c r="V1743">
        <v>7.2600727855000002</v>
      </c>
      <c r="W1743">
        <v>6.6643214063</v>
      </c>
      <c r="X1743">
        <v>6.2524000441999998</v>
      </c>
      <c r="Y1743">
        <v>6.1614428283000002</v>
      </c>
      <c r="Z1743">
        <v>5.5543413408999998</v>
      </c>
      <c r="AA1743">
        <v>5.2953833187999999</v>
      </c>
      <c r="AB1743">
        <v>5.2805124255999996</v>
      </c>
    </row>
    <row r="1744" spans="1:28" hidden="1" x14ac:dyDescent="0.25">
      <c r="A1744" t="s">
        <v>232</v>
      </c>
      <c r="B1744" t="s">
        <v>283</v>
      </c>
      <c r="C1744">
        <v>230</v>
      </c>
      <c r="D1744" t="s">
        <v>4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>
        <v>0</v>
      </c>
    </row>
    <row r="1745" spans="1:28" hidden="1" x14ac:dyDescent="0.25">
      <c r="A1745" t="s">
        <v>232</v>
      </c>
      <c r="B1745" t="s">
        <v>284</v>
      </c>
      <c r="C1745">
        <v>230</v>
      </c>
      <c r="D1745" t="s">
        <v>2</v>
      </c>
      <c r="E1745">
        <v>19.231069999999999</v>
      </c>
      <c r="F1745">
        <v>18.098372000000001</v>
      </c>
      <c r="G1745">
        <v>17.503056000000001</v>
      </c>
      <c r="H1745">
        <v>18.067229000000001</v>
      </c>
      <c r="I1745">
        <v>20.292368</v>
      </c>
      <c r="J1745">
        <v>22.911099</v>
      </c>
      <c r="K1745">
        <v>22.552343</v>
      </c>
      <c r="L1745">
        <v>24.919167000000002</v>
      </c>
      <c r="M1745">
        <v>28.171931000000001</v>
      </c>
      <c r="N1745">
        <v>29.594542000000001</v>
      </c>
      <c r="O1745">
        <v>31.353925</v>
      </c>
      <c r="P1745">
        <v>32.166060999999999</v>
      </c>
      <c r="Q1745">
        <v>30.921524000000002</v>
      </c>
      <c r="R1745">
        <v>30.557396000000001</v>
      </c>
      <c r="S1745">
        <v>31.372371000000001</v>
      </c>
      <c r="T1745">
        <v>31.595849999999999</v>
      </c>
      <c r="U1745">
        <v>30.922091000000002</v>
      </c>
      <c r="V1745">
        <v>30.73725</v>
      </c>
      <c r="W1745">
        <v>31.872537000000001</v>
      </c>
      <c r="X1745">
        <v>32.148893000000001</v>
      </c>
      <c r="Y1745">
        <v>32.365637</v>
      </c>
      <c r="Z1745">
        <v>28.013988000000001</v>
      </c>
      <c r="AA1745">
        <v>24.002406000000001</v>
      </c>
      <c r="AB1745">
        <v>21.18506</v>
      </c>
    </row>
    <row r="1746" spans="1:28" hidden="1" x14ac:dyDescent="0.25">
      <c r="A1746" t="s">
        <v>232</v>
      </c>
      <c r="B1746" t="s">
        <v>284</v>
      </c>
      <c r="C1746">
        <v>230</v>
      </c>
      <c r="D1746" t="s">
        <v>3</v>
      </c>
      <c r="E1746">
        <v>6.2048583405000004</v>
      </c>
      <c r="F1746">
        <v>6.1259785445999997</v>
      </c>
      <c r="G1746">
        <v>6.0242941653999997</v>
      </c>
      <c r="H1746">
        <v>6.2531793955000001</v>
      </c>
      <c r="I1746">
        <v>6.0186205140000002</v>
      </c>
      <c r="J1746">
        <v>5.6381177589</v>
      </c>
      <c r="K1746">
        <v>6.2279601719000004</v>
      </c>
      <c r="L1746">
        <v>7.9564663535999998</v>
      </c>
      <c r="M1746">
        <v>10.1096751986</v>
      </c>
      <c r="N1746">
        <v>10.9210465126</v>
      </c>
      <c r="O1746">
        <v>11.431881392199999</v>
      </c>
      <c r="P1746">
        <v>11.6448200755</v>
      </c>
      <c r="Q1746">
        <v>10.9124690699</v>
      </c>
      <c r="R1746">
        <v>10.8087277757</v>
      </c>
      <c r="S1746">
        <v>11.493514730899999</v>
      </c>
      <c r="T1746">
        <v>11.3889790952</v>
      </c>
      <c r="U1746">
        <v>11.1595068075</v>
      </c>
      <c r="V1746">
        <v>9.8907491525999998</v>
      </c>
      <c r="W1746">
        <v>8.4322123552000008</v>
      </c>
      <c r="X1746">
        <v>7.8326132278999996</v>
      </c>
      <c r="Y1746">
        <v>8.3506713240000003</v>
      </c>
      <c r="Z1746">
        <v>7.5821023510999996</v>
      </c>
      <c r="AA1746">
        <v>7.0174293322999999</v>
      </c>
      <c r="AB1746">
        <v>7.1205659261000003</v>
      </c>
    </row>
    <row r="1747" spans="1:28" hidden="1" x14ac:dyDescent="0.25">
      <c r="A1747" t="s">
        <v>232</v>
      </c>
      <c r="B1747" t="s">
        <v>284</v>
      </c>
      <c r="C1747">
        <v>230</v>
      </c>
      <c r="D1747" t="s">
        <v>4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0</v>
      </c>
      <c r="AB1747">
        <v>0</v>
      </c>
    </row>
    <row r="1748" spans="1:28" hidden="1" x14ac:dyDescent="0.25">
      <c r="A1748" t="s">
        <v>232</v>
      </c>
      <c r="B1748" t="s">
        <v>285</v>
      </c>
      <c r="C1748">
        <v>115</v>
      </c>
      <c r="D1748" t="s">
        <v>2</v>
      </c>
      <c r="E1748">
        <v>15.70301381</v>
      </c>
      <c r="F1748">
        <v>14.882082305000001</v>
      </c>
      <c r="G1748">
        <v>14.641859520000001</v>
      </c>
      <c r="H1748">
        <v>14.541658425</v>
      </c>
      <c r="I1748">
        <v>15.460982565</v>
      </c>
      <c r="J1748">
        <v>18.060697990000001</v>
      </c>
      <c r="K1748">
        <v>19.717270989999999</v>
      </c>
      <c r="L1748">
        <v>20.596002295000002</v>
      </c>
      <c r="M1748">
        <v>21.701416575</v>
      </c>
      <c r="N1748">
        <v>22.577233265</v>
      </c>
      <c r="O1748">
        <v>23.394669990000001</v>
      </c>
      <c r="P1748">
        <v>24.34941079</v>
      </c>
      <c r="Q1748">
        <v>24.873041714999999</v>
      </c>
      <c r="R1748">
        <v>24.215343425</v>
      </c>
      <c r="S1748">
        <v>23.971363849999999</v>
      </c>
      <c r="T1748">
        <v>23.482897425000001</v>
      </c>
      <c r="U1748">
        <v>23.393309705</v>
      </c>
      <c r="V1748">
        <v>24.11472075</v>
      </c>
      <c r="W1748">
        <v>28.464600919999999</v>
      </c>
      <c r="X1748">
        <v>29.009002540000001</v>
      </c>
      <c r="Y1748">
        <v>28.057216740000001</v>
      </c>
      <c r="Z1748">
        <v>23.943391819999999</v>
      </c>
      <c r="AA1748">
        <v>20.264888634999998</v>
      </c>
      <c r="AB1748">
        <v>17.303794440000001</v>
      </c>
    </row>
    <row r="1749" spans="1:28" hidden="1" x14ac:dyDescent="0.25">
      <c r="A1749" t="s">
        <v>232</v>
      </c>
      <c r="B1749" t="s">
        <v>285</v>
      </c>
      <c r="C1749">
        <v>115</v>
      </c>
      <c r="D1749" t="s">
        <v>3</v>
      </c>
      <c r="E1749">
        <v>3.8684833236</v>
      </c>
      <c r="F1749">
        <v>3.7082798149</v>
      </c>
      <c r="G1749">
        <v>3.6747137842000002</v>
      </c>
      <c r="H1749">
        <v>3.5971854760999999</v>
      </c>
      <c r="I1749">
        <v>3.6176818001000002</v>
      </c>
      <c r="J1749">
        <v>3.7626842137000001</v>
      </c>
      <c r="K1749">
        <v>4.6400090200999999</v>
      </c>
      <c r="L1749">
        <v>5.4021974537000004</v>
      </c>
      <c r="M1749">
        <v>6.1853481644999997</v>
      </c>
      <c r="N1749">
        <v>6.6850639227000004</v>
      </c>
      <c r="O1749">
        <v>7.2486513413000004</v>
      </c>
      <c r="P1749">
        <v>7.7188281602000002</v>
      </c>
      <c r="Q1749">
        <v>7.7159199164999999</v>
      </c>
      <c r="R1749">
        <v>7.5351619821</v>
      </c>
      <c r="S1749">
        <v>7.5526146897000004</v>
      </c>
      <c r="T1749">
        <v>7.3969963310000004</v>
      </c>
      <c r="U1749">
        <v>7.1384605096999998</v>
      </c>
      <c r="V1749">
        <v>7.0006942028000001</v>
      </c>
      <c r="W1749">
        <v>6.6498210376999998</v>
      </c>
      <c r="X1749">
        <v>6.2064210690000001</v>
      </c>
      <c r="Y1749">
        <v>5.9605854142999997</v>
      </c>
      <c r="Z1749">
        <v>5.0078230372999997</v>
      </c>
      <c r="AA1749">
        <v>4.4299644552000004</v>
      </c>
      <c r="AB1749">
        <v>4.0704580296000001</v>
      </c>
    </row>
    <row r="1750" spans="1:28" hidden="1" x14ac:dyDescent="0.25">
      <c r="A1750" t="s">
        <v>232</v>
      </c>
      <c r="B1750" t="s">
        <v>285</v>
      </c>
      <c r="C1750">
        <v>115</v>
      </c>
      <c r="D1750" t="s">
        <v>4</v>
      </c>
      <c r="E1750">
        <v>0.23913218999999999</v>
      </c>
      <c r="F1750">
        <v>0.22663069499999999</v>
      </c>
      <c r="G1750">
        <v>0.22297248</v>
      </c>
      <c r="H1750">
        <v>0.22144657500000001</v>
      </c>
      <c r="I1750">
        <v>0.23544643500000001</v>
      </c>
      <c r="J1750">
        <v>0.27503601</v>
      </c>
      <c r="K1750">
        <v>0.30026301</v>
      </c>
      <c r="L1750">
        <v>0.31364470500000002</v>
      </c>
      <c r="M1750">
        <v>0.33047842500000002</v>
      </c>
      <c r="N1750">
        <v>0.34381573500000001</v>
      </c>
      <c r="O1750">
        <v>0.35626401000000002</v>
      </c>
      <c r="P1750">
        <v>0.37080320999999999</v>
      </c>
      <c r="Q1750">
        <v>0.37877728500000002</v>
      </c>
      <c r="R1750">
        <v>0.36876157500000001</v>
      </c>
      <c r="S1750">
        <v>0.36504615000000001</v>
      </c>
      <c r="T1750">
        <v>0.35760757500000001</v>
      </c>
      <c r="U1750">
        <v>0.35624329500000002</v>
      </c>
      <c r="V1750">
        <v>0.36722925000000001</v>
      </c>
      <c r="W1750">
        <v>0.43347108000000001</v>
      </c>
      <c r="X1750">
        <v>0.44176145999999999</v>
      </c>
      <c r="Y1750">
        <v>0.42726725999999998</v>
      </c>
      <c r="Z1750">
        <v>0.36462018000000002</v>
      </c>
      <c r="AA1750">
        <v>0.30860236499999999</v>
      </c>
      <c r="AB1750">
        <v>0.26350955999999998</v>
      </c>
    </row>
    <row r="1751" spans="1:28" hidden="1" x14ac:dyDescent="0.25">
      <c r="A1751" t="s">
        <v>232</v>
      </c>
      <c r="B1751" t="s">
        <v>286</v>
      </c>
      <c r="C1751">
        <v>115</v>
      </c>
      <c r="D1751" t="s">
        <v>2</v>
      </c>
      <c r="E1751">
        <v>31.361032819999998</v>
      </c>
      <c r="F1751">
        <v>31.128834829999999</v>
      </c>
      <c r="G1751">
        <v>31.337491320000002</v>
      </c>
      <c r="H1751">
        <v>31.867005649999999</v>
      </c>
      <c r="I1751">
        <v>34.937610175000003</v>
      </c>
      <c r="J1751">
        <v>36.526495945000001</v>
      </c>
      <c r="K1751">
        <v>40.756370609999998</v>
      </c>
      <c r="L1751">
        <v>41.863398320000002</v>
      </c>
      <c r="M1751">
        <v>41.603100249999997</v>
      </c>
      <c r="N1751">
        <v>40.621834385</v>
      </c>
      <c r="O1751">
        <v>41.244428259999999</v>
      </c>
      <c r="P1751">
        <v>41.725727825</v>
      </c>
      <c r="Q1751">
        <v>39.58604089</v>
      </c>
      <c r="R1751">
        <v>39.692965594999997</v>
      </c>
      <c r="S1751">
        <v>39.564813155000003</v>
      </c>
      <c r="T1751">
        <v>39.152671425000001</v>
      </c>
      <c r="U1751">
        <v>38.078160535000002</v>
      </c>
      <c r="V1751">
        <v>39.072221550000002</v>
      </c>
      <c r="W1751">
        <v>41.896827250000001</v>
      </c>
      <c r="X1751">
        <v>41.463955210000002</v>
      </c>
      <c r="Y1751">
        <v>40.643840269999998</v>
      </c>
      <c r="Z1751">
        <v>35.797332949999998</v>
      </c>
      <c r="AA1751">
        <v>33.23231809</v>
      </c>
      <c r="AB1751">
        <v>31.7664273</v>
      </c>
    </row>
    <row r="1752" spans="1:28" hidden="1" x14ac:dyDescent="0.25">
      <c r="A1752" t="s">
        <v>232</v>
      </c>
      <c r="B1752" t="s">
        <v>286</v>
      </c>
      <c r="C1752">
        <v>115</v>
      </c>
      <c r="D1752" t="s">
        <v>3</v>
      </c>
      <c r="E1752">
        <v>6.1430841222000003</v>
      </c>
      <c r="F1752">
        <v>6.1811668507000004</v>
      </c>
      <c r="G1752">
        <v>6.1890704257999998</v>
      </c>
      <c r="H1752">
        <v>6.2490770041000001</v>
      </c>
      <c r="I1752">
        <v>6.7410782537999996</v>
      </c>
      <c r="J1752">
        <v>6.4682610760000001</v>
      </c>
      <c r="K1752">
        <v>8.1362791031999997</v>
      </c>
      <c r="L1752">
        <v>9.6138599267</v>
      </c>
      <c r="M1752">
        <v>9.9351127011999996</v>
      </c>
      <c r="N1752">
        <v>9.5012530607999999</v>
      </c>
      <c r="O1752">
        <v>9.7438760849000001</v>
      </c>
      <c r="P1752">
        <v>10.247760705699999</v>
      </c>
      <c r="Q1752">
        <v>9.4876007106000007</v>
      </c>
      <c r="R1752">
        <v>9.5348168934000004</v>
      </c>
      <c r="S1752">
        <v>9.3652255646999993</v>
      </c>
      <c r="T1752">
        <v>9.0501118725000005</v>
      </c>
      <c r="U1752">
        <v>8.2320149700999998</v>
      </c>
      <c r="V1752">
        <v>7.7563774678000001</v>
      </c>
      <c r="W1752">
        <v>7.3844940191999999</v>
      </c>
      <c r="X1752">
        <v>7.1540115666000004</v>
      </c>
      <c r="Y1752">
        <v>7.2357476757999999</v>
      </c>
      <c r="Z1752">
        <v>6.3729329455999997</v>
      </c>
      <c r="AA1752">
        <v>6.2109052212</v>
      </c>
      <c r="AB1752">
        <v>6.1811891246000004</v>
      </c>
    </row>
    <row r="1753" spans="1:28" hidden="1" x14ac:dyDescent="0.25">
      <c r="A1753" t="s">
        <v>232</v>
      </c>
      <c r="B1753" t="s">
        <v>286</v>
      </c>
      <c r="C1753">
        <v>115</v>
      </c>
      <c r="D1753" t="s">
        <v>4</v>
      </c>
      <c r="E1753">
        <v>0.47757917999999999</v>
      </c>
      <c r="F1753">
        <v>0.47404317000000001</v>
      </c>
      <c r="G1753">
        <v>0.47722068000000001</v>
      </c>
      <c r="H1753">
        <v>0.48528434999999998</v>
      </c>
      <c r="I1753">
        <v>0.53204482500000005</v>
      </c>
      <c r="J1753">
        <v>0.55624105499999998</v>
      </c>
      <c r="K1753">
        <v>0.62065539000000003</v>
      </c>
      <c r="L1753">
        <v>0.63751367999999997</v>
      </c>
      <c r="M1753">
        <v>0.63354975000000002</v>
      </c>
      <c r="N1753">
        <v>0.61860661500000003</v>
      </c>
      <c r="O1753">
        <v>0.62808774000000001</v>
      </c>
      <c r="P1753">
        <v>0.63541717499999995</v>
      </c>
      <c r="Q1753">
        <v>0.60283310999999995</v>
      </c>
      <c r="R1753">
        <v>0.60446140500000001</v>
      </c>
      <c r="S1753">
        <v>0.60250984500000004</v>
      </c>
      <c r="T1753">
        <v>0.59623357499999996</v>
      </c>
      <c r="U1753">
        <v>0.57987046499999995</v>
      </c>
      <c r="V1753">
        <v>0.59500845000000002</v>
      </c>
      <c r="W1753">
        <v>0.63802274999999997</v>
      </c>
      <c r="X1753">
        <v>0.63143079000000002</v>
      </c>
      <c r="Y1753">
        <v>0.61894172999999997</v>
      </c>
      <c r="Z1753">
        <v>0.54513705000000001</v>
      </c>
      <c r="AA1753">
        <v>0.50607590999999996</v>
      </c>
      <c r="AB1753">
        <v>0.48375269999999998</v>
      </c>
    </row>
    <row r="1754" spans="1:28" hidden="1" x14ac:dyDescent="0.25">
      <c r="A1754" t="s">
        <v>232</v>
      </c>
      <c r="B1754" t="s">
        <v>287</v>
      </c>
      <c r="C1754">
        <v>14</v>
      </c>
      <c r="D1754" t="s">
        <v>2</v>
      </c>
      <c r="E1754">
        <v>1.7936817</v>
      </c>
      <c r="F1754">
        <v>1.7179600500000001</v>
      </c>
      <c r="G1754">
        <v>1.7247744</v>
      </c>
      <c r="H1754">
        <v>1.78985035</v>
      </c>
      <c r="I1754">
        <v>2.0887859</v>
      </c>
      <c r="J1754">
        <v>2.6209815999999999</v>
      </c>
      <c r="K1754">
        <v>3.0454986000000002</v>
      </c>
      <c r="L1754">
        <v>3.0281896000000001</v>
      </c>
      <c r="M1754">
        <v>3.0678939000000001</v>
      </c>
      <c r="N1754">
        <v>3.0870354500000001</v>
      </c>
      <c r="O1754">
        <v>3.04680295</v>
      </c>
      <c r="P1754">
        <v>3.0470698999999999</v>
      </c>
      <c r="Q1754">
        <v>2.8553456499999998</v>
      </c>
      <c r="R1754">
        <v>2.8373137000000002</v>
      </c>
      <c r="S1754">
        <v>2.7075095</v>
      </c>
      <c r="T1754">
        <v>2.7497227500000001</v>
      </c>
      <c r="U1754">
        <v>2.6761585499999998</v>
      </c>
      <c r="V1754">
        <v>2.8278270000000001</v>
      </c>
      <c r="W1754">
        <v>3.4126270500000002</v>
      </c>
      <c r="X1754">
        <v>3.4103897999999999</v>
      </c>
      <c r="Y1754">
        <v>3.1696084999999998</v>
      </c>
      <c r="Z1754">
        <v>2.6310430500000002</v>
      </c>
      <c r="AA1754">
        <v>2.24478445</v>
      </c>
      <c r="AB1754">
        <v>1.9661361500000001</v>
      </c>
    </row>
    <row r="1755" spans="1:28" hidden="1" x14ac:dyDescent="0.25">
      <c r="A1755" t="s">
        <v>232</v>
      </c>
      <c r="B1755" t="s">
        <v>287</v>
      </c>
      <c r="C1755">
        <v>14</v>
      </c>
      <c r="D1755" t="s">
        <v>3</v>
      </c>
      <c r="E1755">
        <v>0.54545792800000004</v>
      </c>
      <c r="F1755">
        <v>0.52929983309999995</v>
      </c>
      <c r="G1755">
        <v>0.52145271999999998</v>
      </c>
      <c r="H1755">
        <v>0.50039899389999998</v>
      </c>
      <c r="I1755">
        <v>0.54787495679999998</v>
      </c>
      <c r="J1755">
        <v>0.58506056930000006</v>
      </c>
      <c r="K1755">
        <v>0.83967676400000002</v>
      </c>
      <c r="L1755">
        <v>0.99617716160000003</v>
      </c>
      <c r="M1755">
        <v>1.0739541860999999</v>
      </c>
      <c r="N1755">
        <v>1.1638371414999999</v>
      </c>
      <c r="O1755">
        <v>1.1601745458999999</v>
      </c>
      <c r="P1755">
        <v>1.2137461237</v>
      </c>
      <c r="Q1755">
        <v>1.1154358796999999</v>
      </c>
      <c r="R1755">
        <v>1.1539456202</v>
      </c>
      <c r="S1755">
        <v>1.1092609234999999</v>
      </c>
      <c r="T1755">
        <v>1.0984859975000001</v>
      </c>
      <c r="U1755">
        <v>1.0564223704</v>
      </c>
      <c r="V1755">
        <v>1.0078693094</v>
      </c>
      <c r="W1755">
        <v>0.85109907829999998</v>
      </c>
      <c r="X1755">
        <v>0.69286599719999997</v>
      </c>
      <c r="Y1755">
        <v>0.67511566450000005</v>
      </c>
      <c r="Z1755">
        <v>0.67951016880000004</v>
      </c>
      <c r="AA1755">
        <v>0.73287445979999999</v>
      </c>
      <c r="AB1755">
        <v>0.69996065959999998</v>
      </c>
    </row>
    <row r="1756" spans="1:28" hidden="1" x14ac:dyDescent="0.25">
      <c r="A1756" t="s">
        <v>232</v>
      </c>
      <c r="B1756" t="s">
        <v>287</v>
      </c>
      <c r="C1756">
        <v>14</v>
      </c>
      <c r="D1756" t="s">
        <v>4</v>
      </c>
      <c r="E1756">
        <v>9.4404299999999997E-2</v>
      </c>
      <c r="F1756">
        <v>9.0418949999999998E-2</v>
      </c>
      <c r="G1756">
        <v>9.07776E-2</v>
      </c>
      <c r="H1756">
        <v>9.4202649999999999E-2</v>
      </c>
      <c r="I1756">
        <v>0.10993609999999999</v>
      </c>
      <c r="J1756">
        <v>0.1379464</v>
      </c>
      <c r="K1756">
        <v>0.1602894</v>
      </c>
      <c r="L1756">
        <v>0.1593784</v>
      </c>
      <c r="M1756">
        <v>0.1614681</v>
      </c>
      <c r="N1756">
        <v>0.16247555</v>
      </c>
      <c r="O1756">
        <v>0.16035805</v>
      </c>
      <c r="P1756">
        <v>0.16037209999999999</v>
      </c>
      <c r="Q1756">
        <v>0.15028135000000001</v>
      </c>
      <c r="R1756">
        <v>0.1493323</v>
      </c>
      <c r="S1756">
        <v>0.1425005</v>
      </c>
      <c r="T1756">
        <v>0.14472225</v>
      </c>
      <c r="U1756">
        <v>0.14085044999999999</v>
      </c>
      <c r="V1756">
        <v>0.14883299999999999</v>
      </c>
      <c r="W1756">
        <v>0.17961194999999999</v>
      </c>
      <c r="X1756">
        <v>0.17949419999999999</v>
      </c>
      <c r="Y1756">
        <v>0.16682150000000001</v>
      </c>
      <c r="Z1756">
        <v>0.13847594999999999</v>
      </c>
      <c r="AA1756">
        <v>0.11814655</v>
      </c>
      <c r="AB1756">
        <v>0.10348085</v>
      </c>
    </row>
    <row r="1757" spans="1:28" hidden="1" x14ac:dyDescent="0.25">
      <c r="A1757" t="s">
        <v>232</v>
      </c>
      <c r="B1757" t="s">
        <v>288</v>
      </c>
      <c r="C1757">
        <v>115</v>
      </c>
      <c r="D1757" t="s">
        <v>2</v>
      </c>
      <c r="E1757">
        <v>11.803507160000001</v>
      </c>
      <c r="F1757">
        <v>10.644424170000001</v>
      </c>
      <c r="G1757">
        <v>10.310775120000001</v>
      </c>
      <c r="H1757">
        <v>10.27610509</v>
      </c>
      <c r="I1757">
        <v>12.422929334999999</v>
      </c>
      <c r="J1757">
        <v>17.638719065</v>
      </c>
      <c r="K1757">
        <v>17.973192560000001</v>
      </c>
      <c r="L1757">
        <v>18.818782554999999</v>
      </c>
      <c r="M1757">
        <v>20.090028480000001</v>
      </c>
      <c r="N1757">
        <v>20.79425423</v>
      </c>
      <c r="O1757">
        <v>21.450637544999999</v>
      </c>
      <c r="P1757">
        <v>22.160446275000002</v>
      </c>
      <c r="Q1757">
        <v>22.06949827</v>
      </c>
      <c r="R1757">
        <v>21.580854545000001</v>
      </c>
      <c r="S1757">
        <v>21.668534319999999</v>
      </c>
      <c r="T1757">
        <v>21.458884950000002</v>
      </c>
      <c r="U1757">
        <v>21.216194739999999</v>
      </c>
      <c r="V1757">
        <v>21.3739287</v>
      </c>
      <c r="W1757">
        <v>23.393709614999999</v>
      </c>
      <c r="X1757">
        <v>23.738733445000001</v>
      </c>
      <c r="Y1757">
        <v>23.787154075</v>
      </c>
      <c r="Z1757">
        <v>20.410760239999998</v>
      </c>
      <c r="AA1757">
        <v>17.0624064</v>
      </c>
      <c r="AB1757">
        <v>13.98108015</v>
      </c>
    </row>
    <row r="1758" spans="1:28" hidden="1" x14ac:dyDescent="0.25">
      <c r="A1758" t="s">
        <v>232</v>
      </c>
      <c r="B1758" t="s">
        <v>288</v>
      </c>
      <c r="C1758">
        <v>115</v>
      </c>
      <c r="D1758" t="s">
        <v>3</v>
      </c>
      <c r="E1758">
        <v>3.3999464783</v>
      </c>
      <c r="F1758">
        <v>3.2941460965</v>
      </c>
      <c r="G1758">
        <v>3.2996026411999999</v>
      </c>
      <c r="H1758">
        <v>3.251935622</v>
      </c>
      <c r="I1758">
        <v>3.2657736599999998</v>
      </c>
      <c r="J1758">
        <v>3.3605927054000002</v>
      </c>
      <c r="K1758">
        <v>3.9807263605999998</v>
      </c>
      <c r="L1758">
        <v>4.7843167578000001</v>
      </c>
      <c r="M1758">
        <v>5.5154115949999998</v>
      </c>
      <c r="N1758">
        <v>5.8243887260999996</v>
      </c>
      <c r="O1758">
        <v>6.0774022248000001</v>
      </c>
      <c r="P1758">
        <v>6.4281799939999997</v>
      </c>
      <c r="Q1758">
        <v>6.1399948695999997</v>
      </c>
      <c r="R1758">
        <v>5.9570601521000004</v>
      </c>
      <c r="S1758">
        <v>6.3082248489000001</v>
      </c>
      <c r="T1758">
        <v>6.3027976569000002</v>
      </c>
      <c r="U1758">
        <v>6.2257893098999997</v>
      </c>
      <c r="V1758">
        <v>5.7373714276000003</v>
      </c>
      <c r="W1758">
        <v>5.0469843504999998</v>
      </c>
      <c r="X1758">
        <v>4.5607655709000001</v>
      </c>
      <c r="Y1758">
        <v>4.4496837740000004</v>
      </c>
      <c r="Z1758">
        <v>3.9202622966999998</v>
      </c>
      <c r="AA1758">
        <v>3.6067450060000001</v>
      </c>
      <c r="AB1758">
        <v>3.4813129962999998</v>
      </c>
    </row>
    <row r="1759" spans="1:28" hidden="1" x14ac:dyDescent="0.25">
      <c r="A1759" t="s">
        <v>232</v>
      </c>
      <c r="B1759" t="s">
        <v>288</v>
      </c>
      <c r="C1759">
        <v>115</v>
      </c>
      <c r="D1759" t="s">
        <v>4</v>
      </c>
      <c r="E1759">
        <v>0.17974883999999999</v>
      </c>
      <c r="F1759">
        <v>0.16209783</v>
      </c>
      <c r="G1759">
        <v>0.15701688</v>
      </c>
      <c r="H1759">
        <v>0.15648891000000001</v>
      </c>
      <c r="I1759">
        <v>0.189181665</v>
      </c>
      <c r="J1759">
        <v>0.26860993500000002</v>
      </c>
      <c r="K1759">
        <v>0.27370344000000002</v>
      </c>
      <c r="L1759">
        <v>0.28658044500000002</v>
      </c>
      <c r="M1759">
        <v>0.30593952000000002</v>
      </c>
      <c r="N1759">
        <v>0.31666377000000001</v>
      </c>
      <c r="O1759">
        <v>0.32665945499999999</v>
      </c>
      <c r="P1759">
        <v>0.33746872500000002</v>
      </c>
      <c r="Q1759">
        <v>0.33608373000000002</v>
      </c>
      <c r="R1759">
        <v>0.328642455</v>
      </c>
      <c r="S1759">
        <v>0.32997768</v>
      </c>
      <c r="T1759">
        <v>0.32678505000000002</v>
      </c>
      <c r="U1759">
        <v>0.32308925999999999</v>
      </c>
      <c r="V1759">
        <v>0.32549129999999998</v>
      </c>
      <c r="W1759">
        <v>0.35624938499999997</v>
      </c>
      <c r="X1759">
        <v>0.36150355499999998</v>
      </c>
      <c r="Y1759">
        <v>0.36224092499999999</v>
      </c>
      <c r="Z1759">
        <v>0.31082376</v>
      </c>
      <c r="AA1759">
        <v>0.2598336</v>
      </c>
      <c r="AB1759">
        <v>0.21290985000000001</v>
      </c>
    </row>
    <row r="1760" spans="1:28" hidden="1" x14ac:dyDescent="0.25">
      <c r="A1760" t="s">
        <v>232</v>
      </c>
      <c r="B1760" t="s">
        <v>289</v>
      </c>
      <c r="C1760">
        <v>115</v>
      </c>
      <c r="D1760" t="s">
        <v>2</v>
      </c>
      <c r="E1760">
        <v>37.570247254999998</v>
      </c>
      <c r="F1760">
        <v>34.030553224999998</v>
      </c>
      <c r="G1760">
        <v>32.972126400000001</v>
      </c>
      <c r="H1760">
        <v>31.908552950000001</v>
      </c>
      <c r="I1760">
        <v>34.035218184999998</v>
      </c>
      <c r="J1760">
        <v>40.830680979999997</v>
      </c>
      <c r="K1760">
        <v>44.538268260000002</v>
      </c>
      <c r="L1760">
        <v>46.918601529999997</v>
      </c>
      <c r="M1760">
        <v>49.408913990000002</v>
      </c>
      <c r="N1760">
        <v>51.040443365000002</v>
      </c>
      <c r="O1760">
        <v>52.70980462</v>
      </c>
      <c r="P1760">
        <v>53.82145001</v>
      </c>
      <c r="Q1760">
        <v>54.523322595000003</v>
      </c>
      <c r="R1760">
        <v>54.336333150000002</v>
      </c>
      <c r="S1760">
        <v>53.315998245000003</v>
      </c>
      <c r="T1760">
        <v>52.559033624999998</v>
      </c>
      <c r="U1760">
        <v>51.759832205000002</v>
      </c>
      <c r="V1760">
        <v>52.6062102</v>
      </c>
      <c r="W1760">
        <v>59.633675955000001</v>
      </c>
      <c r="X1760">
        <v>60.968455364999997</v>
      </c>
      <c r="Y1760">
        <v>60.786910014999997</v>
      </c>
      <c r="Z1760">
        <v>52.322199240000003</v>
      </c>
      <c r="AA1760">
        <v>45.534750404999997</v>
      </c>
      <c r="AB1760">
        <v>40.755411219999999</v>
      </c>
    </row>
    <row r="1761" spans="1:28" hidden="1" x14ac:dyDescent="0.25">
      <c r="A1761" t="s">
        <v>232</v>
      </c>
      <c r="B1761" t="s">
        <v>289</v>
      </c>
      <c r="C1761">
        <v>115</v>
      </c>
      <c r="D1761" t="s">
        <v>3</v>
      </c>
      <c r="E1761">
        <v>7.0216361135999996</v>
      </c>
      <c r="F1761">
        <v>6.3811464579999999</v>
      </c>
      <c r="G1761">
        <v>6.1956301808000003</v>
      </c>
      <c r="H1761">
        <v>5.9975682913000004</v>
      </c>
      <c r="I1761">
        <v>6.2760888896000004</v>
      </c>
      <c r="J1761">
        <v>7.3193233022999999</v>
      </c>
      <c r="K1761">
        <v>9.1781679721000007</v>
      </c>
      <c r="L1761">
        <v>10.5026176943</v>
      </c>
      <c r="M1761">
        <v>11.7180160974</v>
      </c>
      <c r="N1761">
        <v>12.5331685184</v>
      </c>
      <c r="O1761">
        <v>13.254045574699999</v>
      </c>
      <c r="P1761">
        <v>13.9323871054</v>
      </c>
      <c r="Q1761">
        <v>14.1349570188</v>
      </c>
      <c r="R1761">
        <v>14.2360369656</v>
      </c>
      <c r="S1761">
        <v>13.997910472399999</v>
      </c>
      <c r="T1761">
        <v>13.583200465499999</v>
      </c>
      <c r="U1761">
        <v>12.9744994369</v>
      </c>
      <c r="V1761">
        <v>12.541170794299999</v>
      </c>
      <c r="W1761">
        <v>12.3749141936</v>
      </c>
      <c r="X1761">
        <v>11.998537028299999</v>
      </c>
      <c r="Y1761">
        <v>11.604881498599999</v>
      </c>
      <c r="Z1761">
        <v>9.5853699008</v>
      </c>
      <c r="AA1761">
        <v>8.2763924540999998</v>
      </c>
      <c r="AB1761">
        <v>7.5408146655000001</v>
      </c>
    </row>
    <row r="1762" spans="1:28" hidden="1" x14ac:dyDescent="0.25">
      <c r="A1762" t="s">
        <v>232</v>
      </c>
      <c r="B1762" t="s">
        <v>289</v>
      </c>
      <c r="C1762">
        <v>115</v>
      </c>
      <c r="D1762" t="s">
        <v>4</v>
      </c>
      <c r="E1762">
        <v>0.57213574499999997</v>
      </c>
      <c r="F1762">
        <v>0.51823177499999995</v>
      </c>
      <c r="G1762">
        <v>0.50211360000000005</v>
      </c>
      <c r="H1762">
        <v>0.48591705000000002</v>
      </c>
      <c r="I1762">
        <v>0.51830281499999997</v>
      </c>
      <c r="J1762">
        <v>0.62178701999999997</v>
      </c>
      <c r="K1762">
        <v>0.67824773999999999</v>
      </c>
      <c r="L1762">
        <v>0.71449647000000005</v>
      </c>
      <c r="M1762">
        <v>0.75242001000000003</v>
      </c>
      <c r="N1762">
        <v>0.77726563500000001</v>
      </c>
      <c r="O1762">
        <v>0.80268737999999995</v>
      </c>
      <c r="P1762">
        <v>0.81961598999999996</v>
      </c>
      <c r="Q1762">
        <v>0.83030440500000002</v>
      </c>
      <c r="R1762">
        <v>0.82745685000000002</v>
      </c>
      <c r="S1762">
        <v>0.81191875499999999</v>
      </c>
      <c r="T1762">
        <v>0.80039137500000002</v>
      </c>
      <c r="U1762">
        <v>0.78822079499999997</v>
      </c>
      <c r="V1762">
        <v>0.80110979999999998</v>
      </c>
      <c r="W1762">
        <v>0.90812704499999997</v>
      </c>
      <c r="X1762">
        <v>0.928453635</v>
      </c>
      <c r="Y1762">
        <v>0.92568898499999996</v>
      </c>
      <c r="Z1762">
        <v>0.79678475999999998</v>
      </c>
      <c r="AA1762">
        <v>0.69342259500000003</v>
      </c>
      <c r="AB1762">
        <v>0.62064078</v>
      </c>
    </row>
    <row r="1763" spans="1:28" hidden="1" x14ac:dyDescent="0.25">
      <c r="A1763" t="s">
        <v>232</v>
      </c>
      <c r="B1763" t="s">
        <v>290</v>
      </c>
      <c r="C1763">
        <v>115</v>
      </c>
      <c r="D1763" t="s">
        <v>2</v>
      </c>
      <c r="E1763">
        <v>21.492281375000001</v>
      </c>
      <c r="F1763">
        <v>20.110922299999999</v>
      </c>
      <c r="G1763">
        <v>19.755333360000002</v>
      </c>
      <c r="H1763">
        <v>19.624314569999999</v>
      </c>
      <c r="I1763">
        <v>21.883006250000001</v>
      </c>
      <c r="J1763">
        <v>24.862998654999998</v>
      </c>
      <c r="K1763">
        <v>27.941980605000001</v>
      </c>
      <c r="L1763">
        <v>31.456789595</v>
      </c>
      <c r="M1763">
        <v>34.215829755000001</v>
      </c>
      <c r="N1763">
        <v>35.40178847</v>
      </c>
      <c r="O1763">
        <v>36.649440689999999</v>
      </c>
      <c r="P1763">
        <v>38.115064545000003</v>
      </c>
      <c r="Q1763">
        <v>38.105769100000003</v>
      </c>
      <c r="R1763">
        <v>36.443762839999998</v>
      </c>
      <c r="S1763">
        <v>37.59095885</v>
      </c>
      <c r="T1763">
        <v>37.672748325000001</v>
      </c>
      <c r="U1763">
        <v>37.053636425000001</v>
      </c>
      <c r="V1763">
        <v>35.694035999999997</v>
      </c>
      <c r="W1763">
        <v>36.239966340000002</v>
      </c>
      <c r="X1763">
        <v>35.427920520000001</v>
      </c>
      <c r="Y1763">
        <v>35.054753269999999</v>
      </c>
      <c r="Z1763">
        <v>30.321754394999999</v>
      </c>
      <c r="AA1763">
        <v>26.652353595000001</v>
      </c>
      <c r="AB1763">
        <v>23.868962265</v>
      </c>
    </row>
    <row r="1764" spans="1:28" hidden="1" x14ac:dyDescent="0.25">
      <c r="A1764" t="s">
        <v>232</v>
      </c>
      <c r="B1764" t="s">
        <v>290</v>
      </c>
      <c r="C1764">
        <v>115</v>
      </c>
      <c r="D1764" t="s">
        <v>3</v>
      </c>
      <c r="E1764">
        <v>4.5853255064000003</v>
      </c>
      <c r="F1764">
        <v>4.3187522410000003</v>
      </c>
      <c r="G1764">
        <v>4.3859690318000002</v>
      </c>
      <c r="H1764">
        <v>4.3072337482999998</v>
      </c>
      <c r="I1764">
        <v>4.2616151291</v>
      </c>
      <c r="J1764">
        <v>4.0007180546000001</v>
      </c>
      <c r="K1764">
        <v>5.1906079740999997</v>
      </c>
      <c r="L1764">
        <v>6.7316929127999998</v>
      </c>
      <c r="M1764">
        <v>8.6141151253999997</v>
      </c>
      <c r="N1764">
        <v>8.6520332695000004</v>
      </c>
      <c r="O1764">
        <v>9.5711513030000006</v>
      </c>
      <c r="P1764">
        <v>10.3769240608</v>
      </c>
      <c r="Q1764">
        <v>10.0828734573</v>
      </c>
      <c r="R1764">
        <v>9.076161505</v>
      </c>
      <c r="S1764">
        <v>10.1834116717</v>
      </c>
      <c r="T1764">
        <v>10.406593963100001</v>
      </c>
      <c r="U1764">
        <v>9.7920702186999993</v>
      </c>
      <c r="V1764">
        <v>8.5402171537000005</v>
      </c>
      <c r="W1764">
        <v>6.9445983544000001</v>
      </c>
      <c r="X1764">
        <v>6.3029952627999997</v>
      </c>
      <c r="Y1764">
        <v>6.2034905772000002</v>
      </c>
      <c r="Z1764">
        <v>5.3891954644000002</v>
      </c>
      <c r="AA1764">
        <v>4.9751434250999997</v>
      </c>
      <c r="AB1764">
        <v>4.9898211382</v>
      </c>
    </row>
    <row r="1765" spans="1:28" hidden="1" x14ac:dyDescent="0.25">
      <c r="A1765" t="s">
        <v>232</v>
      </c>
      <c r="B1765" t="s">
        <v>290</v>
      </c>
      <c r="C1765">
        <v>115</v>
      </c>
      <c r="D1765" t="s">
        <v>4</v>
      </c>
      <c r="E1765">
        <v>0.32729362499999998</v>
      </c>
      <c r="F1765">
        <v>0.30625770000000002</v>
      </c>
      <c r="G1765">
        <v>0.30084263999999999</v>
      </c>
      <c r="H1765">
        <v>0.29884743000000002</v>
      </c>
      <c r="I1765">
        <v>0.33324375000000001</v>
      </c>
      <c r="J1765">
        <v>0.37862434499999997</v>
      </c>
      <c r="K1765">
        <v>0.42551239499999999</v>
      </c>
      <c r="L1765">
        <v>0.47903740500000003</v>
      </c>
      <c r="M1765">
        <v>0.52105324500000005</v>
      </c>
      <c r="N1765">
        <v>0.53911352999999995</v>
      </c>
      <c r="O1765">
        <v>0.55811330999999997</v>
      </c>
      <c r="P1765">
        <v>0.58043245499999996</v>
      </c>
      <c r="Q1765">
        <v>0.58029090000000005</v>
      </c>
      <c r="R1765">
        <v>0.55498115999999997</v>
      </c>
      <c r="S1765">
        <v>0.57245115000000002</v>
      </c>
      <c r="T1765">
        <v>0.57369667499999999</v>
      </c>
      <c r="U1765">
        <v>0.56426857500000005</v>
      </c>
      <c r="V1765">
        <v>0.54356400000000005</v>
      </c>
      <c r="W1765">
        <v>0.55187766000000005</v>
      </c>
      <c r="X1765">
        <v>0.53951148000000004</v>
      </c>
      <c r="Y1765">
        <v>0.53382872999999997</v>
      </c>
      <c r="Z1765">
        <v>0.46175260499999998</v>
      </c>
      <c r="AA1765">
        <v>0.40587340500000002</v>
      </c>
      <c r="AB1765">
        <v>0.36348673500000001</v>
      </c>
    </row>
    <row r="1766" spans="1:28" hidden="1" x14ac:dyDescent="0.25">
      <c r="A1766" t="s">
        <v>232</v>
      </c>
      <c r="B1766" t="s">
        <v>291</v>
      </c>
      <c r="C1766">
        <v>115</v>
      </c>
      <c r="D1766" t="s">
        <v>2</v>
      </c>
      <c r="E1766">
        <v>14.863120070000001</v>
      </c>
      <c r="F1766">
        <v>14.623513895</v>
      </c>
      <c r="G1766">
        <v>14.55803208</v>
      </c>
      <c r="H1766">
        <v>14.61090491</v>
      </c>
      <c r="I1766">
        <v>16.694251815000001</v>
      </c>
      <c r="J1766">
        <v>18.499555874999999</v>
      </c>
      <c r="K1766">
        <v>20.359826875</v>
      </c>
      <c r="L1766">
        <v>21.188408875</v>
      </c>
      <c r="M1766">
        <v>21.868833084999999</v>
      </c>
      <c r="N1766">
        <v>22.126118040000001</v>
      </c>
      <c r="O1766">
        <v>21.5169113</v>
      </c>
      <c r="P1766">
        <v>21.709113365</v>
      </c>
      <c r="Q1766">
        <v>21.800357855000001</v>
      </c>
      <c r="R1766">
        <v>21.51499252</v>
      </c>
      <c r="S1766">
        <v>21.186036009999999</v>
      </c>
      <c r="T1766">
        <v>20.827741275000001</v>
      </c>
      <c r="U1766">
        <v>20.831998445</v>
      </c>
      <c r="V1766">
        <v>20.927753249999999</v>
      </c>
      <c r="W1766">
        <v>23.326098229999999</v>
      </c>
      <c r="X1766">
        <v>24.369363934999999</v>
      </c>
      <c r="Y1766">
        <v>23.742441970000002</v>
      </c>
      <c r="Z1766">
        <v>20.391134115</v>
      </c>
      <c r="AA1766">
        <v>17.797402564999999</v>
      </c>
      <c r="AB1766">
        <v>15.955446654999999</v>
      </c>
    </row>
    <row r="1767" spans="1:28" hidden="1" x14ac:dyDescent="0.25">
      <c r="A1767" t="s">
        <v>232</v>
      </c>
      <c r="B1767" t="s">
        <v>291</v>
      </c>
      <c r="C1767">
        <v>115</v>
      </c>
      <c r="D1767" t="s">
        <v>3</v>
      </c>
      <c r="E1767">
        <v>5.7826829747000001</v>
      </c>
      <c r="F1767">
        <v>5.7237614217999999</v>
      </c>
      <c r="G1767">
        <v>5.7238902998999999</v>
      </c>
      <c r="H1767">
        <v>5.7686223627000004</v>
      </c>
      <c r="I1767">
        <v>6.2440169263999996</v>
      </c>
      <c r="J1767">
        <v>6.5810209977999996</v>
      </c>
      <c r="K1767">
        <v>8.0492800423999995</v>
      </c>
      <c r="L1767">
        <v>9.0893416164000005</v>
      </c>
      <c r="M1767">
        <v>9.7865263092999992</v>
      </c>
      <c r="N1767">
        <v>9.9911847937000005</v>
      </c>
      <c r="O1767">
        <v>9.9233683373999995</v>
      </c>
      <c r="P1767">
        <v>9.9206607186000006</v>
      </c>
      <c r="Q1767">
        <v>9.9191981994000002</v>
      </c>
      <c r="R1767">
        <v>9.8056532335999993</v>
      </c>
      <c r="S1767">
        <v>9.8393682984000002</v>
      </c>
      <c r="T1767">
        <v>9.5976888954999993</v>
      </c>
      <c r="U1767">
        <v>9.2734971867000002</v>
      </c>
      <c r="V1767">
        <v>8.7751608654000002</v>
      </c>
      <c r="W1767">
        <v>8.3831840259000003</v>
      </c>
      <c r="X1767">
        <v>8.2469038012000002</v>
      </c>
      <c r="Y1767">
        <v>8.1227406871000003</v>
      </c>
      <c r="Z1767">
        <v>7.1381685802000003</v>
      </c>
      <c r="AA1767">
        <v>6.4454154765</v>
      </c>
      <c r="AB1767">
        <v>6.0586263874000004</v>
      </c>
    </row>
    <row r="1768" spans="1:28" hidden="1" x14ac:dyDescent="0.25">
      <c r="A1768" t="s">
        <v>232</v>
      </c>
      <c r="B1768" t="s">
        <v>291</v>
      </c>
      <c r="C1768">
        <v>115</v>
      </c>
      <c r="D1768" t="s">
        <v>4</v>
      </c>
      <c r="E1768">
        <v>0.22634193</v>
      </c>
      <c r="F1768">
        <v>0.222693105</v>
      </c>
      <c r="G1768">
        <v>0.22169591999999999</v>
      </c>
      <c r="H1768">
        <v>0.22250109000000001</v>
      </c>
      <c r="I1768">
        <v>0.25422718500000002</v>
      </c>
      <c r="J1768">
        <v>0.28171912500000001</v>
      </c>
      <c r="K1768">
        <v>0.31004812500000001</v>
      </c>
      <c r="L1768">
        <v>0.32266612500000003</v>
      </c>
      <c r="M1768">
        <v>0.33302791500000001</v>
      </c>
      <c r="N1768">
        <v>0.33694595999999999</v>
      </c>
      <c r="O1768">
        <v>0.32766869999999998</v>
      </c>
      <c r="P1768">
        <v>0.330595635</v>
      </c>
      <c r="Q1768">
        <v>0.33198514499999998</v>
      </c>
      <c r="R1768">
        <v>0.32763947999999998</v>
      </c>
      <c r="S1768">
        <v>0.32262998999999998</v>
      </c>
      <c r="T1768">
        <v>0.31717372500000002</v>
      </c>
      <c r="U1768">
        <v>0.31723855499999998</v>
      </c>
      <c r="V1768">
        <v>0.31869674999999997</v>
      </c>
      <c r="W1768">
        <v>0.35521976999999999</v>
      </c>
      <c r="X1768">
        <v>0.37110706500000001</v>
      </c>
      <c r="Y1768">
        <v>0.36156002999999998</v>
      </c>
      <c r="Z1768">
        <v>0.31052488499999997</v>
      </c>
      <c r="AA1768">
        <v>0.27102643500000001</v>
      </c>
      <c r="AB1768">
        <v>0.24297634500000001</v>
      </c>
    </row>
    <row r="1769" spans="1:28" hidden="1" x14ac:dyDescent="0.25">
      <c r="A1769" t="s">
        <v>232</v>
      </c>
      <c r="B1769" t="s">
        <v>292</v>
      </c>
      <c r="C1769">
        <v>115</v>
      </c>
      <c r="D1769" t="s">
        <v>2</v>
      </c>
      <c r="E1769">
        <v>28.586383365</v>
      </c>
      <c r="F1769">
        <v>25.871265340000001</v>
      </c>
      <c r="G1769">
        <v>22.18632912</v>
      </c>
      <c r="H1769">
        <v>20.386019995000002</v>
      </c>
      <c r="I1769">
        <v>21.612287864999999</v>
      </c>
      <c r="J1769">
        <v>23.66457772</v>
      </c>
      <c r="K1769">
        <v>25.316682759999999</v>
      </c>
      <c r="L1769">
        <v>26.618802525</v>
      </c>
      <c r="M1769">
        <v>27.121538645000001</v>
      </c>
      <c r="N1769">
        <v>27.432090429999999</v>
      </c>
      <c r="O1769">
        <v>27.54783187</v>
      </c>
      <c r="P1769">
        <v>27.869807685000001</v>
      </c>
      <c r="Q1769">
        <v>27.945725575000001</v>
      </c>
      <c r="R1769">
        <v>27.157189734999999</v>
      </c>
      <c r="S1769">
        <v>27.129530934999998</v>
      </c>
      <c r="T1769">
        <v>27.139178025</v>
      </c>
      <c r="U1769">
        <v>27.000490025000001</v>
      </c>
      <c r="V1769">
        <v>27.641631449999998</v>
      </c>
      <c r="W1769">
        <v>29.591465544999998</v>
      </c>
      <c r="X1769">
        <v>30.585578765000001</v>
      </c>
      <c r="Y1769">
        <v>31.410668940000001</v>
      </c>
      <c r="Z1769">
        <v>28.162923984999999</v>
      </c>
      <c r="AA1769">
        <v>26.984852165</v>
      </c>
      <c r="AB1769">
        <v>29.021577050000001</v>
      </c>
    </row>
    <row r="1770" spans="1:28" hidden="1" x14ac:dyDescent="0.25">
      <c r="A1770" t="s">
        <v>232</v>
      </c>
      <c r="B1770" t="s">
        <v>292</v>
      </c>
      <c r="C1770">
        <v>115</v>
      </c>
      <c r="D1770" t="s">
        <v>3</v>
      </c>
      <c r="E1770">
        <v>4.5198286666999996</v>
      </c>
      <c r="F1770">
        <v>4.1579439348999996</v>
      </c>
      <c r="G1770">
        <v>4.0120317842000004</v>
      </c>
      <c r="H1770">
        <v>3.8670535680999998</v>
      </c>
      <c r="I1770">
        <v>3.6160647766</v>
      </c>
      <c r="J1770">
        <v>3.6663809028999998</v>
      </c>
      <c r="K1770">
        <v>4.5160154379000002</v>
      </c>
      <c r="L1770">
        <v>5.5971789474999998</v>
      </c>
      <c r="M1770">
        <v>6.0488924954999996</v>
      </c>
      <c r="N1770">
        <v>6.2997340271000004</v>
      </c>
      <c r="O1770">
        <v>6.3508920544</v>
      </c>
      <c r="P1770">
        <v>6.5237760650999999</v>
      </c>
      <c r="Q1770">
        <v>6.5376661695999996</v>
      </c>
      <c r="R1770">
        <v>6.1724563909999999</v>
      </c>
      <c r="S1770">
        <v>6.1519957169000001</v>
      </c>
      <c r="T1770">
        <v>6.2528627685</v>
      </c>
      <c r="U1770">
        <v>6.1789965850000002</v>
      </c>
      <c r="V1770">
        <v>6.0248895104000004</v>
      </c>
      <c r="W1770">
        <v>5.5037231275999998</v>
      </c>
      <c r="X1770">
        <v>5.4378885892</v>
      </c>
      <c r="Y1770">
        <v>5.5437223059000003</v>
      </c>
      <c r="Z1770">
        <v>4.8846338222999997</v>
      </c>
      <c r="AA1770">
        <v>4.394136058</v>
      </c>
      <c r="AB1770">
        <v>4.7369003927</v>
      </c>
    </row>
    <row r="1771" spans="1:28" hidden="1" x14ac:dyDescent="0.25">
      <c r="A1771" t="s">
        <v>232</v>
      </c>
      <c r="B1771" t="s">
        <v>292</v>
      </c>
      <c r="C1771">
        <v>115</v>
      </c>
      <c r="D1771" t="s">
        <v>4</v>
      </c>
      <c r="E1771">
        <v>0.43532563499999999</v>
      </c>
      <c r="F1771">
        <v>0.39397865999999998</v>
      </c>
      <c r="G1771">
        <v>0.33786287999999998</v>
      </c>
      <c r="H1771">
        <v>0.310447005</v>
      </c>
      <c r="I1771">
        <v>0.32912113500000001</v>
      </c>
      <c r="J1771">
        <v>0.36037427999999999</v>
      </c>
      <c r="K1771">
        <v>0.38553324</v>
      </c>
      <c r="L1771">
        <v>0.405362475</v>
      </c>
      <c r="M1771">
        <v>0.413018355</v>
      </c>
      <c r="N1771">
        <v>0.41774757000000001</v>
      </c>
      <c r="O1771">
        <v>0.41951012999999998</v>
      </c>
      <c r="P1771">
        <v>0.42441331500000001</v>
      </c>
      <c r="Q1771">
        <v>0.425569425</v>
      </c>
      <c r="R1771">
        <v>0.41356126500000001</v>
      </c>
      <c r="S1771">
        <v>0.413140065</v>
      </c>
      <c r="T1771">
        <v>0.413286975</v>
      </c>
      <c r="U1771">
        <v>0.411174975</v>
      </c>
      <c r="V1771">
        <v>0.42093855000000002</v>
      </c>
      <c r="W1771">
        <v>0.45063145500000001</v>
      </c>
      <c r="X1771">
        <v>0.46577023499999998</v>
      </c>
      <c r="Y1771">
        <v>0.47833505999999998</v>
      </c>
      <c r="Z1771">
        <v>0.42887701499999997</v>
      </c>
      <c r="AA1771">
        <v>0.410936835</v>
      </c>
      <c r="AB1771">
        <v>0.44195295000000001</v>
      </c>
    </row>
    <row r="1772" spans="1:28" hidden="1" x14ac:dyDescent="0.25">
      <c r="A1772" t="s">
        <v>232</v>
      </c>
      <c r="B1772" t="s">
        <v>293</v>
      </c>
      <c r="C1772">
        <v>115</v>
      </c>
      <c r="D1772" t="s">
        <v>2</v>
      </c>
      <c r="E1772">
        <v>27.431529964999999</v>
      </c>
      <c r="F1772">
        <v>25.727615895</v>
      </c>
      <c r="G1772">
        <v>22.801063679999999</v>
      </c>
      <c r="H1772">
        <v>22.075622015</v>
      </c>
      <c r="I1772">
        <v>28.816383819999999</v>
      </c>
      <c r="J1772">
        <v>40.121755794999999</v>
      </c>
      <c r="K1772">
        <v>38.314660019999998</v>
      </c>
      <c r="L1772">
        <v>36.354017519999999</v>
      </c>
      <c r="M1772">
        <v>36.664302370000001</v>
      </c>
      <c r="N1772">
        <v>37.91514402</v>
      </c>
      <c r="O1772">
        <v>39.720129925000002</v>
      </c>
      <c r="P1772">
        <v>40.935894740000002</v>
      </c>
      <c r="Q1772">
        <v>40.505602414999998</v>
      </c>
      <c r="R1772">
        <v>40.549174874999999</v>
      </c>
      <c r="S1772">
        <v>39.784130300000001</v>
      </c>
      <c r="T1772">
        <v>39.544415774999997</v>
      </c>
      <c r="U1772">
        <v>39.977800015</v>
      </c>
      <c r="V1772">
        <v>42.067971</v>
      </c>
      <c r="W1772">
        <v>49.37920836</v>
      </c>
      <c r="X1772">
        <v>51.869358294999998</v>
      </c>
      <c r="Y1772">
        <v>51.978509099999997</v>
      </c>
      <c r="Z1772">
        <v>44.530783245000002</v>
      </c>
      <c r="AA1772">
        <v>37.169796490000003</v>
      </c>
      <c r="AB1772">
        <v>33.25924011</v>
      </c>
    </row>
    <row r="1773" spans="1:28" hidden="1" x14ac:dyDescent="0.25">
      <c r="A1773" t="s">
        <v>232</v>
      </c>
      <c r="B1773" t="s">
        <v>293</v>
      </c>
      <c r="C1773">
        <v>115</v>
      </c>
      <c r="D1773" t="s">
        <v>3</v>
      </c>
      <c r="E1773">
        <v>8.6166843811000007</v>
      </c>
      <c r="F1773">
        <v>8.3894253544000001</v>
      </c>
      <c r="G1773">
        <v>7.8954914088999999</v>
      </c>
      <c r="H1773">
        <v>7.7772400065999996</v>
      </c>
      <c r="I1773">
        <v>8.2121230098000009</v>
      </c>
      <c r="J1773">
        <v>9.3935734599000007</v>
      </c>
      <c r="K1773">
        <v>10.141351584700001</v>
      </c>
      <c r="L1773">
        <v>10.3659408326</v>
      </c>
      <c r="M1773">
        <v>10.814010232699999</v>
      </c>
      <c r="N1773">
        <v>11.275885991699999</v>
      </c>
      <c r="O1773">
        <v>11.853580733399999</v>
      </c>
      <c r="P1773">
        <v>12.4793045067</v>
      </c>
      <c r="Q1773">
        <v>12.5097885356</v>
      </c>
      <c r="R1773">
        <v>12.631277109899999</v>
      </c>
      <c r="S1773">
        <v>12.711361521900001</v>
      </c>
      <c r="T1773">
        <v>12.568776436</v>
      </c>
      <c r="U1773">
        <v>12.5165822399</v>
      </c>
      <c r="V1773">
        <v>12.7738882689</v>
      </c>
      <c r="W1773">
        <v>12.924780066</v>
      </c>
      <c r="X1773">
        <v>12.824100660199999</v>
      </c>
      <c r="Y1773">
        <v>12.7635140084</v>
      </c>
      <c r="Z1773">
        <v>11.1292810838</v>
      </c>
      <c r="AA1773">
        <v>9.7791102124999991</v>
      </c>
      <c r="AB1773">
        <v>9.3211002292000007</v>
      </c>
    </row>
    <row r="1774" spans="1:28" hidden="1" x14ac:dyDescent="0.25">
      <c r="A1774" t="s">
        <v>232</v>
      </c>
      <c r="B1774" t="s">
        <v>293</v>
      </c>
      <c r="C1774">
        <v>115</v>
      </c>
      <c r="D1774" t="s">
        <v>4</v>
      </c>
      <c r="E1774">
        <v>0.41773903499999998</v>
      </c>
      <c r="F1774">
        <v>0.39179110499999997</v>
      </c>
      <c r="G1774">
        <v>0.34722431999999998</v>
      </c>
      <c r="H1774">
        <v>0.33617698499999998</v>
      </c>
      <c r="I1774">
        <v>0.43882818000000001</v>
      </c>
      <c r="J1774">
        <v>0.61099120500000004</v>
      </c>
      <c r="K1774">
        <v>0.58347198</v>
      </c>
      <c r="L1774">
        <v>0.55361448000000002</v>
      </c>
      <c r="M1774">
        <v>0.55833962999999998</v>
      </c>
      <c r="N1774">
        <v>0.57738798000000002</v>
      </c>
      <c r="O1774">
        <v>0.60487507500000004</v>
      </c>
      <c r="P1774">
        <v>0.62338925999999995</v>
      </c>
      <c r="Q1774">
        <v>0.61683658500000005</v>
      </c>
      <c r="R1774">
        <v>0.61750012499999996</v>
      </c>
      <c r="S1774">
        <v>0.60584970000000005</v>
      </c>
      <c r="T1774">
        <v>0.602199225</v>
      </c>
      <c r="U1774">
        <v>0.60879898499999996</v>
      </c>
      <c r="V1774">
        <v>0.640629</v>
      </c>
      <c r="W1774">
        <v>0.75196764000000005</v>
      </c>
      <c r="X1774">
        <v>0.78988870499999997</v>
      </c>
      <c r="Y1774">
        <v>0.79155089999999995</v>
      </c>
      <c r="Z1774">
        <v>0.67813375499999995</v>
      </c>
      <c r="AA1774">
        <v>0.56603751000000002</v>
      </c>
      <c r="AB1774">
        <v>0.50648588999999999</v>
      </c>
    </row>
    <row r="1775" spans="1:28" hidden="1" x14ac:dyDescent="0.25">
      <c r="A1775" t="s">
        <v>232</v>
      </c>
      <c r="B1775" t="s">
        <v>294</v>
      </c>
      <c r="C1775">
        <v>115</v>
      </c>
      <c r="D1775" t="s">
        <v>2</v>
      </c>
      <c r="E1775">
        <v>15.22307453</v>
      </c>
      <c r="F1775">
        <v>14.19256556</v>
      </c>
      <c r="G1775">
        <v>13.803585119999999</v>
      </c>
      <c r="H1775">
        <v>13.752253815</v>
      </c>
      <c r="I1775">
        <v>15.56626232</v>
      </c>
      <c r="J1775">
        <v>19.174722155000001</v>
      </c>
      <c r="K1775">
        <v>20.690283539999999</v>
      </c>
      <c r="L1775">
        <v>21.761068174999998</v>
      </c>
      <c r="M1775">
        <v>22.664062985000001</v>
      </c>
      <c r="N1775">
        <v>23.715761274999998</v>
      </c>
      <c r="O1775">
        <v>24.698056465000001</v>
      </c>
      <c r="P1775">
        <v>25.206942925</v>
      </c>
      <c r="Q1775">
        <v>25.254323395</v>
      </c>
      <c r="R1775">
        <v>25.02764436</v>
      </c>
      <c r="S1775">
        <v>24.695110329999999</v>
      </c>
      <c r="T1775">
        <v>24.222858975000001</v>
      </c>
      <c r="U1775">
        <v>23.884227795000001</v>
      </c>
      <c r="V1775">
        <v>24.3059388</v>
      </c>
      <c r="W1775">
        <v>27.089825585</v>
      </c>
      <c r="X1775">
        <v>27.725219535000001</v>
      </c>
      <c r="Y1775">
        <v>27.118249729999999</v>
      </c>
      <c r="Z1775">
        <v>23.315368625000001</v>
      </c>
      <c r="AA1775">
        <v>19.809891525000001</v>
      </c>
      <c r="AB1775">
        <v>17.095121205000002</v>
      </c>
    </row>
    <row r="1776" spans="1:28" hidden="1" x14ac:dyDescent="0.25">
      <c r="A1776" t="s">
        <v>232</v>
      </c>
      <c r="B1776" t="s">
        <v>294</v>
      </c>
      <c r="C1776">
        <v>115</v>
      </c>
      <c r="D1776" t="s">
        <v>3</v>
      </c>
      <c r="E1776">
        <v>3.0040662283000001</v>
      </c>
      <c r="F1776">
        <v>2.8430765099999999</v>
      </c>
      <c r="G1776">
        <v>2.7891847220999999</v>
      </c>
      <c r="H1776">
        <v>2.7838677330000001</v>
      </c>
      <c r="I1776">
        <v>2.9319536636999999</v>
      </c>
      <c r="J1776">
        <v>3.3025120936999999</v>
      </c>
      <c r="K1776">
        <v>4.1512786702</v>
      </c>
      <c r="L1776">
        <v>4.7730251214999999</v>
      </c>
      <c r="M1776">
        <v>5.3678340660000003</v>
      </c>
      <c r="N1776">
        <v>5.8256006960000004</v>
      </c>
      <c r="O1776">
        <v>6.2960659641000003</v>
      </c>
      <c r="P1776">
        <v>6.6338867963999997</v>
      </c>
      <c r="Q1776">
        <v>6.5427870573</v>
      </c>
      <c r="R1776">
        <v>6.6192302004999997</v>
      </c>
      <c r="S1776">
        <v>6.5827895742000004</v>
      </c>
      <c r="T1776">
        <v>6.3840520144999999</v>
      </c>
      <c r="U1776">
        <v>6.1603394419999997</v>
      </c>
      <c r="V1776">
        <v>5.9521836232999998</v>
      </c>
      <c r="W1776">
        <v>5.6810826709000004</v>
      </c>
      <c r="X1776">
        <v>5.5038403131000004</v>
      </c>
      <c r="Y1776">
        <v>5.2160079591999997</v>
      </c>
      <c r="Z1776">
        <v>4.3967365195000001</v>
      </c>
      <c r="AA1776">
        <v>3.6461581485000001</v>
      </c>
      <c r="AB1776">
        <v>3.2693091610999998</v>
      </c>
    </row>
    <row r="1777" spans="1:28" hidden="1" x14ac:dyDescent="0.25">
      <c r="A1777" t="s">
        <v>232</v>
      </c>
      <c r="B1777" t="s">
        <v>294</v>
      </c>
      <c r="C1777">
        <v>115</v>
      </c>
      <c r="D1777" t="s">
        <v>4</v>
      </c>
      <c r="E1777">
        <v>0.23182347</v>
      </c>
      <c r="F1777">
        <v>0.21613044000000001</v>
      </c>
      <c r="G1777">
        <v>0.21020688000000001</v>
      </c>
      <c r="H1777">
        <v>0.20942518500000001</v>
      </c>
      <c r="I1777">
        <v>0.23704968000000001</v>
      </c>
      <c r="J1777">
        <v>0.29200084500000001</v>
      </c>
      <c r="K1777">
        <v>0.31508046000000001</v>
      </c>
      <c r="L1777">
        <v>0.331386825</v>
      </c>
      <c r="M1777">
        <v>0.34513801500000002</v>
      </c>
      <c r="N1777">
        <v>0.36115372499999998</v>
      </c>
      <c r="O1777">
        <v>0.37611253500000003</v>
      </c>
      <c r="P1777">
        <v>0.38386207500000002</v>
      </c>
      <c r="Q1777">
        <v>0.384583605</v>
      </c>
      <c r="R1777">
        <v>0.38113163999999999</v>
      </c>
      <c r="S1777">
        <v>0.37606767000000002</v>
      </c>
      <c r="T1777">
        <v>0.368876025</v>
      </c>
      <c r="U1777">
        <v>0.36371920499999999</v>
      </c>
      <c r="V1777">
        <v>0.3701412</v>
      </c>
      <c r="W1777">
        <v>0.41253541500000002</v>
      </c>
      <c r="X1777">
        <v>0.42221146500000001</v>
      </c>
      <c r="Y1777">
        <v>0.41296827000000003</v>
      </c>
      <c r="Z1777">
        <v>0.35505637499999998</v>
      </c>
      <c r="AA1777">
        <v>0.30167347500000002</v>
      </c>
      <c r="AB1777">
        <v>0.26033179499999998</v>
      </c>
    </row>
    <row r="1778" spans="1:28" hidden="1" x14ac:dyDescent="0.25">
      <c r="A1778" t="s">
        <v>232</v>
      </c>
      <c r="B1778" t="s">
        <v>295</v>
      </c>
      <c r="C1778">
        <v>115</v>
      </c>
      <c r="D1778" t="s">
        <v>2</v>
      </c>
      <c r="E1778">
        <v>4.9793700300000001</v>
      </c>
      <c r="F1778">
        <v>4.8984463700000003</v>
      </c>
      <c r="G1778">
        <v>4.9178764800000003</v>
      </c>
      <c r="H1778">
        <v>4.861068575</v>
      </c>
      <c r="I1778">
        <v>5.0082758399999996</v>
      </c>
      <c r="J1778">
        <v>5.2325386700000003</v>
      </c>
      <c r="K1778">
        <v>5.2689541200000001</v>
      </c>
      <c r="L1778">
        <v>5.6476097899999997</v>
      </c>
      <c r="M1778">
        <v>5.9223725849999997</v>
      </c>
      <c r="N1778">
        <v>6.0363489049999997</v>
      </c>
      <c r="O1778">
        <v>6.0751037300000004</v>
      </c>
      <c r="P1778">
        <v>6.0478605999999999</v>
      </c>
      <c r="Q1778">
        <v>5.8313713900000002</v>
      </c>
      <c r="R1778">
        <v>5.751967585</v>
      </c>
      <c r="S1778">
        <v>5.6803137599999998</v>
      </c>
      <c r="T1778">
        <v>5.4844208999999999</v>
      </c>
      <c r="U1778">
        <v>5.4214419700000001</v>
      </c>
      <c r="V1778">
        <v>5.4815841000000001</v>
      </c>
      <c r="W1778">
        <v>6.1752181449999997</v>
      </c>
      <c r="X1778">
        <v>6.1486477700000002</v>
      </c>
      <c r="Y1778">
        <v>6.2150643499999996</v>
      </c>
      <c r="Z1778">
        <v>5.5737072100000002</v>
      </c>
      <c r="AA1778">
        <v>5.2499712000000001</v>
      </c>
      <c r="AB1778">
        <v>5.0723550150000003</v>
      </c>
    </row>
    <row r="1779" spans="1:28" hidden="1" x14ac:dyDescent="0.25">
      <c r="A1779" t="s">
        <v>232</v>
      </c>
      <c r="B1779" t="s">
        <v>295</v>
      </c>
      <c r="C1779">
        <v>115</v>
      </c>
      <c r="D1779" t="s">
        <v>3</v>
      </c>
      <c r="E1779">
        <v>1.4793327890000001</v>
      </c>
      <c r="F1779">
        <v>1.4292829264</v>
      </c>
      <c r="G1779">
        <v>1.3913845606999999</v>
      </c>
      <c r="H1779">
        <v>1.3615661658</v>
      </c>
      <c r="I1779">
        <v>1.3414620589999999</v>
      </c>
      <c r="J1779">
        <v>1.3882586079999999</v>
      </c>
      <c r="K1779">
        <v>1.6631617754000001</v>
      </c>
      <c r="L1779">
        <v>1.9946158665</v>
      </c>
      <c r="M1779">
        <v>2.1905373951999998</v>
      </c>
      <c r="N1779">
        <v>2.2862901129000002</v>
      </c>
      <c r="O1779">
        <v>2.3607004189</v>
      </c>
      <c r="P1779">
        <v>2.3622031865999999</v>
      </c>
      <c r="Q1779">
        <v>2.2436854844999998</v>
      </c>
      <c r="R1779">
        <v>2.2342202085</v>
      </c>
      <c r="S1779">
        <v>2.2128820615000002</v>
      </c>
      <c r="T1779">
        <v>2.1421321329</v>
      </c>
      <c r="U1779">
        <v>2.0961714342</v>
      </c>
      <c r="V1779">
        <v>2.0310913586999999</v>
      </c>
      <c r="W1779">
        <v>1.9220173457</v>
      </c>
      <c r="X1779">
        <v>1.7852401261999999</v>
      </c>
      <c r="Y1779">
        <v>1.8180198596999999</v>
      </c>
      <c r="Z1779">
        <v>1.6178744860000001</v>
      </c>
      <c r="AA1779">
        <v>1.5379442131000001</v>
      </c>
      <c r="AB1779">
        <v>1.5067640962</v>
      </c>
    </row>
    <row r="1780" spans="1:28" hidden="1" x14ac:dyDescent="0.25">
      <c r="A1780" t="s">
        <v>232</v>
      </c>
      <c r="B1780" t="s">
        <v>295</v>
      </c>
      <c r="C1780">
        <v>115</v>
      </c>
      <c r="D1780" t="s">
        <v>4</v>
      </c>
      <c r="E1780">
        <v>7.5827969999999995E-2</v>
      </c>
      <c r="F1780">
        <v>7.4595629999999996E-2</v>
      </c>
      <c r="G1780">
        <v>7.4891520000000003E-2</v>
      </c>
      <c r="H1780">
        <v>7.4026425000000007E-2</v>
      </c>
      <c r="I1780">
        <v>7.6268160000000002E-2</v>
      </c>
      <c r="J1780">
        <v>7.9683329999999997E-2</v>
      </c>
      <c r="K1780">
        <v>8.0237879999999998E-2</v>
      </c>
      <c r="L1780">
        <v>8.6004209999999998E-2</v>
      </c>
      <c r="M1780">
        <v>9.0188414999999994E-2</v>
      </c>
      <c r="N1780">
        <v>9.1924094999999997E-2</v>
      </c>
      <c r="O1780">
        <v>9.2514269999999996E-2</v>
      </c>
      <c r="P1780">
        <v>9.2099399999999998E-2</v>
      </c>
      <c r="Q1780">
        <v>8.8802610000000004E-2</v>
      </c>
      <c r="R1780">
        <v>8.7593414999999994E-2</v>
      </c>
      <c r="S1780">
        <v>8.6502239999999994E-2</v>
      </c>
      <c r="T1780">
        <v>8.3519099999999999E-2</v>
      </c>
      <c r="U1780">
        <v>8.2560030000000006E-2</v>
      </c>
      <c r="V1780">
        <v>8.3475900000000006E-2</v>
      </c>
      <c r="W1780">
        <v>9.4038855000000005E-2</v>
      </c>
      <c r="X1780">
        <v>9.3634229999999999E-2</v>
      </c>
      <c r="Y1780">
        <v>9.4645649999999998E-2</v>
      </c>
      <c r="Z1780">
        <v>8.4878789999999996E-2</v>
      </c>
      <c r="AA1780">
        <v>7.99488E-2</v>
      </c>
      <c r="AB1780">
        <v>7.7243985000000001E-2</v>
      </c>
    </row>
    <row r="1781" spans="1:28" hidden="1" x14ac:dyDescent="0.25">
      <c r="A1781" t="s">
        <v>232</v>
      </c>
      <c r="B1781" t="s">
        <v>296</v>
      </c>
      <c r="C1781">
        <v>115</v>
      </c>
      <c r="D1781" t="s">
        <v>2</v>
      </c>
      <c r="E1781">
        <v>19.43754084</v>
      </c>
      <c r="F1781">
        <v>18.329668985000001</v>
      </c>
      <c r="G1781">
        <v>17.603762400000001</v>
      </c>
      <c r="H1781">
        <v>17.394593709999999</v>
      </c>
      <c r="I1781">
        <v>20.770055735</v>
      </c>
      <c r="J1781">
        <v>25.622560719999999</v>
      </c>
      <c r="K1781">
        <v>25.592063150000001</v>
      </c>
      <c r="L1781">
        <v>26.855764959999998</v>
      </c>
      <c r="M1781">
        <v>28.084186039999999</v>
      </c>
      <c r="N1781">
        <v>28.570618440000001</v>
      </c>
      <c r="O1781">
        <v>30.176694430000001</v>
      </c>
      <c r="P1781">
        <v>30.848604300000002</v>
      </c>
      <c r="Q1781">
        <v>30.367988324999999</v>
      </c>
      <c r="R1781">
        <v>29.923402665000001</v>
      </c>
      <c r="S1781">
        <v>29.892926764999999</v>
      </c>
      <c r="T1781">
        <v>29.924915625000001</v>
      </c>
      <c r="U1781">
        <v>29.561801285000001</v>
      </c>
      <c r="V1781">
        <v>30.212451900000001</v>
      </c>
      <c r="W1781">
        <v>33.580565825000001</v>
      </c>
      <c r="X1781">
        <v>34.504496809999999</v>
      </c>
      <c r="Y1781">
        <v>34.697052489999997</v>
      </c>
      <c r="Z1781">
        <v>29.948865900000001</v>
      </c>
      <c r="AA1781">
        <v>26.687353600000002</v>
      </c>
      <c r="AB1781">
        <v>22.64902893</v>
      </c>
    </row>
    <row r="1782" spans="1:28" hidden="1" x14ac:dyDescent="0.25">
      <c r="A1782" t="s">
        <v>232</v>
      </c>
      <c r="B1782" t="s">
        <v>296</v>
      </c>
      <c r="C1782">
        <v>115</v>
      </c>
      <c r="D1782" t="s">
        <v>3</v>
      </c>
      <c r="E1782">
        <v>2.9497910898000002</v>
      </c>
      <c r="F1782">
        <v>2.8435127045000002</v>
      </c>
      <c r="G1782">
        <v>2.7717763582999999</v>
      </c>
      <c r="H1782">
        <v>2.6903074744</v>
      </c>
      <c r="I1782">
        <v>2.9460231331000002</v>
      </c>
      <c r="J1782">
        <v>3.299589412</v>
      </c>
      <c r="K1782">
        <v>3.6890139675000002</v>
      </c>
      <c r="L1782">
        <v>4.3662499465</v>
      </c>
      <c r="M1782">
        <v>4.9649505639999996</v>
      </c>
      <c r="N1782">
        <v>5.2094733402999998</v>
      </c>
      <c r="O1782">
        <v>5.5988956778999999</v>
      </c>
      <c r="P1782">
        <v>5.8104300531000002</v>
      </c>
      <c r="Q1782">
        <v>5.7300892539000001</v>
      </c>
      <c r="R1782">
        <v>5.5958609436</v>
      </c>
      <c r="S1782">
        <v>5.7381997501999997</v>
      </c>
      <c r="T1782">
        <v>5.7820840932999999</v>
      </c>
      <c r="U1782">
        <v>5.5713634660000002</v>
      </c>
      <c r="V1782">
        <v>5.2854570149000004</v>
      </c>
      <c r="W1782">
        <v>5.3314621441999996</v>
      </c>
      <c r="X1782">
        <v>5.2551030311</v>
      </c>
      <c r="Y1782">
        <v>5.1483944589000004</v>
      </c>
      <c r="Z1782">
        <v>4.3277339815999998</v>
      </c>
      <c r="AA1782">
        <v>3.7639512220000002</v>
      </c>
      <c r="AB1782">
        <v>3.3401318237000002</v>
      </c>
    </row>
    <row r="1783" spans="1:28" hidden="1" x14ac:dyDescent="0.25">
      <c r="A1783" t="s">
        <v>232</v>
      </c>
      <c r="B1783" t="s">
        <v>296</v>
      </c>
      <c r="C1783">
        <v>115</v>
      </c>
      <c r="D1783" t="s">
        <v>4</v>
      </c>
      <c r="E1783">
        <v>0.29600315999999999</v>
      </c>
      <c r="F1783">
        <v>0.27913201500000001</v>
      </c>
      <c r="G1783">
        <v>0.26807760000000003</v>
      </c>
      <c r="H1783">
        <v>0.26489228999999997</v>
      </c>
      <c r="I1783">
        <v>0.31629526499999999</v>
      </c>
      <c r="J1783">
        <v>0.39019127999999997</v>
      </c>
      <c r="K1783">
        <v>0.38972685000000001</v>
      </c>
      <c r="L1783">
        <v>0.40897104000000001</v>
      </c>
      <c r="M1783">
        <v>0.42767796000000002</v>
      </c>
      <c r="N1783">
        <v>0.43508555999999998</v>
      </c>
      <c r="O1783">
        <v>0.45954357000000001</v>
      </c>
      <c r="P1783">
        <v>0.46977570000000002</v>
      </c>
      <c r="Q1783">
        <v>0.46245667499999998</v>
      </c>
      <c r="R1783">
        <v>0.455686335</v>
      </c>
      <c r="S1783">
        <v>0.45522223499999998</v>
      </c>
      <c r="T1783">
        <v>0.45570937500000003</v>
      </c>
      <c r="U1783">
        <v>0.45017971499999998</v>
      </c>
      <c r="V1783">
        <v>0.4600881</v>
      </c>
      <c r="W1783">
        <v>0.51137917499999996</v>
      </c>
      <c r="X1783">
        <v>0.52544919000000001</v>
      </c>
      <c r="Y1783">
        <v>0.52838151</v>
      </c>
      <c r="Z1783">
        <v>0.45607409999999998</v>
      </c>
      <c r="AA1783">
        <v>0.4064064</v>
      </c>
      <c r="AB1783">
        <v>0.34490906999999998</v>
      </c>
    </row>
    <row r="1784" spans="1:28" hidden="1" x14ac:dyDescent="0.25">
      <c r="A1784" t="s">
        <v>232</v>
      </c>
      <c r="B1784" t="s">
        <v>297</v>
      </c>
      <c r="C1784">
        <v>230</v>
      </c>
      <c r="D1784" t="s">
        <v>2</v>
      </c>
      <c r="E1784">
        <v>13.338414</v>
      </c>
      <c r="F1784">
        <v>12.162806</v>
      </c>
      <c r="G1784">
        <v>11.744351999999999</v>
      </c>
      <c r="H1784">
        <v>12.021386</v>
      </c>
      <c r="I1784">
        <v>15.070404</v>
      </c>
      <c r="J1784">
        <v>19.552403999999999</v>
      </c>
      <c r="K1784">
        <v>18.731491999999999</v>
      </c>
      <c r="L1784">
        <v>19.426124000000002</v>
      </c>
      <c r="M1784">
        <v>20.714655</v>
      </c>
      <c r="N1784">
        <v>21.43805</v>
      </c>
      <c r="O1784">
        <v>23.167814</v>
      </c>
      <c r="P1784">
        <v>24.078724999999999</v>
      </c>
      <c r="Q1784">
        <v>23.020368999999999</v>
      </c>
      <c r="R1784">
        <v>23.113071000000001</v>
      </c>
      <c r="S1784">
        <v>23.067264999999999</v>
      </c>
      <c r="T1784">
        <v>22.934609999999999</v>
      </c>
      <c r="U1784">
        <v>22.731096000000001</v>
      </c>
      <c r="V1784">
        <v>23.079899999999999</v>
      </c>
      <c r="W1784">
        <v>25.580399</v>
      </c>
      <c r="X1784">
        <v>26.432518000000002</v>
      </c>
      <c r="Y1784">
        <v>26.509861999999998</v>
      </c>
      <c r="Z1784">
        <v>22.773817999999999</v>
      </c>
      <c r="AA1784">
        <v>19.010048000000001</v>
      </c>
      <c r="AB1784">
        <v>15.628056000000001</v>
      </c>
    </row>
    <row r="1785" spans="1:28" hidden="1" x14ac:dyDescent="0.25">
      <c r="A1785" t="s">
        <v>232</v>
      </c>
      <c r="B1785" t="s">
        <v>297</v>
      </c>
      <c r="C1785">
        <v>230</v>
      </c>
      <c r="D1785" t="s">
        <v>3</v>
      </c>
      <c r="E1785">
        <v>4.6638366405999996</v>
      </c>
      <c r="F1785">
        <v>4.4827564401000002</v>
      </c>
      <c r="G1785">
        <v>4.3930279217999999</v>
      </c>
      <c r="H1785">
        <v>4.4025436067000001</v>
      </c>
      <c r="I1785">
        <v>4.6839378993</v>
      </c>
      <c r="J1785">
        <v>5.1416338219000002</v>
      </c>
      <c r="K1785">
        <v>5.6567495080999999</v>
      </c>
      <c r="L1785">
        <v>6.7653139278000003</v>
      </c>
      <c r="M1785">
        <v>7.8804804916000002</v>
      </c>
      <c r="N1785">
        <v>8.1922108086000005</v>
      </c>
      <c r="O1785">
        <v>9.1397351946000001</v>
      </c>
      <c r="P1785">
        <v>9.6890504569000004</v>
      </c>
      <c r="Q1785">
        <v>8.9556317695000001</v>
      </c>
      <c r="R1785">
        <v>9.0970168560999998</v>
      </c>
      <c r="S1785">
        <v>9.4371031651999999</v>
      </c>
      <c r="T1785">
        <v>9.4456423933</v>
      </c>
      <c r="U1785">
        <v>9.0865225912999996</v>
      </c>
      <c r="V1785">
        <v>8.4745134350000004</v>
      </c>
      <c r="W1785">
        <v>8.0305241625000008</v>
      </c>
      <c r="X1785">
        <v>7.7677034366999997</v>
      </c>
      <c r="Y1785">
        <v>7.7730529393000003</v>
      </c>
      <c r="Z1785">
        <v>6.5714700619000004</v>
      </c>
      <c r="AA1785">
        <v>5.6032952998000001</v>
      </c>
      <c r="AB1785">
        <v>5.075431504</v>
      </c>
    </row>
    <row r="1786" spans="1:28" hidden="1" x14ac:dyDescent="0.25">
      <c r="A1786" t="s">
        <v>232</v>
      </c>
      <c r="B1786" t="s">
        <v>297</v>
      </c>
      <c r="C1786">
        <v>230</v>
      </c>
      <c r="D1786" t="s">
        <v>4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0</v>
      </c>
    </row>
    <row r="1787" spans="1:28" hidden="1" x14ac:dyDescent="0.25">
      <c r="A1787" t="s">
        <v>232</v>
      </c>
      <c r="B1787" t="s">
        <v>298</v>
      </c>
      <c r="C1787">
        <v>115</v>
      </c>
      <c r="D1787" t="s">
        <v>2</v>
      </c>
      <c r="E1787">
        <v>37.735225890000002</v>
      </c>
      <c r="F1787">
        <v>37.305760964999997</v>
      </c>
      <c r="G1787">
        <v>37.079670960000001</v>
      </c>
      <c r="H1787">
        <v>38.279184260000001</v>
      </c>
      <c r="I1787">
        <v>40.111323659999996</v>
      </c>
      <c r="J1787">
        <v>40.071118915</v>
      </c>
      <c r="K1787">
        <v>42.573884730000003</v>
      </c>
      <c r="L1787">
        <v>43.24568034</v>
      </c>
      <c r="M1787">
        <v>43.486540419999997</v>
      </c>
      <c r="N1787">
        <v>44.230754214999997</v>
      </c>
      <c r="O1787">
        <v>44.315116510000003</v>
      </c>
      <c r="P1787">
        <v>44.185491495000001</v>
      </c>
      <c r="Q1787">
        <v>44.408135969999996</v>
      </c>
      <c r="R1787">
        <v>43.908147999999997</v>
      </c>
      <c r="S1787">
        <v>44.652970525000001</v>
      </c>
      <c r="T1787">
        <v>43.744785749999998</v>
      </c>
      <c r="U1787">
        <v>44.438750755000001</v>
      </c>
      <c r="V1787">
        <v>45.169952700000003</v>
      </c>
      <c r="W1787">
        <v>46.607120889999997</v>
      </c>
      <c r="X1787">
        <v>46.576566190000001</v>
      </c>
      <c r="Y1787">
        <v>46.881262149999998</v>
      </c>
      <c r="Z1787">
        <v>42.764467455000002</v>
      </c>
      <c r="AA1787">
        <v>40.512277760000003</v>
      </c>
      <c r="AB1787">
        <v>39.519425339999998</v>
      </c>
    </row>
    <row r="1788" spans="1:28" hidden="1" x14ac:dyDescent="0.25">
      <c r="A1788" t="s">
        <v>232</v>
      </c>
      <c r="B1788" t="s">
        <v>298</v>
      </c>
      <c r="C1788">
        <v>115</v>
      </c>
      <c r="D1788" t="s">
        <v>3</v>
      </c>
      <c r="E1788">
        <v>10.9210400025</v>
      </c>
      <c r="F1788">
        <v>10.795293282099999</v>
      </c>
      <c r="G1788">
        <v>10.751537191000001</v>
      </c>
      <c r="H1788">
        <v>11.1454647211</v>
      </c>
      <c r="I1788">
        <v>11.3229665922</v>
      </c>
      <c r="J1788">
        <v>10.9634286588</v>
      </c>
      <c r="K1788">
        <v>12.7181855562</v>
      </c>
      <c r="L1788">
        <v>13.3464024155</v>
      </c>
      <c r="M1788">
        <v>13.6964533621</v>
      </c>
      <c r="N1788">
        <v>14.0984314748</v>
      </c>
      <c r="O1788">
        <v>14.285414315200001</v>
      </c>
      <c r="P1788">
        <v>14.1208327319</v>
      </c>
      <c r="Q1788">
        <v>14.2930177633</v>
      </c>
      <c r="R1788">
        <v>14.0734871977</v>
      </c>
      <c r="S1788">
        <v>14.5096707906</v>
      </c>
      <c r="T1788">
        <v>14.126729516499999</v>
      </c>
      <c r="U1788">
        <v>14.2258884139</v>
      </c>
      <c r="V1788">
        <v>14.107293536</v>
      </c>
      <c r="W1788">
        <v>13.4759534037</v>
      </c>
      <c r="X1788">
        <v>13.3924609891</v>
      </c>
      <c r="Y1788">
        <v>13.5625325954</v>
      </c>
      <c r="Z1788">
        <v>12.296343611299999</v>
      </c>
      <c r="AA1788">
        <v>11.5260395441</v>
      </c>
      <c r="AB1788">
        <v>11.482020862400001</v>
      </c>
    </row>
    <row r="1789" spans="1:28" hidden="1" x14ac:dyDescent="0.25">
      <c r="A1789" t="s">
        <v>232</v>
      </c>
      <c r="B1789" t="s">
        <v>298</v>
      </c>
      <c r="C1789">
        <v>115</v>
      </c>
      <c r="D1789" t="s">
        <v>4</v>
      </c>
      <c r="E1789">
        <v>0.57464811000000005</v>
      </c>
      <c r="F1789">
        <v>0.56810803499999996</v>
      </c>
      <c r="G1789">
        <v>0.56466503999999995</v>
      </c>
      <c r="H1789">
        <v>0.58293174000000003</v>
      </c>
      <c r="I1789">
        <v>0.61083233999999997</v>
      </c>
      <c r="J1789">
        <v>0.61022008500000002</v>
      </c>
      <c r="K1789">
        <v>0.64833326999999996</v>
      </c>
      <c r="L1789">
        <v>0.65856366</v>
      </c>
      <c r="M1789">
        <v>0.66223158000000004</v>
      </c>
      <c r="N1789">
        <v>0.67356478500000005</v>
      </c>
      <c r="O1789">
        <v>0.67484949000000005</v>
      </c>
      <c r="P1789">
        <v>0.67287550500000004</v>
      </c>
      <c r="Q1789">
        <v>0.67626602999999996</v>
      </c>
      <c r="R1789">
        <v>0.66865200000000002</v>
      </c>
      <c r="S1789">
        <v>0.67999447499999999</v>
      </c>
      <c r="T1789">
        <v>0.66616425000000001</v>
      </c>
      <c r="U1789">
        <v>0.67673224499999995</v>
      </c>
      <c r="V1789">
        <v>0.68786729999999996</v>
      </c>
      <c r="W1789">
        <v>0.70975310999999996</v>
      </c>
      <c r="X1789">
        <v>0.70928780999999996</v>
      </c>
      <c r="Y1789">
        <v>0.71392785000000003</v>
      </c>
      <c r="Z1789">
        <v>0.65123554500000003</v>
      </c>
      <c r="AA1789">
        <v>0.61693823999999997</v>
      </c>
      <c r="AB1789">
        <v>0.60181865999999995</v>
      </c>
    </row>
    <row r="1790" spans="1:28" hidden="1" x14ac:dyDescent="0.25">
      <c r="A1790" t="s">
        <v>232</v>
      </c>
      <c r="B1790" t="s">
        <v>299</v>
      </c>
      <c r="C1790">
        <v>115</v>
      </c>
      <c r="D1790" t="s">
        <v>2</v>
      </c>
      <c r="E1790">
        <v>0.68991271499999995</v>
      </c>
      <c r="F1790">
        <v>0.68951773000000005</v>
      </c>
      <c r="G1790">
        <v>0.69856200000000002</v>
      </c>
      <c r="H1790">
        <v>0.69245992499999998</v>
      </c>
      <c r="I1790">
        <v>0.812153185</v>
      </c>
      <c r="J1790">
        <v>1.14778307</v>
      </c>
      <c r="K1790">
        <v>1.5788505900000001</v>
      </c>
      <c r="L1790">
        <v>1.5402573049999999</v>
      </c>
      <c r="M1790">
        <v>1.4230432900000001</v>
      </c>
      <c r="N1790">
        <v>1.3748265550000001</v>
      </c>
      <c r="O1790">
        <v>1.413842405</v>
      </c>
      <c r="P1790">
        <v>1.51196515</v>
      </c>
      <c r="Q1790">
        <v>1.502699255</v>
      </c>
      <c r="R1790">
        <v>1.2952907600000001</v>
      </c>
      <c r="S1790">
        <v>1.20624479</v>
      </c>
      <c r="T1790">
        <v>1.1969966249999999</v>
      </c>
      <c r="U1790">
        <v>1.195278785</v>
      </c>
      <c r="V1790">
        <v>1.2960334499999999</v>
      </c>
      <c r="W1790">
        <v>1.62268506</v>
      </c>
      <c r="X1790">
        <v>1.64414427</v>
      </c>
      <c r="Y1790">
        <v>1.430806075</v>
      </c>
      <c r="Z1790">
        <v>1.11866647</v>
      </c>
      <c r="AA1790">
        <v>0.87499519999999997</v>
      </c>
      <c r="AB1790">
        <v>0.77048472999999995</v>
      </c>
    </row>
    <row r="1791" spans="1:28" hidden="1" x14ac:dyDescent="0.25">
      <c r="A1791" t="s">
        <v>232</v>
      </c>
      <c r="B1791" t="s">
        <v>299</v>
      </c>
      <c r="C1791">
        <v>115</v>
      </c>
      <c r="D1791" t="s">
        <v>3</v>
      </c>
      <c r="E1791">
        <v>9.7575709E-3</v>
      </c>
      <c r="F1791">
        <v>9.7519844999999997E-3</v>
      </c>
      <c r="G1791">
        <v>9.3727758000000001E-3</v>
      </c>
      <c r="H1791">
        <v>9.7935965999999992E-3</v>
      </c>
      <c r="I1791">
        <v>1.14864418E-2</v>
      </c>
      <c r="J1791">
        <v>2.94943566E-2</v>
      </c>
      <c r="K1791">
        <v>0.1070337806</v>
      </c>
      <c r="L1791">
        <v>0.1095545924</v>
      </c>
      <c r="M1791">
        <v>0.12325518520000001</v>
      </c>
      <c r="N1791">
        <v>0.15604835419999999</v>
      </c>
      <c r="O1791">
        <v>0.18251963230000001</v>
      </c>
      <c r="P1791">
        <v>0.2005202941</v>
      </c>
      <c r="Q1791">
        <v>0.19882566099999999</v>
      </c>
      <c r="R1791">
        <v>0.18040253179999999</v>
      </c>
      <c r="S1791">
        <v>0.181321748</v>
      </c>
      <c r="T1791">
        <v>0.18664937819999999</v>
      </c>
      <c r="U1791">
        <v>0.13769405849999999</v>
      </c>
      <c r="V1791">
        <v>0.11435364069999999</v>
      </c>
      <c r="W1791">
        <v>0.108305293</v>
      </c>
      <c r="X1791">
        <v>0.10014843480000001</v>
      </c>
      <c r="Y1791">
        <v>7.2179164899999995E-2</v>
      </c>
      <c r="Z1791">
        <v>2.3469175599999999E-2</v>
      </c>
      <c r="AA1791">
        <v>1.4110165100000001E-2</v>
      </c>
      <c r="AB1791">
        <v>1.2894020000000001E-2</v>
      </c>
    </row>
    <row r="1792" spans="1:28" hidden="1" x14ac:dyDescent="0.25">
      <c r="A1792" t="s">
        <v>232</v>
      </c>
      <c r="B1792" t="s">
        <v>299</v>
      </c>
      <c r="C1792">
        <v>115</v>
      </c>
      <c r="D1792" t="s">
        <v>4</v>
      </c>
      <c r="E1792">
        <v>1.0506285000000001E-2</v>
      </c>
      <c r="F1792">
        <v>1.0500270000000001E-2</v>
      </c>
      <c r="G1792">
        <v>1.0638E-2</v>
      </c>
      <c r="H1792">
        <v>1.0545074999999999E-2</v>
      </c>
      <c r="I1792">
        <v>1.2367815000000001E-2</v>
      </c>
      <c r="J1792">
        <v>1.747893E-2</v>
      </c>
      <c r="K1792">
        <v>2.4043410000000001E-2</v>
      </c>
      <c r="L1792">
        <v>2.3455694999999999E-2</v>
      </c>
      <c r="M1792">
        <v>2.1670709999999999E-2</v>
      </c>
      <c r="N1792">
        <v>2.0936445000000001E-2</v>
      </c>
      <c r="O1792">
        <v>2.1530595E-2</v>
      </c>
      <c r="P1792">
        <v>2.3024849999999999E-2</v>
      </c>
      <c r="Q1792">
        <v>2.2883745E-2</v>
      </c>
      <c r="R1792">
        <v>1.9725240000000002E-2</v>
      </c>
      <c r="S1792">
        <v>1.836921E-2</v>
      </c>
      <c r="T1792">
        <v>1.8228375000000002E-2</v>
      </c>
      <c r="U1792">
        <v>1.8202215000000001E-2</v>
      </c>
      <c r="V1792">
        <v>1.9736549999999999E-2</v>
      </c>
      <c r="W1792">
        <v>2.4710940000000001E-2</v>
      </c>
      <c r="X1792">
        <v>2.5037730000000001E-2</v>
      </c>
      <c r="Y1792">
        <v>2.1788925000000001E-2</v>
      </c>
      <c r="Z1792">
        <v>1.703553E-2</v>
      </c>
      <c r="AA1792">
        <v>1.3324799999999999E-2</v>
      </c>
      <c r="AB1792">
        <v>1.1733270000000001E-2</v>
      </c>
    </row>
    <row r="1793" spans="1:28" hidden="1" x14ac:dyDescent="0.25">
      <c r="A1793" t="s">
        <v>232</v>
      </c>
      <c r="B1793" t="s">
        <v>300</v>
      </c>
      <c r="C1793">
        <v>115</v>
      </c>
      <c r="D1793" t="s">
        <v>2</v>
      </c>
      <c r="E1793">
        <v>15.46304417</v>
      </c>
      <c r="F1793">
        <v>14.997002255</v>
      </c>
      <c r="G1793">
        <v>14.8793706</v>
      </c>
      <c r="H1793">
        <v>15.026380865</v>
      </c>
      <c r="I1793">
        <v>16.107697120000001</v>
      </c>
      <c r="J1793">
        <v>18.58395166</v>
      </c>
      <c r="K1793">
        <v>22.416003539999998</v>
      </c>
      <c r="L1793">
        <v>23.992466490000002</v>
      </c>
      <c r="M1793">
        <v>25.007900034999999</v>
      </c>
      <c r="N1793">
        <v>25.19799617</v>
      </c>
      <c r="O1793">
        <v>25.62589002</v>
      </c>
      <c r="P1793">
        <v>25.83880959</v>
      </c>
      <c r="Q1793">
        <v>24.62632975</v>
      </c>
      <c r="R1793">
        <v>23.578675870000001</v>
      </c>
      <c r="S1793">
        <v>22.677392990000001</v>
      </c>
      <c r="T1793">
        <v>23.091153075000001</v>
      </c>
      <c r="U1793">
        <v>22.966424494999998</v>
      </c>
      <c r="V1793">
        <v>23.39234145</v>
      </c>
      <c r="W1793">
        <v>25.399529139999999</v>
      </c>
      <c r="X1793">
        <v>24.932427364999999</v>
      </c>
      <c r="Y1793">
        <v>23.787154075</v>
      </c>
      <c r="Z1793">
        <v>20.037871745</v>
      </c>
      <c r="AA1793">
        <v>17.079905910000001</v>
      </c>
      <c r="AB1793">
        <v>15.987549775</v>
      </c>
    </row>
    <row r="1794" spans="1:28" hidden="1" x14ac:dyDescent="0.25">
      <c r="A1794" t="s">
        <v>232</v>
      </c>
      <c r="B1794" t="s">
        <v>300</v>
      </c>
      <c r="C1794">
        <v>115</v>
      </c>
      <c r="D1794" t="s">
        <v>3</v>
      </c>
      <c r="E1794">
        <v>5.8476971573999998</v>
      </c>
      <c r="F1794">
        <v>5.6821079904999996</v>
      </c>
      <c r="G1794">
        <v>5.5550383444999998</v>
      </c>
      <c r="H1794">
        <v>5.6402205087999997</v>
      </c>
      <c r="I1794">
        <v>5.7068304637000002</v>
      </c>
      <c r="J1794">
        <v>6.2793492521000003</v>
      </c>
      <c r="K1794">
        <v>8.5414296616000005</v>
      </c>
      <c r="L1794">
        <v>10.264816701499999</v>
      </c>
      <c r="M1794">
        <v>11.128742219599999</v>
      </c>
      <c r="N1794">
        <v>11.3465920899</v>
      </c>
      <c r="O1794">
        <v>11.693406746499999</v>
      </c>
      <c r="P1794">
        <v>11.8821404802</v>
      </c>
      <c r="Q1794">
        <v>11.0812355268</v>
      </c>
      <c r="R1794">
        <v>10.3945257759</v>
      </c>
      <c r="S1794">
        <v>10.1036700071</v>
      </c>
      <c r="T1794">
        <v>10.192589675600001</v>
      </c>
      <c r="U1794">
        <v>9.9689615059999994</v>
      </c>
      <c r="V1794">
        <v>9.6528292449999995</v>
      </c>
      <c r="W1794">
        <v>9.2044674948999994</v>
      </c>
      <c r="X1794">
        <v>8.4331163724000007</v>
      </c>
      <c r="Y1794">
        <v>8.3027186370999999</v>
      </c>
      <c r="Z1794">
        <v>7.2361582735000001</v>
      </c>
      <c r="AA1794">
        <v>6.3810326355000004</v>
      </c>
      <c r="AB1794">
        <v>6.2211717861000002</v>
      </c>
    </row>
    <row r="1795" spans="1:28" hidden="1" x14ac:dyDescent="0.25">
      <c r="A1795" t="s">
        <v>232</v>
      </c>
      <c r="B1795" t="s">
        <v>300</v>
      </c>
      <c r="C1795">
        <v>115</v>
      </c>
      <c r="D1795" t="s">
        <v>4</v>
      </c>
      <c r="E1795">
        <v>0.23547783</v>
      </c>
      <c r="F1795">
        <v>0.228380745</v>
      </c>
      <c r="G1795">
        <v>0.2265894</v>
      </c>
      <c r="H1795">
        <v>0.22882813499999999</v>
      </c>
      <c r="I1795">
        <v>0.24529487999999999</v>
      </c>
      <c r="J1795">
        <v>0.28300434000000002</v>
      </c>
      <c r="K1795">
        <v>0.34136045999999998</v>
      </c>
      <c r="L1795">
        <v>0.36536751000000001</v>
      </c>
      <c r="M1795">
        <v>0.38083096500000002</v>
      </c>
      <c r="N1795">
        <v>0.38372582999999999</v>
      </c>
      <c r="O1795">
        <v>0.39024197999999999</v>
      </c>
      <c r="P1795">
        <v>0.39348441000000001</v>
      </c>
      <c r="Q1795">
        <v>0.37502025</v>
      </c>
      <c r="R1795">
        <v>0.35906612999999998</v>
      </c>
      <c r="S1795">
        <v>0.34534101</v>
      </c>
      <c r="T1795">
        <v>0.35164192500000002</v>
      </c>
      <c r="U1795">
        <v>0.34974250499999998</v>
      </c>
      <c r="V1795">
        <v>0.35622854999999998</v>
      </c>
      <c r="W1795">
        <v>0.38679486000000002</v>
      </c>
      <c r="X1795">
        <v>0.37968163500000002</v>
      </c>
      <c r="Y1795">
        <v>0.36224092499999999</v>
      </c>
      <c r="Z1795">
        <v>0.305145255</v>
      </c>
      <c r="AA1795">
        <v>0.26010009000000001</v>
      </c>
      <c r="AB1795">
        <v>0.24346522500000001</v>
      </c>
    </row>
    <row r="1796" spans="1:28" hidden="1" x14ac:dyDescent="0.25">
      <c r="A1796" t="s">
        <v>232</v>
      </c>
      <c r="B1796" t="s">
        <v>301</v>
      </c>
      <c r="C1796">
        <v>34</v>
      </c>
      <c r="D1796" t="s">
        <v>2</v>
      </c>
      <c r="E1796">
        <v>6.6759066599999999</v>
      </c>
      <c r="F1796">
        <v>6.12529974</v>
      </c>
      <c r="G1796">
        <v>5.9023879199999998</v>
      </c>
      <c r="H1796">
        <v>5.9053823100000002</v>
      </c>
      <c r="I1796">
        <v>7.0647670500000004</v>
      </c>
      <c r="J1796">
        <v>7.6295505199999996</v>
      </c>
      <c r="K1796">
        <v>10.35935362</v>
      </c>
      <c r="L1796">
        <v>13.0483818</v>
      </c>
      <c r="M1796">
        <v>13.3954769</v>
      </c>
      <c r="N1796">
        <v>13.87737581</v>
      </c>
      <c r="O1796">
        <v>13.509773940000001</v>
      </c>
      <c r="P1796">
        <v>13.37824097</v>
      </c>
      <c r="Q1796">
        <v>13.07538757</v>
      </c>
      <c r="R1796">
        <v>11.3503677</v>
      </c>
      <c r="S1796">
        <v>10.366909919999999</v>
      </c>
      <c r="T1796">
        <v>10.694642849999999</v>
      </c>
      <c r="U1796">
        <v>10.99305268</v>
      </c>
      <c r="V1796">
        <v>11.821438499999999</v>
      </c>
      <c r="W1796">
        <v>12.73940479</v>
      </c>
      <c r="X1796">
        <v>12.354001480000001</v>
      </c>
      <c r="Y1796">
        <v>11.646408790000001</v>
      </c>
      <c r="Z1796">
        <v>8.9869908299999999</v>
      </c>
      <c r="AA1796">
        <v>7.4620654699999998</v>
      </c>
      <c r="AB1796">
        <v>7.0500618499999996</v>
      </c>
    </row>
    <row r="1797" spans="1:28" hidden="1" x14ac:dyDescent="0.25">
      <c r="A1797" t="s">
        <v>232</v>
      </c>
      <c r="B1797" t="s">
        <v>301</v>
      </c>
      <c r="C1797">
        <v>34</v>
      </c>
      <c r="D1797" t="s">
        <v>3</v>
      </c>
      <c r="E1797">
        <v>2.7644238982</v>
      </c>
      <c r="F1797">
        <v>2.6287168321999999</v>
      </c>
      <c r="G1797">
        <v>2.5622066046</v>
      </c>
      <c r="H1797">
        <v>2.5021327994</v>
      </c>
      <c r="I1797">
        <v>2.6246398066999999</v>
      </c>
      <c r="J1797">
        <v>2.8563495229</v>
      </c>
      <c r="K1797">
        <v>4.8213246365</v>
      </c>
      <c r="L1797">
        <v>6.5612473269000002</v>
      </c>
      <c r="M1797">
        <v>7.3586735145000004</v>
      </c>
      <c r="N1797">
        <v>7.7237576004999999</v>
      </c>
      <c r="O1797">
        <v>7.7055323439999999</v>
      </c>
      <c r="P1797">
        <v>7.6987840889000001</v>
      </c>
      <c r="Q1797">
        <v>7.6137040573999997</v>
      </c>
      <c r="R1797">
        <v>6.4963357491</v>
      </c>
      <c r="S1797">
        <v>5.4877375696000001</v>
      </c>
      <c r="T1797">
        <v>5.5481568139000004</v>
      </c>
      <c r="U1797">
        <v>5.6443821630000004</v>
      </c>
      <c r="V1797">
        <v>5.8911186618000002</v>
      </c>
      <c r="W1797">
        <v>5.8730631439999996</v>
      </c>
      <c r="X1797">
        <v>5.4943658475000001</v>
      </c>
      <c r="Y1797">
        <v>5.1163063315999997</v>
      </c>
      <c r="Z1797">
        <v>3.7313191467000002</v>
      </c>
      <c r="AA1797">
        <v>2.9592801217</v>
      </c>
      <c r="AB1797">
        <v>2.8640129381000001</v>
      </c>
    </row>
    <row r="1798" spans="1:28" hidden="1" x14ac:dyDescent="0.25">
      <c r="A1798" t="s">
        <v>232</v>
      </c>
      <c r="B1798" t="s">
        <v>301</v>
      </c>
      <c r="C1798">
        <v>34</v>
      </c>
      <c r="D1798" t="s">
        <v>4</v>
      </c>
      <c r="E1798">
        <v>0.20647134</v>
      </c>
      <c r="F1798">
        <v>0.18944226</v>
      </c>
      <c r="G1798">
        <v>0.18254808</v>
      </c>
      <c r="H1798">
        <v>0.18264068999999999</v>
      </c>
      <c r="I1798">
        <v>0.21849795</v>
      </c>
      <c r="J1798">
        <v>0.23596548000000001</v>
      </c>
      <c r="K1798">
        <v>0.32039237999999998</v>
      </c>
      <c r="L1798">
        <v>0.40355819999999998</v>
      </c>
      <c r="M1798">
        <v>0.41429310000000003</v>
      </c>
      <c r="N1798">
        <v>0.42919719000000001</v>
      </c>
      <c r="O1798">
        <v>0.41782806</v>
      </c>
      <c r="P1798">
        <v>0.41376003</v>
      </c>
      <c r="Q1798">
        <v>0.40439343</v>
      </c>
      <c r="R1798">
        <v>0.35104229999999997</v>
      </c>
      <c r="S1798">
        <v>0.32062607999999998</v>
      </c>
      <c r="T1798">
        <v>0.33076214999999998</v>
      </c>
      <c r="U1798">
        <v>0.33999131999999999</v>
      </c>
      <c r="V1798">
        <v>0.36561149999999998</v>
      </c>
      <c r="W1798">
        <v>0.39400221000000002</v>
      </c>
      <c r="X1798">
        <v>0.38208251999999998</v>
      </c>
      <c r="Y1798">
        <v>0.36019821000000002</v>
      </c>
      <c r="Z1798">
        <v>0.27794816999999999</v>
      </c>
      <c r="AA1798">
        <v>0.23078552999999999</v>
      </c>
      <c r="AB1798">
        <v>0.21804314999999999</v>
      </c>
    </row>
    <row r="1799" spans="1:28" hidden="1" x14ac:dyDescent="0.25">
      <c r="A1799" t="s">
        <v>232</v>
      </c>
      <c r="B1799" t="s">
        <v>302</v>
      </c>
      <c r="C1799">
        <v>115</v>
      </c>
      <c r="D1799" t="s">
        <v>2</v>
      </c>
      <c r="E1799">
        <v>28.751362985</v>
      </c>
      <c r="F1799">
        <v>27.451409235</v>
      </c>
      <c r="G1799">
        <v>27.0343494</v>
      </c>
      <c r="H1799">
        <v>26.812048690000001</v>
      </c>
      <c r="I1799">
        <v>28.199750179999999</v>
      </c>
      <c r="J1799">
        <v>31.884727770000001</v>
      </c>
      <c r="K1799">
        <v>38.975574334999997</v>
      </c>
      <c r="L1799">
        <v>45.674547515</v>
      </c>
      <c r="M1799">
        <v>49.55540319</v>
      </c>
      <c r="N1799">
        <v>51.384150249999998</v>
      </c>
      <c r="O1799">
        <v>52.267978929999998</v>
      </c>
      <c r="P1799">
        <v>52.986483239999998</v>
      </c>
      <c r="Q1799">
        <v>54.074755564999997</v>
      </c>
      <c r="R1799">
        <v>52.404374834999999</v>
      </c>
      <c r="S1799">
        <v>51.407938985000001</v>
      </c>
      <c r="T1799">
        <v>49.8821139</v>
      </c>
      <c r="U1799">
        <v>48.323405575000002</v>
      </c>
      <c r="V1799">
        <v>47.294597699999997</v>
      </c>
      <c r="W1799">
        <v>49.491894330000001</v>
      </c>
      <c r="X1799">
        <v>47.770260110000002</v>
      </c>
      <c r="Y1799">
        <v>45.942295139999999</v>
      </c>
      <c r="Z1799">
        <v>39.486970575000001</v>
      </c>
      <c r="AA1799">
        <v>34.91230848</v>
      </c>
      <c r="AB1799">
        <v>31.236718925000002</v>
      </c>
    </row>
    <row r="1800" spans="1:28" hidden="1" x14ac:dyDescent="0.25">
      <c r="A1800" t="s">
        <v>232</v>
      </c>
      <c r="B1800" t="s">
        <v>302</v>
      </c>
      <c r="C1800">
        <v>115</v>
      </c>
      <c r="D1800" t="s">
        <v>3</v>
      </c>
      <c r="E1800">
        <v>5.6690595822000001</v>
      </c>
      <c r="F1800">
        <v>5.3534839585</v>
      </c>
      <c r="G1800">
        <v>5.3868631096000001</v>
      </c>
      <c r="H1800">
        <v>5.3439942200999999</v>
      </c>
      <c r="I1800">
        <v>5.3051965571000004</v>
      </c>
      <c r="J1800">
        <v>5.5282282918999996</v>
      </c>
      <c r="K1800">
        <v>7.2798901043999997</v>
      </c>
      <c r="L1800">
        <v>8.8476763231</v>
      </c>
      <c r="M1800">
        <v>9.8691327126000008</v>
      </c>
      <c r="N1800">
        <v>10.6127872034</v>
      </c>
      <c r="O1800">
        <v>10.977204351099999</v>
      </c>
      <c r="P1800">
        <v>11.3390062461</v>
      </c>
      <c r="Q1800">
        <v>12.021074130300001</v>
      </c>
      <c r="R1800">
        <v>11.8384960777</v>
      </c>
      <c r="S1800">
        <v>11.5026010178</v>
      </c>
      <c r="T1800">
        <v>10.919052000000001</v>
      </c>
      <c r="U1800">
        <v>10.561267788</v>
      </c>
      <c r="V1800">
        <v>10.2408807187</v>
      </c>
      <c r="W1800">
        <v>9.8274689138000006</v>
      </c>
      <c r="X1800">
        <v>9.1725317440000005</v>
      </c>
      <c r="Y1800">
        <v>8.7097512284</v>
      </c>
      <c r="Z1800">
        <v>7.4727623094000002</v>
      </c>
      <c r="AA1800">
        <v>6.4893957114000003</v>
      </c>
      <c r="AB1800">
        <v>6.0081670519000001</v>
      </c>
    </row>
    <row r="1801" spans="1:28" hidden="1" x14ac:dyDescent="0.25">
      <c r="A1801" t="s">
        <v>232</v>
      </c>
      <c r="B1801" t="s">
        <v>302</v>
      </c>
      <c r="C1801">
        <v>115</v>
      </c>
      <c r="D1801" t="s">
        <v>4</v>
      </c>
      <c r="E1801">
        <v>0.43783801500000002</v>
      </c>
      <c r="F1801">
        <v>0.41804176500000001</v>
      </c>
      <c r="G1801">
        <v>0.41169060000000002</v>
      </c>
      <c r="H1801">
        <v>0.40830530999999998</v>
      </c>
      <c r="I1801">
        <v>0.42943782000000003</v>
      </c>
      <c r="J1801">
        <v>0.48555422999999998</v>
      </c>
      <c r="K1801">
        <v>0.59353666500000002</v>
      </c>
      <c r="L1801">
        <v>0.69555148499999997</v>
      </c>
      <c r="M1801">
        <v>0.75465081000000001</v>
      </c>
      <c r="N1801">
        <v>0.78249975000000005</v>
      </c>
      <c r="O1801">
        <v>0.79595906999999999</v>
      </c>
      <c r="P1801">
        <v>0.80690075999999999</v>
      </c>
      <c r="Q1801">
        <v>0.82347343500000003</v>
      </c>
      <c r="R1801">
        <v>0.79803616499999996</v>
      </c>
      <c r="S1801">
        <v>0.78286201499999997</v>
      </c>
      <c r="T1801">
        <v>0.75962609999999997</v>
      </c>
      <c r="U1801">
        <v>0.73588942499999999</v>
      </c>
      <c r="V1801">
        <v>0.72022229999999998</v>
      </c>
      <c r="W1801">
        <v>0.75368367000000003</v>
      </c>
      <c r="X1801">
        <v>0.72746588999999995</v>
      </c>
      <c r="Y1801">
        <v>0.69962886000000002</v>
      </c>
      <c r="Z1801">
        <v>0.60132442500000005</v>
      </c>
      <c r="AA1801">
        <v>0.53165952000000005</v>
      </c>
      <c r="AB1801">
        <v>0.47568607499999999</v>
      </c>
    </row>
    <row r="1802" spans="1:28" hidden="1" x14ac:dyDescent="0.25">
      <c r="A1802" t="s">
        <v>232</v>
      </c>
      <c r="B1802" t="s">
        <v>303</v>
      </c>
      <c r="C1802">
        <v>115</v>
      </c>
      <c r="D1802" t="s">
        <v>2</v>
      </c>
      <c r="E1802">
        <v>38.305153785000002</v>
      </c>
      <c r="F1802">
        <v>37.578694615000003</v>
      </c>
      <c r="G1802">
        <v>30.764670479999999</v>
      </c>
      <c r="H1802">
        <v>24.651573330000002</v>
      </c>
      <c r="I1802">
        <v>25.973849149999999</v>
      </c>
      <c r="J1802">
        <v>32.019760435000002</v>
      </c>
      <c r="K1802">
        <v>31.283268055000001</v>
      </c>
      <c r="L1802">
        <v>31.831980035000001</v>
      </c>
      <c r="M1802">
        <v>32.960202975000001</v>
      </c>
      <c r="N1802">
        <v>33.382511874999999</v>
      </c>
      <c r="O1802">
        <v>35.898337804999997</v>
      </c>
      <c r="P1802">
        <v>38.65666384</v>
      </c>
      <c r="Q1802">
        <v>36.333929429999998</v>
      </c>
      <c r="R1802">
        <v>35.851002645000001</v>
      </c>
      <c r="S1802">
        <v>35.814489680000001</v>
      </c>
      <c r="T1802">
        <v>35.017592174999997</v>
      </c>
      <c r="U1802">
        <v>33.745275554999999</v>
      </c>
      <c r="V1802">
        <v>33.548144550000004</v>
      </c>
      <c r="W1802">
        <v>37.8401146</v>
      </c>
      <c r="X1802">
        <v>40.067559125000002</v>
      </c>
      <c r="Y1802">
        <v>40.68855336</v>
      </c>
      <c r="Z1802">
        <v>35.973965120000003</v>
      </c>
      <c r="AA1802">
        <v>32.794820489999999</v>
      </c>
      <c r="AB1802">
        <v>36.164608915000002</v>
      </c>
    </row>
    <row r="1803" spans="1:28" hidden="1" x14ac:dyDescent="0.25">
      <c r="A1803" t="s">
        <v>232</v>
      </c>
      <c r="B1803" t="s">
        <v>303</v>
      </c>
      <c r="C1803">
        <v>115</v>
      </c>
      <c r="D1803" t="s">
        <v>3</v>
      </c>
      <c r="E1803">
        <v>7.0284398694999997</v>
      </c>
      <c r="F1803">
        <v>6.8908396422999996</v>
      </c>
      <c r="G1803">
        <v>6.9396652192000001</v>
      </c>
      <c r="H1803">
        <v>7.4817129101999997</v>
      </c>
      <c r="I1803">
        <v>7.996690955</v>
      </c>
      <c r="J1803">
        <v>8.2217107361000004</v>
      </c>
      <c r="K1803">
        <v>9.5026537024</v>
      </c>
      <c r="L1803">
        <v>11.3815694177</v>
      </c>
      <c r="M1803">
        <v>12.539056843699999</v>
      </c>
      <c r="N1803">
        <v>12.597359966999999</v>
      </c>
      <c r="O1803">
        <v>13.497901351599999</v>
      </c>
      <c r="P1803">
        <v>14.0061175774</v>
      </c>
      <c r="Q1803">
        <v>13.6239458717</v>
      </c>
      <c r="R1803">
        <v>13.5856469392</v>
      </c>
      <c r="S1803">
        <v>13.813206621999999</v>
      </c>
      <c r="T1803">
        <v>13.971649082300001</v>
      </c>
      <c r="U1803">
        <v>13.2199144571</v>
      </c>
      <c r="V1803">
        <v>12.4536411123</v>
      </c>
      <c r="W1803">
        <v>12.131288490899999</v>
      </c>
      <c r="X1803">
        <v>11.6568409364</v>
      </c>
      <c r="Y1803">
        <v>11.7868689916</v>
      </c>
      <c r="Z1803">
        <v>10.2320142829</v>
      </c>
      <c r="AA1803">
        <v>9.0418852093000002</v>
      </c>
      <c r="AB1803">
        <v>7.3925916920999999</v>
      </c>
    </row>
    <row r="1804" spans="1:28" hidden="1" x14ac:dyDescent="0.25">
      <c r="A1804" t="s">
        <v>232</v>
      </c>
      <c r="B1804" t="s">
        <v>303</v>
      </c>
      <c r="C1804">
        <v>115</v>
      </c>
      <c r="D1804" t="s">
        <v>4</v>
      </c>
      <c r="E1804">
        <v>0.58332721499999995</v>
      </c>
      <c r="F1804">
        <v>0.57226438499999999</v>
      </c>
      <c r="G1804">
        <v>0.46849752</v>
      </c>
      <c r="H1804">
        <v>0.37540467</v>
      </c>
      <c r="I1804">
        <v>0.39554085</v>
      </c>
      <c r="J1804">
        <v>0.487610565</v>
      </c>
      <c r="K1804">
        <v>0.47639494500000001</v>
      </c>
      <c r="L1804">
        <v>0.48475096499999998</v>
      </c>
      <c r="M1804">
        <v>0.501932025</v>
      </c>
      <c r="N1804">
        <v>0.50836312500000003</v>
      </c>
      <c r="O1804">
        <v>0.54667519499999995</v>
      </c>
      <c r="P1804">
        <v>0.58868016000000001</v>
      </c>
      <c r="Q1804">
        <v>0.55330857</v>
      </c>
      <c r="R1804">
        <v>0.545954355</v>
      </c>
      <c r="S1804">
        <v>0.54539831999999999</v>
      </c>
      <c r="T1804">
        <v>0.533262825</v>
      </c>
      <c r="U1804">
        <v>0.51388744500000005</v>
      </c>
      <c r="V1804">
        <v>0.51088544999999996</v>
      </c>
      <c r="W1804">
        <v>0.57624540000000002</v>
      </c>
      <c r="X1804">
        <v>0.61016587499999997</v>
      </c>
      <c r="Y1804">
        <v>0.61962264</v>
      </c>
      <c r="Z1804">
        <v>0.54782688000000002</v>
      </c>
      <c r="AA1804">
        <v>0.49941351</v>
      </c>
      <c r="AB1804">
        <v>0.55073008499999998</v>
      </c>
    </row>
    <row r="1805" spans="1:28" hidden="1" x14ac:dyDescent="0.25">
      <c r="A1805" t="s">
        <v>232</v>
      </c>
      <c r="B1805" t="s">
        <v>304</v>
      </c>
      <c r="C1805">
        <v>115</v>
      </c>
      <c r="D1805" t="s">
        <v>2</v>
      </c>
      <c r="E1805">
        <v>29.561260520000001</v>
      </c>
      <c r="F1805">
        <v>28.069101750000002</v>
      </c>
      <c r="G1805">
        <v>27.593198999999998</v>
      </c>
      <c r="H1805">
        <v>27.739944300000001</v>
      </c>
      <c r="I1805">
        <v>30.169971804999999</v>
      </c>
      <c r="J1805">
        <v>36.239549685</v>
      </c>
      <c r="K1805">
        <v>42.206710219999998</v>
      </c>
      <c r="L1805">
        <v>48.16265456</v>
      </c>
      <c r="M1805">
        <v>52.903741269999998</v>
      </c>
      <c r="N1805">
        <v>54.284175429999998</v>
      </c>
      <c r="O1805">
        <v>55.228211250000001</v>
      </c>
      <c r="P1805">
        <v>57.116179465000002</v>
      </c>
      <c r="Q1805">
        <v>55.98116495</v>
      </c>
      <c r="R1805">
        <v>53.062997054999997</v>
      </c>
      <c r="S1805">
        <v>54.895081294999997</v>
      </c>
      <c r="T1805">
        <v>54.517755375</v>
      </c>
      <c r="U1805">
        <v>52.250749310000003</v>
      </c>
      <c r="V1805">
        <v>47.931991199999999</v>
      </c>
      <c r="W1805">
        <v>48.477716659999999</v>
      </c>
      <c r="X1805">
        <v>47.184674655000002</v>
      </c>
      <c r="Y1805">
        <v>47.373101214999998</v>
      </c>
      <c r="Z1805">
        <v>41.214035099999997</v>
      </c>
      <c r="AA1805">
        <v>36.172301765</v>
      </c>
      <c r="AB1805">
        <v>32.376393475</v>
      </c>
    </row>
    <row r="1806" spans="1:28" hidden="1" x14ac:dyDescent="0.25">
      <c r="A1806" t="s">
        <v>232</v>
      </c>
      <c r="B1806" t="s">
        <v>304</v>
      </c>
      <c r="C1806">
        <v>115</v>
      </c>
      <c r="D1806" t="s">
        <v>3</v>
      </c>
      <c r="E1806">
        <v>7.7337809596999998</v>
      </c>
      <c r="F1806">
        <v>7.6085429566</v>
      </c>
      <c r="G1806">
        <v>7.5438578498000002</v>
      </c>
      <c r="H1806">
        <v>7.5783233067999998</v>
      </c>
      <c r="I1806">
        <v>7.7880297068999997</v>
      </c>
      <c r="J1806">
        <v>8.2384721735999999</v>
      </c>
      <c r="K1806">
        <v>11.1078339996</v>
      </c>
      <c r="L1806">
        <v>14.994030430800001</v>
      </c>
      <c r="M1806">
        <v>18.411552566699999</v>
      </c>
      <c r="N1806">
        <v>19.951801401600001</v>
      </c>
      <c r="O1806">
        <v>20.710431571499999</v>
      </c>
      <c r="P1806">
        <v>22.254396685100001</v>
      </c>
      <c r="Q1806">
        <v>21.246425605799999</v>
      </c>
      <c r="R1806">
        <v>19.185275177200001</v>
      </c>
      <c r="S1806">
        <v>20.878444807800001</v>
      </c>
      <c r="T1806">
        <v>21.0250849542</v>
      </c>
      <c r="U1806">
        <v>19.403198322600002</v>
      </c>
      <c r="V1806">
        <v>15.888452383800001</v>
      </c>
      <c r="W1806">
        <v>13.5240574459</v>
      </c>
      <c r="X1806">
        <v>12.630551171500001</v>
      </c>
      <c r="Y1806">
        <v>12.4814342097</v>
      </c>
      <c r="Z1806">
        <v>10.5683845988</v>
      </c>
      <c r="AA1806">
        <v>9.3096429905000004</v>
      </c>
      <c r="AB1806">
        <v>9.0179014956000003</v>
      </c>
    </row>
    <row r="1807" spans="1:28" hidden="1" x14ac:dyDescent="0.25">
      <c r="A1807" t="s">
        <v>232</v>
      </c>
      <c r="B1807" t="s">
        <v>304</v>
      </c>
      <c r="C1807">
        <v>115</v>
      </c>
      <c r="D1807" t="s">
        <v>4</v>
      </c>
      <c r="E1807">
        <v>0.45017148000000001</v>
      </c>
      <c r="F1807">
        <v>0.42744824999999997</v>
      </c>
      <c r="G1807">
        <v>0.42020099999999999</v>
      </c>
      <c r="H1807">
        <v>0.42243570000000003</v>
      </c>
      <c r="I1807">
        <v>0.45944119500000002</v>
      </c>
      <c r="J1807">
        <v>0.55187131499999997</v>
      </c>
      <c r="K1807">
        <v>0.64274178000000004</v>
      </c>
      <c r="L1807">
        <v>0.73344144</v>
      </c>
      <c r="M1807">
        <v>0.80564073000000003</v>
      </c>
      <c r="N1807">
        <v>0.82666256999999999</v>
      </c>
      <c r="O1807">
        <v>0.84103874999999995</v>
      </c>
      <c r="P1807">
        <v>0.869789535</v>
      </c>
      <c r="Q1807">
        <v>0.85250504999999999</v>
      </c>
      <c r="R1807">
        <v>0.80806594499999995</v>
      </c>
      <c r="S1807">
        <v>0.835965705</v>
      </c>
      <c r="T1807">
        <v>0.83021962500000002</v>
      </c>
      <c r="U1807">
        <v>0.79569668999999998</v>
      </c>
      <c r="V1807">
        <v>0.72992880000000004</v>
      </c>
      <c r="W1807">
        <v>0.73823934000000002</v>
      </c>
      <c r="X1807">
        <v>0.71854834499999998</v>
      </c>
      <c r="Y1807">
        <v>0.72141778499999998</v>
      </c>
      <c r="Z1807">
        <v>0.62762490000000004</v>
      </c>
      <c r="AA1807">
        <v>0.55084723499999999</v>
      </c>
      <c r="AB1807">
        <v>0.49304152499999998</v>
      </c>
    </row>
    <row r="1808" spans="1:28" hidden="1" x14ac:dyDescent="0.25">
      <c r="A1808" t="s">
        <v>232</v>
      </c>
      <c r="B1808" t="s">
        <v>305</v>
      </c>
      <c r="C1808">
        <v>115</v>
      </c>
      <c r="D1808" t="s">
        <v>2</v>
      </c>
      <c r="E1808">
        <v>20.082459740000001</v>
      </c>
      <c r="F1808">
        <v>17.941815385000002</v>
      </c>
      <c r="G1808">
        <v>17.3243376</v>
      </c>
      <c r="H1808">
        <v>17.588482095</v>
      </c>
      <c r="I1808">
        <v>23.582510474999999</v>
      </c>
      <c r="J1808">
        <v>34.467238199999997</v>
      </c>
      <c r="K1808">
        <v>32.843760215000003</v>
      </c>
      <c r="L1808">
        <v>30.508938870000001</v>
      </c>
      <c r="M1808">
        <v>30.281532904999999</v>
      </c>
      <c r="N1808">
        <v>30.589895035000001</v>
      </c>
      <c r="O1808">
        <v>31.98818035</v>
      </c>
      <c r="P1808">
        <v>32.969868779999999</v>
      </c>
      <c r="Q1808">
        <v>32.521109674999998</v>
      </c>
      <c r="R1808">
        <v>32.382259150000003</v>
      </c>
      <c r="S1808">
        <v>32.064166204999999</v>
      </c>
      <c r="T1808">
        <v>31.840110225</v>
      </c>
      <c r="U1808">
        <v>31.717571299999999</v>
      </c>
      <c r="V1808">
        <v>32.762025899999998</v>
      </c>
      <c r="W1808">
        <v>38.042949739999997</v>
      </c>
      <c r="X1808">
        <v>40.270261290000001</v>
      </c>
      <c r="Y1808">
        <v>41.448668994999998</v>
      </c>
      <c r="Z1808">
        <v>36.268351084999999</v>
      </c>
      <c r="AA1808">
        <v>30.11733439</v>
      </c>
      <c r="AB1808">
        <v>23.965273594999999</v>
      </c>
    </row>
    <row r="1809" spans="1:28" hidden="1" x14ac:dyDescent="0.25">
      <c r="A1809" t="s">
        <v>232</v>
      </c>
      <c r="B1809" t="s">
        <v>305</v>
      </c>
      <c r="C1809">
        <v>115</v>
      </c>
      <c r="D1809" t="s">
        <v>3</v>
      </c>
      <c r="E1809">
        <v>8.5381315774999997</v>
      </c>
      <c r="F1809">
        <v>8.401403578</v>
      </c>
      <c r="G1809">
        <v>8.3443812717999997</v>
      </c>
      <c r="H1809">
        <v>8.1467252070999994</v>
      </c>
      <c r="I1809">
        <v>8.2497396290000005</v>
      </c>
      <c r="J1809">
        <v>8.2058897470000005</v>
      </c>
      <c r="K1809">
        <v>9.1638964882000007</v>
      </c>
      <c r="L1809">
        <v>9.6836310702000006</v>
      </c>
      <c r="M1809">
        <v>10.1917504467</v>
      </c>
      <c r="N1809">
        <v>10.6020067179</v>
      </c>
      <c r="O1809">
        <v>10.912826514200001</v>
      </c>
      <c r="P1809">
        <v>11.044690131399999</v>
      </c>
      <c r="Q1809">
        <v>11.137308942700001</v>
      </c>
      <c r="R1809">
        <v>11.2564095443</v>
      </c>
      <c r="S1809">
        <v>11.4409406266</v>
      </c>
      <c r="T1809">
        <v>11.331062607</v>
      </c>
      <c r="U1809">
        <v>11.222314042900001</v>
      </c>
      <c r="V1809">
        <v>11.202858385700001</v>
      </c>
      <c r="W1809">
        <v>10.8670097518</v>
      </c>
      <c r="X1809">
        <v>10.279638134900001</v>
      </c>
      <c r="Y1809">
        <v>10.458489889299999</v>
      </c>
      <c r="Z1809">
        <v>9.4193812987999994</v>
      </c>
      <c r="AA1809">
        <v>8.9740704857000004</v>
      </c>
      <c r="AB1809">
        <v>8.6296891093999992</v>
      </c>
    </row>
    <row r="1810" spans="1:28" hidden="1" x14ac:dyDescent="0.25">
      <c r="A1810" t="s">
        <v>232</v>
      </c>
      <c r="B1810" t="s">
        <v>305</v>
      </c>
      <c r="C1810">
        <v>115</v>
      </c>
      <c r="D1810" t="s">
        <v>4</v>
      </c>
      <c r="E1810">
        <v>0.30582426000000001</v>
      </c>
      <c r="F1810">
        <v>0.27322561499999998</v>
      </c>
      <c r="G1810">
        <v>0.26382240000000001</v>
      </c>
      <c r="H1810">
        <v>0.26784490500000002</v>
      </c>
      <c r="I1810">
        <v>0.35912452500000003</v>
      </c>
      <c r="J1810">
        <v>0.52488179999999995</v>
      </c>
      <c r="K1810">
        <v>0.50015878499999999</v>
      </c>
      <c r="L1810">
        <v>0.46460312999999998</v>
      </c>
      <c r="M1810">
        <v>0.46114009500000003</v>
      </c>
      <c r="N1810">
        <v>0.46583596500000002</v>
      </c>
      <c r="O1810">
        <v>0.48712965000000003</v>
      </c>
      <c r="P1810">
        <v>0.50207922000000005</v>
      </c>
      <c r="Q1810">
        <v>0.49524532500000001</v>
      </c>
      <c r="R1810">
        <v>0.49313085000000001</v>
      </c>
      <c r="S1810">
        <v>0.488286795</v>
      </c>
      <c r="T1810">
        <v>0.48487477499999998</v>
      </c>
      <c r="U1810">
        <v>0.48300870000000001</v>
      </c>
      <c r="V1810">
        <v>0.49891410000000003</v>
      </c>
      <c r="W1810">
        <v>0.57933425999999999</v>
      </c>
      <c r="X1810">
        <v>0.61325271000000003</v>
      </c>
      <c r="Y1810">
        <v>0.63119800500000001</v>
      </c>
      <c r="Z1810">
        <v>0.55230991500000004</v>
      </c>
      <c r="AA1810">
        <v>0.45863960999999998</v>
      </c>
      <c r="AB1810">
        <v>0.36495340500000001</v>
      </c>
    </row>
    <row r="1811" spans="1:28" hidden="1" x14ac:dyDescent="0.25">
      <c r="A1811" t="s">
        <v>232</v>
      </c>
      <c r="B1811" t="s">
        <v>306</v>
      </c>
      <c r="C1811">
        <v>115</v>
      </c>
      <c r="D1811" t="s">
        <v>2</v>
      </c>
      <c r="E1811">
        <v>2.1897229650000001</v>
      </c>
      <c r="F1811">
        <v>2.1978364099999999</v>
      </c>
      <c r="G1811">
        <v>2.2493696399999998</v>
      </c>
      <c r="H1811">
        <v>2.22972086</v>
      </c>
      <c r="I1811">
        <v>2.3311798000000001</v>
      </c>
      <c r="J1811">
        <v>2.1098946249999999</v>
      </c>
      <c r="K1811">
        <v>2.1663292150000002</v>
      </c>
      <c r="L1811">
        <v>2.2906391699999999</v>
      </c>
      <c r="M1811">
        <v>2.28105512</v>
      </c>
      <c r="N1811">
        <v>2.0622403249999999</v>
      </c>
      <c r="O1811">
        <v>2.0103071849999998</v>
      </c>
      <c r="P1811">
        <v>1.98586441</v>
      </c>
      <c r="Q1811">
        <v>2.0858369849999998</v>
      </c>
      <c r="R1811">
        <v>1.9978203400000001</v>
      </c>
      <c r="S1811">
        <v>1.8861272499999999</v>
      </c>
      <c r="T1811">
        <v>1.8934310249999999</v>
      </c>
      <c r="U1811">
        <v>1.856950565</v>
      </c>
      <c r="V1811">
        <v>1.9121805000000001</v>
      </c>
      <c r="W1811">
        <v>1.8480579850000001</v>
      </c>
      <c r="X1811">
        <v>1.936936505</v>
      </c>
      <c r="Y1811">
        <v>2.0791399699999999</v>
      </c>
      <c r="Z1811">
        <v>2.001824365</v>
      </c>
      <c r="AA1811">
        <v>2.08248897</v>
      </c>
      <c r="AB1811">
        <v>2.134884075</v>
      </c>
    </row>
    <row r="1812" spans="1:28" hidden="1" x14ac:dyDescent="0.25">
      <c r="A1812" t="s">
        <v>232</v>
      </c>
      <c r="B1812" t="s">
        <v>306</v>
      </c>
      <c r="C1812">
        <v>115</v>
      </c>
      <c r="D1812" t="s">
        <v>3</v>
      </c>
      <c r="E1812">
        <v>0.53672018470000005</v>
      </c>
      <c r="F1812">
        <v>0.52355717130000001</v>
      </c>
      <c r="G1812">
        <v>0.55123991009999995</v>
      </c>
      <c r="H1812">
        <v>0.53206697260000002</v>
      </c>
      <c r="I1812">
        <v>0.51302407169999997</v>
      </c>
      <c r="J1812">
        <v>0.4490825188</v>
      </c>
      <c r="K1812">
        <v>0.49606570109999998</v>
      </c>
      <c r="L1812">
        <v>0.55705524569999998</v>
      </c>
      <c r="M1812">
        <v>0.57108771849999995</v>
      </c>
      <c r="N1812">
        <v>0.52810551539999995</v>
      </c>
      <c r="O1812">
        <v>0.51125599970000002</v>
      </c>
      <c r="P1812">
        <v>0.50854691129999996</v>
      </c>
      <c r="Q1812">
        <v>0.53334139410000003</v>
      </c>
      <c r="R1812">
        <v>0.53320821699999998</v>
      </c>
      <c r="S1812">
        <v>0.51388845579999998</v>
      </c>
      <c r="T1812">
        <v>0.49942010320000002</v>
      </c>
      <c r="U1812">
        <v>0.50722778069999996</v>
      </c>
      <c r="V1812">
        <v>0.51066902569999995</v>
      </c>
      <c r="W1812">
        <v>0.4466844834</v>
      </c>
      <c r="X1812">
        <v>0.4303090765</v>
      </c>
      <c r="Y1812">
        <v>0.44295394840000002</v>
      </c>
      <c r="Z1812">
        <v>0.44171311330000002</v>
      </c>
      <c r="AA1812">
        <v>0.49636455309999999</v>
      </c>
      <c r="AB1812">
        <v>0.51447094790000003</v>
      </c>
    </row>
    <row r="1813" spans="1:28" hidden="1" x14ac:dyDescent="0.25">
      <c r="A1813" t="s">
        <v>232</v>
      </c>
      <c r="B1813" t="s">
        <v>306</v>
      </c>
      <c r="C1813">
        <v>115</v>
      </c>
      <c r="D1813" t="s">
        <v>4</v>
      </c>
      <c r="E1813">
        <v>3.3346035000000003E-2</v>
      </c>
      <c r="F1813">
        <v>3.346959E-2</v>
      </c>
      <c r="G1813">
        <v>3.4254359999999998E-2</v>
      </c>
      <c r="H1813">
        <v>3.3955140000000002E-2</v>
      </c>
      <c r="I1813">
        <v>3.5500200000000003E-2</v>
      </c>
      <c r="J1813">
        <v>3.2130375000000003E-2</v>
      </c>
      <c r="K1813">
        <v>3.2989785000000001E-2</v>
      </c>
      <c r="L1813">
        <v>3.4882829999999997E-2</v>
      </c>
      <c r="M1813">
        <v>3.4736879999999998E-2</v>
      </c>
      <c r="N1813">
        <v>3.1404675E-2</v>
      </c>
      <c r="O1813">
        <v>3.0613814999999999E-2</v>
      </c>
      <c r="P1813">
        <v>3.0241589999999999E-2</v>
      </c>
      <c r="Q1813">
        <v>3.1764015E-2</v>
      </c>
      <c r="R1813">
        <v>3.0423660000000002E-2</v>
      </c>
      <c r="S1813">
        <v>2.8722749999999998E-2</v>
      </c>
      <c r="T1813">
        <v>2.8833975000000001E-2</v>
      </c>
      <c r="U1813">
        <v>2.8278435000000001E-2</v>
      </c>
      <c r="V1813">
        <v>2.91195E-2</v>
      </c>
      <c r="W1813">
        <v>2.8143015E-2</v>
      </c>
      <c r="X1813">
        <v>2.9496495000000001E-2</v>
      </c>
      <c r="Y1813">
        <v>3.1662030000000001E-2</v>
      </c>
      <c r="Z1813">
        <v>3.0484635E-2</v>
      </c>
      <c r="AA1813">
        <v>3.1713030000000003E-2</v>
      </c>
      <c r="AB1813">
        <v>3.2510925000000003E-2</v>
      </c>
    </row>
    <row r="1814" spans="1:28" hidden="1" x14ac:dyDescent="0.25">
      <c r="A1814" t="s">
        <v>232</v>
      </c>
      <c r="B1814" t="s">
        <v>307</v>
      </c>
      <c r="C1814">
        <v>34</v>
      </c>
      <c r="D1814" t="s">
        <v>2</v>
      </c>
      <c r="E1814">
        <v>12.33270416</v>
      </c>
      <c r="F1814">
        <v>12.17986902</v>
      </c>
      <c r="G1814">
        <v>11.9698776</v>
      </c>
      <c r="H1814">
        <v>11.82440379</v>
      </c>
      <c r="I1814">
        <v>12.36704604</v>
      </c>
      <c r="J1814">
        <v>12.981870839999999</v>
      </c>
      <c r="K1814">
        <v>14.137896469999999</v>
      </c>
      <c r="L1814">
        <v>15.420814590000001</v>
      </c>
      <c r="M1814">
        <v>16.4867408</v>
      </c>
      <c r="N1814">
        <v>16.204374770000001</v>
      </c>
      <c r="O1814">
        <v>17.490914870000001</v>
      </c>
      <c r="P1814">
        <v>17.467271119999999</v>
      </c>
      <c r="Q1814">
        <v>17.824049729999999</v>
      </c>
      <c r="R1814">
        <v>16.885022800000002</v>
      </c>
      <c r="S1814">
        <v>16.50066515</v>
      </c>
      <c r="T1814">
        <v>15.58117305</v>
      </c>
      <c r="U1814">
        <v>15.554223540000001</v>
      </c>
      <c r="V1814">
        <v>16.068787199999999</v>
      </c>
      <c r="W1814">
        <v>19.064719499999999</v>
      </c>
      <c r="X1814">
        <v>19.451452679999999</v>
      </c>
      <c r="Y1814">
        <v>18.955686650000001</v>
      </c>
      <c r="Z1814">
        <v>15.94466115</v>
      </c>
      <c r="AA1814">
        <v>14.234794620000001</v>
      </c>
      <c r="AB1814">
        <v>13.04103405</v>
      </c>
    </row>
    <row r="1815" spans="1:28" hidden="1" x14ac:dyDescent="0.25">
      <c r="A1815" t="s">
        <v>232</v>
      </c>
      <c r="B1815" t="s">
        <v>307</v>
      </c>
      <c r="C1815">
        <v>34</v>
      </c>
      <c r="D1815" t="s">
        <v>3</v>
      </c>
      <c r="E1815">
        <v>3.6261024501999999</v>
      </c>
      <c r="F1815">
        <v>3.5731837342000001</v>
      </c>
      <c r="G1815">
        <v>3.5258728164000002</v>
      </c>
      <c r="H1815">
        <v>3.3892790859000002</v>
      </c>
      <c r="I1815">
        <v>3.4758128367999999</v>
      </c>
      <c r="J1815">
        <v>3.3643946870999999</v>
      </c>
      <c r="K1815">
        <v>3.8704207926</v>
      </c>
      <c r="L1815">
        <v>4.4767844679</v>
      </c>
      <c r="M1815">
        <v>5.4317896861000001</v>
      </c>
      <c r="N1815">
        <v>6.4724681409000002</v>
      </c>
      <c r="O1815">
        <v>7.8720138778999997</v>
      </c>
      <c r="P1815">
        <v>8.4657214079000003</v>
      </c>
      <c r="Q1815">
        <v>8.8425263033999997</v>
      </c>
      <c r="R1815">
        <v>7.8311368109000004</v>
      </c>
      <c r="S1815">
        <v>7.2002597511999999</v>
      </c>
      <c r="T1815">
        <v>6.6797536868999998</v>
      </c>
      <c r="U1815">
        <v>6.0905088243999996</v>
      </c>
      <c r="V1815">
        <v>5.7728273055999999</v>
      </c>
      <c r="W1815">
        <v>5.7227623316000003</v>
      </c>
      <c r="X1815">
        <v>5.5109924608999998</v>
      </c>
      <c r="Y1815">
        <v>5.1351060622000002</v>
      </c>
      <c r="Z1815">
        <v>4.4257290133999998</v>
      </c>
      <c r="AA1815">
        <v>3.9888170098</v>
      </c>
      <c r="AB1815">
        <v>3.7584509331999998</v>
      </c>
    </row>
    <row r="1816" spans="1:28" hidden="1" x14ac:dyDescent="0.25">
      <c r="A1816" t="s">
        <v>232</v>
      </c>
      <c r="B1816" t="s">
        <v>307</v>
      </c>
      <c r="C1816">
        <v>34</v>
      </c>
      <c r="D1816" t="s">
        <v>4</v>
      </c>
      <c r="E1816">
        <v>0.38142384000000001</v>
      </c>
      <c r="F1816">
        <v>0.37669698000000001</v>
      </c>
      <c r="G1816">
        <v>0.37020239999999999</v>
      </c>
      <c r="H1816">
        <v>0.36570321</v>
      </c>
      <c r="I1816">
        <v>0.38248596000000001</v>
      </c>
      <c r="J1816">
        <v>0.40150116000000002</v>
      </c>
      <c r="K1816">
        <v>0.43725452999999997</v>
      </c>
      <c r="L1816">
        <v>0.47693240999999997</v>
      </c>
      <c r="M1816">
        <v>0.5098992</v>
      </c>
      <c r="N1816">
        <v>0.50116623000000005</v>
      </c>
      <c r="O1816">
        <v>0.54095612999999998</v>
      </c>
      <c r="P1816">
        <v>0.54022488000000002</v>
      </c>
      <c r="Q1816">
        <v>0.55125926999999997</v>
      </c>
      <c r="R1816">
        <v>0.52221720000000005</v>
      </c>
      <c r="S1816">
        <v>0.51032984999999997</v>
      </c>
      <c r="T1816">
        <v>0.48189195000000001</v>
      </c>
      <c r="U1816">
        <v>0.48105846000000002</v>
      </c>
      <c r="V1816">
        <v>0.49697279999999999</v>
      </c>
      <c r="W1816">
        <v>0.58963049999999995</v>
      </c>
      <c r="X1816">
        <v>0.60159132000000004</v>
      </c>
      <c r="Y1816">
        <v>0.58625835000000004</v>
      </c>
      <c r="Z1816">
        <v>0.49313384999999998</v>
      </c>
      <c r="AA1816">
        <v>0.44025138000000003</v>
      </c>
      <c r="AB1816">
        <v>0.40333095000000002</v>
      </c>
    </row>
    <row r="1817" spans="1:28" hidden="1" x14ac:dyDescent="0.25">
      <c r="A1817" t="s">
        <v>232</v>
      </c>
      <c r="B1817" t="s">
        <v>308</v>
      </c>
      <c r="C1817">
        <v>115</v>
      </c>
      <c r="D1817" t="s">
        <v>2</v>
      </c>
      <c r="E1817">
        <v>14.248197375</v>
      </c>
      <c r="F1817">
        <v>13.50304783</v>
      </c>
      <c r="G1817">
        <v>13.286649239999999</v>
      </c>
      <c r="H1817">
        <v>13.641461015000001</v>
      </c>
      <c r="I1817">
        <v>17.040169039999999</v>
      </c>
      <c r="J1817">
        <v>21.385891525000002</v>
      </c>
      <c r="K1817">
        <v>22.85661374</v>
      </c>
      <c r="L1817">
        <v>22.116512319999998</v>
      </c>
      <c r="M1817">
        <v>23.291876375000001</v>
      </c>
      <c r="N1817">
        <v>23.651316665</v>
      </c>
      <c r="O1817">
        <v>24.499234215000001</v>
      </c>
      <c r="P1817">
        <v>25.184376575000002</v>
      </c>
      <c r="Q1817">
        <v>25.03003988</v>
      </c>
      <c r="R1817">
        <v>24.369022139999998</v>
      </c>
      <c r="S1817">
        <v>24.212613005000001</v>
      </c>
      <c r="T1817">
        <v>24.135804674999999</v>
      </c>
      <c r="U1817">
        <v>23.692129155</v>
      </c>
      <c r="V1817">
        <v>23.7535311</v>
      </c>
      <c r="W1817">
        <v>25.985498745000001</v>
      </c>
      <c r="X1817">
        <v>26.486480579999998</v>
      </c>
      <c r="Y1817">
        <v>26.022788875</v>
      </c>
      <c r="Z1817">
        <v>22.020069984999999</v>
      </c>
      <c r="AA1817">
        <v>18.357399690000001</v>
      </c>
      <c r="AB1817">
        <v>15.827032205</v>
      </c>
    </row>
    <row r="1818" spans="1:28" hidden="1" x14ac:dyDescent="0.25">
      <c r="A1818" t="s">
        <v>232</v>
      </c>
      <c r="B1818" t="s">
        <v>308</v>
      </c>
      <c r="C1818">
        <v>115</v>
      </c>
      <c r="D1818" t="s">
        <v>3</v>
      </c>
      <c r="E1818">
        <v>4.9537940196000001</v>
      </c>
      <c r="F1818">
        <v>4.9134832137000002</v>
      </c>
      <c r="G1818">
        <v>4.9252764470999999</v>
      </c>
      <c r="H1818">
        <v>4.8939564734000003</v>
      </c>
      <c r="I1818">
        <v>5.1202087252000004</v>
      </c>
      <c r="J1818">
        <v>5.4286334943999996</v>
      </c>
      <c r="K1818">
        <v>6.5425066658000004</v>
      </c>
      <c r="L1818">
        <v>7.1913522918000004</v>
      </c>
      <c r="M1818">
        <v>7.8733564134999998</v>
      </c>
      <c r="N1818">
        <v>8.0383934177</v>
      </c>
      <c r="O1818">
        <v>8.4364846558999993</v>
      </c>
      <c r="P1818">
        <v>8.7869785091000008</v>
      </c>
      <c r="Q1818">
        <v>8.6484746159999997</v>
      </c>
      <c r="R1818">
        <v>8.5339889489999994</v>
      </c>
      <c r="S1818">
        <v>8.6393972021999996</v>
      </c>
      <c r="T1818">
        <v>8.6483739647999993</v>
      </c>
      <c r="U1818">
        <v>8.2743890030999996</v>
      </c>
      <c r="V1818">
        <v>7.6477794260999996</v>
      </c>
      <c r="W1818">
        <v>6.9934967298000004</v>
      </c>
      <c r="X1818">
        <v>6.6358215628000004</v>
      </c>
      <c r="Y1818">
        <v>6.6337687566000003</v>
      </c>
      <c r="Z1818">
        <v>5.9299117592000004</v>
      </c>
      <c r="AA1818">
        <v>5.3883058043999998</v>
      </c>
      <c r="AB1818">
        <v>5.1705750592999999</v>
      </c>
    </row>
    <row r="1819" spans="1:28" hidden="1" x14ac:dyDescent="0.25">
      <c r="A1819" t="s">
        <v>232</v>
      </c>
      <c r="B1819" t="s">
        <v>308</v>
      </c>
      <c r="C1819">
        <v>115</v>
      </c>
      <c r="D1819" t="s">
        <v>4</v>
      </c>
      <c r="E1819">
        <v>0.21697762500000001</v>
      </c>
      <c r="F1819">
        <v>0.20563017</v>
      </c>
      <c r="G1819">
        <v>0.20233476</v>
      </c>
      <c r="H1819">
        <v>0.20773798500000001</v>
      </c>
      <c r="I1819">
        <v>0.25949496</v>
      </c>
      <c r="J1819">
        <v>0.32567347499999999</v>
      </c>
      <c r="K1819">
        <v>0.34807026000000002</v>
      </c>
      <c r="L1819">
        <v>0.33679967999999999</v>
      </c>
      <c r="M1819">
        <v>0.35469862499999999</v>
      </c>
      <c r="N1819">
        <v>0.36017233500000001</v>
      </c>
      <c r="O1819">
        <v>0.37308478499999997</v>
      </c>
      <c r="P1819">
        <v>0.383518425</v>
      </c>
      <c r="Q1819">
        <v>0.38116812</v>
      </c>
      <c r="R1819">
        <v>0.37110186000000001</v>
      </c>
      <c r="S1819">
        <v>0.36871999500000002</v>
      </c>
      <c r="T1819">
        <v>0.36755032500000001</v>
      </c>
      <c r="U1819">
        <v>0.360793845</v>
      </c>
      <c r="V1819">
        <v>0.36172890000000002</v>
      </c>
      <c r="W1819">
        <v>0.39571825500000002</v>
      </c>
      <c r="X1819">
        <v>0.40334742000000001</v>
      </c>
      <c r="Y1819">
        <v>0.39628612499999999</v>
      </c>
      <c r="Z1819">
        <v>0.33533101500000001</v>
      </c>
      <c r="AA1819">
        <v>0.27955430999999997</v>
      </c>
      <c r="AB1819">
        <v>0.24102079500000001</v>
      </c>
    </row>
    <row r="1820" spans="1:28" hidden="1" x14ac:dyDescent="0.25">
      <c r="A1820" t="s">
        <v>309</v>
      </c>
      <c r="B1820" t="s">
        <v>310</v>
      </c>
      <c r="C1820">
        <v>230</v>
      </c>
      <c r="D1820" t="s">
        <v>2</v>
      </c>
      <c r="E1820">
        <v>8.8708329999999993</v>
      </c>
      <c r="F1820">
        <v>8.8708329999999993</v>
      </c>
      <c r="G1820">
        <v>8.8708329999999993</v>
      </c>
      <c r="H1820">
        <v>8.8708329999999993</v>
      </c>
      <c r="I1820">
        <v>8.8708329999999993</v>
      </c>
      <c r="J1820">
        <v>8.8708329999999993</v>
      </c>
      <c r="K1820">
        <v>8.5687499999999996</v>
      </c>
      <c r="L1820">
        <v>8.5687499999999996</v>
      </c>
      <c r="M1820">
        <v>8.5687499999999996</v>
      </c>
      <c r="N1820">
        <v>8.5687499999999996</v>
      </c>
      <c r="O1820">
        <v>8.5687499999999996</v>
      </c>
      <c r="P1820">
        <v>8.5687499999999996</v>
      </c>
      <c r="Q1820">
        <v>8.5687499999999996</v>
      </c>
      <c r="R1820">
        <v>8.5687499999999996</v>
      </c>
      <c r="S1820">
        <v>8.5687499999999996</v>
      </c>
      <c r="T1820">
        <v>8.5687499999999996</v>
      </c>
      <c r="U1820">
        <v>8.5687499999999996</v>
      </c>
      <c r="V1820">
        <v>8.5687499999999996</v>
      </c>
      <c r="W1820">
        <v>16</v>
      </c>
      <c r="X1820">
        <v>16</v>
      </c>
      <c r="Y1820">
        <v>16</v>
      </c>
      <c r="Z1820">
        <v>8.8708329999999993</v>
      </c>
      <c r="AA1820">
        <v>8.8708329999999993</v>
      </c>
      <c r="AB1820">
        <v>8.8708329999999993</v>
      </c>
    </row>
    <row r="1821" spans="1:28" hidden="1" x14ac:dyDescent="0.25">
      <c r="A1821" t="s">
        <v>309</v>
      </c>
      <c r="B1821" t="s">
        <v>310</v>
      </c>
      <c r="C1821">
        <v>230</v>
      </c>
      <c r="D1821" t="s">
        <v>3</v>
      </c>
      <c r="E1821">
        <v>4.2963405098000003</v>
      </c>
      <c r="F1821">
        <v>4.2963405098000003</v>
      </c>
      <c r="G1821">
        <v>4.2963405098000003</v>
      </c>
      <c r="H1821">
        <v>4.2963405098000003</v>
      </c>
      <c r="I1821">
        <v>4.2963405098000003</v>
      </c>
      <c r="J1821">
        <v>4.2963405098000003</v>
      </c>
      <c r="K1821">
        <v>4.1500350355000002</v>
      </c>
      <c r="L1821">
        <v>4.1500350355000002</v>
      </c>
      <c r="M1821">
        <v>4.1500350355000002</v>
      </c>
      <c r="N1821">
        <v>4.1500350355000002</v>
      </c>
      <c r="O1821">
        <v>4.1500350355000002</v>
      </c>
      <c r="P1821">
        <v>4.1500350355000002</v>
      </c>
      <c r="Q1821">
        <v>4.1500350355000002</v>
      </c>
      <c r="R1821">
        <v>4.1500350355000002</v>
      </c>
      <c r="S1821">
        <v>4.1500350355000002</v>
      </c>
      <c r="T1821">
        <v>4.1500350355000002</v>
      </c>
      <c r="U1821">
        <v>4.1500350355000002</v>
      </c>
      <c r="V1821">
        <v>4.1500350355000002</v>
      </c>
      <c r="W1821">
        <v>7.7491536767999998</v>
      </c>
      <c r="X1821">
        <v>7.7491536767999998</v>
      </c>
      <c r="Y1821">
        <v>7.7491536767999998</v>
      </c>
      <c r="Z1821">
        <v>4.2963405098000003</v>
      </c>
      <c r="AA1821">
        <v>4.2963405098000003</v>
      </c>
      <c r="AB1821">
        <v>4.2963405098000003</v>
      </c>
    </row>
    <row r="1822" spans="1:28" hidden="1" x14ac:dyDescent="0.25">
      <c r="A1822" t="s">
        <v>309</v>
      </c>
      <c r="B1822" t="s">
        <v>310</v>
      </c>
      <c r="C1822">
        <v>230</v>
      </c>
      <c r="D1822" t="s">
        <v>4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</row>
    <row r="1823" spans="1:28" hidden="1" x14ac:dyDescent="0.25">
      <c r="A1823" t="s">
        <v>311</v>
      </c>
      <c r="B1823" t="s">
        <v>312</v>
      </c>
      <c r="C1823">
        <v>500</v>
      </c>
      <c r="D1823" t="s">
        <v>2</v>
      </c>
      <c r="E1823">
        <v>36.183826000000003</v>
      </c>
      <c r="F1823">
        <v>43.468738000000002</v>
      </c>
      <c r="G1823">
        <v>42.346313000000002</v>
      </c>
      <c r="H1823">
        <v>40.409421000000002</v>
      </c>
      <c r="I1823">
        <v>40.760227</v>
      </c>
      <c r="J1823">
        <v>36.231684000000001</v>
      </c>
      <c r="K1823">
        <v>25</v>
      </c>
      <c r="L1823">
        <v>23</v>
      </c>
      <c r="M1823">
        <v>16</v>
      </c>
      <c r="N1823">
        <v>8.5865179999999999</v>
      </c>
      <c r="O1823">
        <v>9.3760010000000005</v>
      </c>
      <c r="P1823">
        <v>3.3119000000000001</v>
      </c>
      <c r="Q1823">
        <v>1.2538609999999999</v>
      </c>
      <c r="R1823">
        <v>6.6321370000000002</v>
      </c>
      <c r="S1823">
        <v>10.394759000000001</v>
      </c>
      <c r="T1823">
        <v>18.646757000000001</v>
      </c>
      <c r="U1823">
        <v>27.451937000000001</v>
      </c>
      <c r="V1823">
        <v>40.754458</v>
      </c>
      <c r="W1823">
        <v>60</v>
      </c>
      <c r="X1823">
        <v>52</v>
      </c>
      <c r="Y1823">
        <v>59</v>
      </c>
      <c r="Z1823">
        <v>48.161631999999997</v>
      </c>
      <c r="AA1823">
        <v>47.940434000000003</v>
      </c>
      <c r="AB1823">
        <v>44.705238999999999</v>
      </c>
    </row>
    <row r="1824" spans="1:28" hidden="1" x14ac:dyDescent="0.25">
      <c r="A1824" t="s">
        <v>311</v>
      </c>
      <c r="B1824" t="s">
        <v>312</v>
      </c>
      <c r="C1824">
        <v>500</v>
      </c>
      <c r="D1824" t="s">
        <v>3</v>
      </c>
      <c r="E1824">
        <v>16.423601725800001</v>
      </c>
      <c r="F1824">
        <v>18.053151219899998</v>
      </c>
      <c r="G1824">
        <v>17.1712652366</v>
      </c>
      <c r="H1824">
        <v>16.877543327400002</v>
      </c>
      <c r="I1824">
        <v>17.211054012999998</v>
      </c>
      <c r="J1824">
        <v>16.1298329623</v>
      </c>
      <c r="K1824">
        <v>11.154673714999999</v>
      </c>
      <c r="L1824">
        <v>8.9725199927000006</v>
      </c>
      <c r="M1824">
        <v>6.0920330384000003</v>
      </c>
      <c r="N1824">
        <v>3.3147283647000001</v>
      </c>
      <c r="O1824">
        <v>3.2080318066000002</v>
      </c>
      <c r="P1824">
        <v>1.3136297668000001</v>
      </c>
      <c r="Q1824">
        <v>0.58196503909999997</v>
      </c>
      <c r="R1824">
        <v>2.5765234202</v>
      </c>
      <c r="S1824">
        <v>3.5148268948000001</v>
      </c>
      <c r="T1824">
        <v>7.1147814321</v>
      </c>
      <c r="U1824">
        <v>10.2166323557</v>
      </c>
      <c r="V1824">
        <v>15.1220840369</v>
      </c>
      <c r="W1824">
        <v>23.651185170000002</v>
      </c>
      <c r="X1824">
        <v>18.776722291599999</v>
      </c>
      <c r="Y1824">
        <v>22.625384351299999</v>
      </c>
      <c r="Z1824">
        <v>18.7470606463</v>
      </c>
      <c r="AA1824">
        <v>18.783984659600002</v>
      </c>
      <c r="AB1824">
        <v>17.437106321000002</v>
      </c>
    </row>
    <row r="1825" spans="1:28" hidden="1" x14ac:dyDescent="0.25">
      <c r="A1825" t="s">
        <v>311</v>
      </c>
      <c r="B1825" t="s">
        <v>312</v>
      </c>
      <c r="C1825">
        <v>500</v>
      </c>
      <c r="D1825" t="s">
        <v>4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0</v>
      </c>
      <c r="AB1825">
        <v>0</v>
      </c>
    </row>
    <row r="1826" spans="1:28" hidden="1" x14ac:dyDescent="0.25">
      <c r="A1826" t="s">
        <v>313</v>
      </c>
      <c r="B1826" t="s">
        <v>314</v>
      </c>
      <c r="C1826">
        <v>115</v>
      </c>
      <c r="D1826" t="s">
        <v>2</v>
      </c>
      <c r="E1826">
        <v>40.649865515000002</v>
      </c>
      <c r="F1826">
        <v>37.465442269999997</v>
      </c>
      <c r="G1826">
        <v>38.569539605000003</v>
      </c>
      <c r="H1826">
        <v>38.666443905000001</v>
      </c>
      <c r="I1826">
        <v>42.817989400000002</v>
      </c>
      <c r="J1826">
        <v>41.316615955000003</v>
      </c>
      <c r="K1826">
        <v>41.123940105000003</v>
      </c>
      <c r="L1826">
        <v>39.567534709999997</v>
      </c>
      <c r="M1826">
        <v>40.750602450000002</v>
      </c>
      <c r="N1826">
        <v>39.120381154999997</v>
      </c>
      <c r="O1826">
        <v>37.815641290000002</v>
      </c>
      <c r="P1826">
        <v>39.896384840000003</v>
      </c>
      <c r="Q1826">
        <v>35.746821165</v>
      </c>
      <c r="R1826">
        <v>37.18465423</v>
      </c>
      <c r="S1826">
        <v>37.158008995000003</v>
      </c>
      <c r="T1826">
        <v>35.556460065000003</v>
      </c>
      <c r="U1826">
        <v>38.676184569999997</v>
      </c>
      <c r="V1826">
        <v>40.857796059999998</v>
      </c>
      <c r="W1826">
        <v>43.111607065000001</v>
      </c>
      <c r="X1826">
        <v>44.959339014999998</v>
      </c>
      <c r="Y1826">
        <v>43.442979780000002</v>
      </c>
      <c r="Z1826">
        <v>42.198481530000002</v>
      </c>
      <c r="AA1826">
        <v>40.478167210000002</v>
      </c>
      <c r="AB1826">
        <v>36.392212864999998</v>
      </c>
    </row>
    <row r="1827" spans="1:28" hidden="1" x14ac:dyDescent="0.25">
      <c r="A1827" t="s">
        <v>313</v>
      </c>
      <c r="B1827" t="s">
        <v>314</v>
      </c>
      <c r="C1827">
        <v>115</v>
      </c>
      <c r="D1827" t="s">
        <v>3</v>
      </c>
      <c r="E1827">
        <v>25.8576163655</v>
      </c>
      <c r="F1827">
        <v>22.506291107399999</v>
      </c>
      <c r="G1827">
        <v>23.234761283499999</v>
      </c>
      <c r="H1827">
        <v>23.682628205</v>
      </c>
      <c r="I1827">
        <v>27.252460336799999</v>
      </c>
      <c r="J1827">
        <v>25.466722434099999</v>
      </c>
      <c r="K1827">
        <v>26.004136119199998</v>
      </c>
      <c r="L1827">
        <v>24.998200287300001</v>
      </c>
      <c r="M1827">
        <v>25.307410006600001</v>
      </c>
      <c r="N1827">
        <v>24.360736747699999</v>
      </c>
      <c r="O1827">
        <v>24.181381728400002</v>
      </c>
      <c r="P1827">
        <v>26.243157844300001</v>
      </c>
      <c r="Q1827">
        <v>23.142446226899999</v>
      </c>
      <c r="R1827">
        <v>23.759416337699999</v>
      </c>
      <c r="S1827">
        <v>24.0841845681</v>
      </c>
      <c r="T1827">
        <v>22.9430556517</v>
      </c>
      <c r="U1827">
        <v>25.349769654199999</v>
      </c>
      <c r="V1827">
        <v>27.159821689800001</v>
      </c>
      <c r="W1827">
        <v>28.512014262200001</v>
      </c>
      <c r="X1827">
        <v>30.536862864900002</v>
      </c>
      <c r="Y1827">
        <v>28.9608887216</v>
      </c>
      <c r="Z1827">
        <v>27.742035515400001</v>
      </c>
      <c r="AA1827">
        <v>26.035269920400001</v>
      </c>
      <c r="AB1827">
        <v>21.892350680900002</v>
      </c>
    </row>
    <row r="1828" spans="1:28" hidden="1" x14ac:dyDescent="0.25">
      <c r="A1828" t="s">
        <v>313</v>
      </c>
      <c r="B1828" t="s">
        <v>314</v>
      </c>
      <c r="C1828">
        <v>115</v>
      </c>
      <c r="D1828" t="s">
        <v>4</v>
      </c>
      <c r="E1828">
        <v>0.61903348499999999</v>
      </c>
      <c r="F1828">
        <v>0.57053973000000002</v>
      </c>
      <c r="G1828">
        <v>0.58735339499999994</v>
      </c>
      <c r="H1828">
        <v>0.58882909500000002</v>
      </c>
      <c r="I1828">
        <v>0.65205060000000004</v>
      </c>
      <c r="J1828">
        <v>0.629187045</v>
      </c>
      <c r="K1828">
        <v>0.62625289500000003</v>
      </c>
      <c r="L1828">
        <v>0.60255128999999996</v>
      </c>
      <c r="M1828">
        <v>0.62056754999999997</v>
      </c>
      <c r="N1828">
        <v>0.59574184500000005</v>
      </c>
      <c r="O1828">
        <v>0.57587270999999995</v>
      </c>
      <c r="P1828">
        <v>0.60755915999999999</v>
      </c>
      <c r="Q1828">
        <v>0.54436783499999997</v>
      </c>
      <c r="R1828">
        <v>0.56626377000000006</v>
      </c>
      <c r="S1828">
        <v>0.56585800500000005</v>
      </c>
      <c r="T1828">
        <v>0.54146893500000004</v>
      </c>
      <c r="U1828">
        <v>0.58897743000000002</v>
      </c>
      <c r="V1828">
        <v>0.62219994000000001</v>
      </c>
      <c r="W1828">
        <v>0.656521935</v>
      </c>
      <c r="X1828">
        <v>0.68465998500000003</v>
      </c>
      <c r="Y1828">
        <v>0.66156822000000004</v>
      </c>
      <c r="Z1828">
        <v>0.64261647</v>
      </c>
      <c r="AA1828">
        <v>0.61641878999999999</v>
      </c>
      <c r="AB1828">
        <v>0.55419613499999998</v>
      </c>
    </row>
    <row r="1829" spans="1:28" hidden="1" x14ac:dyDescent="0.25">
      <c r="A1829" t="s">
        <v>313</v>
      </c>
      <c r="B1829" t="s">
        <v>315</v>
      </c>
      <c r="C1829">
        <v>115</v>
      </c>
      <c r="D1829" t="s">
        <v>2</v>
      </c>
      <c r="E1829">
        <v>4.6187211450000003</v>
      </c>
      <c r="F1829">
        <v>4.5941680500000004</v>
      </c>
      <c r="G1829">
        <v>4.3874746650000001</v>
      </c>
      <c r="H1829">
        <v>4.2167318099999997</v>
      </c>
      <c r="I1829">
        <v>4.3709404550000004</v>
      </c>
      <c r="J1829">
        <v>5.0589412850000004</v>
      </c>
      <c r="K1829">
        <v>5.5256598950000004</v>
      </c>
      <c r="L1829">
        <v>5.7006087000000001</v>
      </c>
      <c r="M1829">
        <v>6.3401800350000004</v>
      </c>
      <c r="N1829">
        <v>6.5155287499999996</v>
      </c>
      <c r="O1829">
        <v>6.5849722350000004</v>
      </c>
      <c r="P1829">
        <v>6.9103000049999999</v>
      </c>
      <c r="Q1829">
        <v>6.7823376700000004</v>
      </c>
      <c r="R1829">
        <v>6.7044202300000002</v>
      </c>
      <c r="S1829">
        <v>6.82270691</v>
      </c>
      <c r="T1829">
        <v>6.9035951100000004</v>
      </c>
      <c r="U1829">
        <v>6.9117706099999996</v>
      </c>
      <c r="V1829">
        <v>7.2567973950000004</v>
      </c>
      <c r="W1829">
        <v>8.0096516100000006</v>
      </c>
      <c r="X1829">
        <v>8.1538053749999992</v>
      </c>
      <c r="Y1829">
        <v>7.709448235</v>
      </c>
      <c r="Z1829">
        <v>6.4177340100000002</v>
      </c>
      <c r="AA1829">
        <v>5.4456650900000003</v>
      </c>
      <c r="AB1829">
        <v>4.8995791200000003</v>
      </c>
    </row>
    <row r="1830" spans="1:28" hidden="1" x14ac:dyDescent="0.25">
      <c r="A1830" t="s">
        <v>313</v>
      </c>
      <c r="B1830" t="s">
        <v>315</v>
      </c>
      <c r="C1830">
        <v>115</v>
      </c>
      <c r="D1830" t="s">
        <v>3</v>
      </c>
      <c r="E1830">
        <v>1.5971442526999999</v>
      </c>
      <c r="F1830">
        <v>1.6073086484000001</v>
      </c>
      <c r="G1830">
        <v>1.5740330170000001</v>
      </c>
      <c r="H1830">
        <v>1.5021826874999999</v>
      </c>
      <c r="I1830">
        <v>1.5093649090000001</v>
      </c>
      <c r="J1830">
        <v>1.6620754176000001</v>
      </c>
      <c r="K1830">
        <v>1.7822447239999999</v>
      </c>
      <c r="L1830">
        <v>1.9347028946</v>
      </c>
      <c r="M1830">
        <v>2.2289228321999999</v>
      </c>
      <c r="N1830">
        <v>2.3387917397</v>
      </c>
      <c r="O1830">
        <v>2.4163624375000001</v>
      </c>
      <c r="P1830">
        <v>2.5803296571000001</v>
      </c>
      <c r="Q1830">
        <v>2.5519421176999999</v>
      </c>
      <c r="R1830">
        <v>2.4557749095000001</v>
      </c>
      <c r="S1830">
        <v>2.5049475029999999</v>
      </c>
      <c r="T1830">
        <v>2.5670179470000001</v>
      </c>
      <c r="U1830">
        <v>2.5501439978999998</v>
      </c>
      <c r="V1830">
        <v>2.579333009</v>
      </c>
      <c r="W1830">
        <v>2.4719239644000002</v>
      </c>
      <c r="X1830">
        <v>2.1751933782999999</v>
      </c>
      <c r="Y1830">
        <v>2.0068270452000001</v>
      </c>
      <c r="Z1830">
        <v>1.6868416320999999</v>
      </c>
      <c r="AA1830">
        <v>1.6228539876000001</v>
      </c>
      <c r="AB1830">
        <v>1.6692971397</v>
      </c>
    </row>
    <row r="1831" spans="1:28" hidden="1" x14ac:dyDescent="0.25">
      <c r="A1831" t="s">
        <v>313</v>
      </c>
      <c r="B1831" t="s">
        <v>315</v>
      </c>
      <c r="C1831">
        <v>115</v>
      </c>
      <c r="D1831" t="s">
        <v>4</v>
      </c>
      <c r="E1831">
        <v>7.0335855000000003E-2</v>
      </c>
      <c r="F1831">
        <v>6.9961949999999995E-2</v>
      </c>
      <c r="G1831">
        <v>6.6814335000000002E-2</v>
      </c>
      <c r="H1831">
        <v>6.4214190000000004E-2</v>
      </c>
      <c r="I1831">
        <v>6.6562545000000001E-2</v>
      </c>
      <c r="J1831">
        <v>7.7039714999999995E-2</v>
      </c>
      <c r="K1831">
        <v>8.4147105E-2</v>
      </c>
      <c r="L1831">
        <v>8.6811299999999994E-2</v>
      </c>
      <c r="M1831">
        <v>9.6550965000000002E-2</v>
      </c>
      <c r="N1831">
        <v>9.9221249999999997E-2</v>
      </c>
      <c r="O1831">
        <v>0.10027876500000001</v>
      </c>
      <c r="P1831">
        <v>0.105232995</v>
      </c>
      <c r="Q1831">
        <v>0.10328432999999999</v>
      </c>
      <c r="R1831">
        <v>0.10209777</v>
      </c>
      <c r="S1831">
        <v>0.10389909</v>
      </c>
      <c r="T1831">
        <v>0.10513089</v>
      </c>
      <c r="U1831">
        <v>0.10525539</v>
      </c>
      <c r="V1831">
        <v>0.110509605</v>
      </c>
      <c r="W1831">
        <v>0.12197439</v>
      </c>
      <c r="X1831">
        <v>0.12416962500000001</v>
      </c>
      <c r="Y1831">
        <v>0.11740276500000001</v>
      </c>
      <c r="Z1831">
        <v>9.7731990000000005E-2</v>
      </c>
      <c r="AA1831">
        <v>8.2928909999999995E-2</v>
      </c>
      <c r="AB1831">
        <v>7.4612880000000006E-2</v>
      </c>
    </row>
    <row r="1832" spans="1:28" hidden="1" x14ac:dyDescent="0.25">
      <c r="A1832" t="s">
        <v>313</v>
      </c>
      <c r="B1832" t="s">
        <v>316</v>
      </c>
      <c r="C1832">
        <v>115</v>
      </c>
      <c r="D1832" t="s">
        <v>2</v>
      </c>
      <c r="E1832">
        <v>2.2145134450000001</v>
      </c>
      <c r="F1832">
        <v>2.39105598</v>
      </c>
      <c r="G1832">
        <v>2.3672248900000001</v>
      </c>
      <c r="H1832">
        <v>2.3414828999999999</v>
      </c>
      <c r="I1832">
        <v>2.35772358</v>
      </c>
      <c r="J1832">
        <v>2.4704302349999998</v>
      </c>
      <c r="K1832">
        <v>2.4684493999999999</v>
      </c>
      <c r="L1832">
        <v>2.3831582500000001</v>
      </c>
      <c r="M1832">
        <v>2.44003806</v>
      </c>
      <c r="N1832">
        <v>2.4266263000000001</v>
      </c>
      <c r="O1832">
        <v>2.3458040950000001</v>
      </c>
      <c r="P1832">
        <v>2.3825977850000002</v>
      </c>
      <c r="Q1832">
        <v>2.3834507949999999</v>
      </c>
      <c r="R1832">
        <v>2.3990098550000001</v>
      </c>
      <c r="S1832">
        <v>2.3554876299999998</v>
      </c>
      <c r="T1832">
        <v>2.3543913249999999</v>
      </c>
      <c r="U1832">
        <v>2.3585194600000001</v>
      </c>
      <c r="V1832">
        <v>2.46222026</v>
      </c>
      <c r="W1832">
        <v>2.5911902499999999</v>
      </c>
      <c r="X1832">
        <v>2.5647843699999999</v>
      </c>
      <c r="Y1832">
        <v>2.5340326700000002</v>
      </c>
      <c r="Z1832">
        <v>2.425110385</v>
      </c>
      <c r="AA1832">
        <v>2.3657001100000001</v>
      </c>
      <c r="AB1832">
        <v>2.2191695400000002</v>
      </c>
    </row>
    <row r="1833" spans="1:28" hidden="1" x14ac:dyDescent="0.25">
      <c r="A1833" t="s">
        <v>313</v>
      </c>
      <c r="B1833" t="s">
        <v>316</v>
      </c>
      <c r="C1833">
        <v>115</v>
      </c>
      <c r="D1833" t="s">
        <v>3</v>
      </c>
      <c r="E1833">
        <v>0.60335955320000001</v>
      </c>
      <c r="F1833">
        <v>0.6357733364</v>
      </c>
      <c r="G1833">
        <v>0.63914180399999998</v>
      </c>
      <c r="H1833">
        <v>0.61828736520000005</v>
      </c>
      <c r="I1833">
        <v>0.62079562990000003</v>
      </c>
      <c r="J1833">
        <v>0.638240009</v>
      </c>
      <c r="K1833">
        <v>0.65398297009999995</v>
      </c>
      <c r="L1833">
        <v>0.64667430859999997</v>
      </c>
      <c r="M1833">
        <v>0.63743218690000003</v>
      </c>
      <c r="N1833">
        <v>0.64117677259999994</v>
      </c>
      <c r="O1833">
        <v>0.6278354424</v>
      </c>
      <c r="P1833">
        <v>0.62534127799999994</v>
      </c>
      <c r="Q1833">
        <v>0.64558027070000001</v>
      </c>
      <c r="R1833">
        <v>0.65038532609999999</v>
      </c>
      <c r="S1833">
        <v>0.64292322909999999</v>
      </c>
      <c r="T1833">
        <v>0.65407253470000004</v>
      </c>
      <c r="U1833">
        <v>0.64672883349999999</v>
      </c>
      <c r="V1833">
        <v>0.66742102329999997</v>
      </c>
      <c r="W1833">
        <v>0.68030704340000003</v>
      </c>
      <c r="X1833">
        <v>0.66152200729999999</v>
      </c>
      <c r="Y1833">
        <v>0.679367885</v>
      </c>
      <c r="Z1833">
        <v>0.63751965450000003</v>
      </c>
      <c r="AA1833">
        <v>0.62774885680000003</v>
      </c>
      <c r="AB1833">
        <v>0.59752144809999996</v>
      </c>
    </row>
    <row r="1834" spans="1:28" hidden="1" x14ac:dyDescent="0.25">
      <c r="A1834" t="s">
        <v>313</v>
      </c>
      <c r="B1834" t="s">
        <v>316</v>
      </c>
      <c r="C1834">
        <v>115</v>
      </c>
      <c r="D1834" t="s">
        <v>4</v>
      </c>
      <c r="E1834">
        <v>3.3723555000000002E-2</v>
      </c>
      <c r="F1834">
        <v>3.6412020000000003E-2</v>
      </c>
      <c r="G1834">
        <v>3.6049110000000002E-2</v>
      </c>
      <c r="H1834">
        <v>3.5657099999999997E-2</v>
      </c>
      <c r="I1834">
        <v>3.5904419999999999E-2</v>
      </c>
      <c r="J1834">
        <v>3.7620765E-2</v>
      </c>
      <c r="K1834">
        <v>3.7590600000000002E-2</v>
      </c>
      <c r="L1834">
        <v>3.6291749999999998E-2</v>
      </c>
      <c r="M1834">
        <v>3.715794E-2</v>
      </c>
      <c r="N1834">
        <v>3.6953699999999999E-2</v>
      </c>
      <c r="O1834">
        <v>3.5722904999999999E-2</v>
      </c>
      <c r="P1834">
        <v>3.6283215000000001E-2</v>
      </c>
      <c r="Q1834">
        <v>3.6296204999999998E-2</v>
      </c>
      <c r="R1834">
        <v>3.6533145000000003E-2</v>
      </c>
      <c r="S1834">
        <v>3.5870369999999999E-2</v>
      </c>
      <c r="T1834">
        <v>3.5853675000000002E-2</v>
      </c>
      <c r="U1834">
        <v>3.5916539999999997E-2</v>
      </c>
      <c r="V1834">
        <v>3.749574E-2</v>
      </c>
      <c r="W1834">
        <v>3.9459750000000002E-2</v>
      </c>
      <c r="X1834">
        <v>3.9057630000000003E-2</v>
      </c>
      <c r="Y1834">
        <v>3.8589329999999998E-2</v>
      </c>
      <c r="Z1834">
        <v>3.6930615E-2</v>
      </c>
      <c r="AA1834">
        <v>3.6025889999999998E-2</v>
      </c>
      <c r="AB1834">
        <v>3.3794459999999998E-2</v>
      </c>
    </row>
    <row r="1835" spans="1:28" hidden="1" x14ac:dyDescent="0.25">
      <c r="A1835" t="s">
        <v>313</v>
      </c>
      <c r="B1835" t="s">
        <v>317</v>
      </c>
      <c r="C1835">
        <v>115</v>
      </c>
      <c r="D1835" t="s">
        <v>2</v>
      </c>
      <c r="E1835">
        <v>2.1868053949999999</v>
      </c>
      <c r="F1835">
        <v>2.2177304549999999</v>
      </c>
      <c r="G1835">
        <v>2.1660209099999999</v>
      </c>
      <c r="H1835">
        <v>2.1083659049999999</v>
      </c>
      <c r="I1835">
        <v>2.1962357849999998</v>
      </c>
      <c r="J1835">
        <v>2.66491553</v>
      </c>
      <c r="K1835">
        <v>3.1609674399999999</v>
      </c>
      <c r="L1835">
        <v>2.9546414599999999</v>
      </c>
      <c r="M1835">
        <v>3.1676398300000002</v>
      </c>
      <c r="N1835">
        <v>3.2305547350000001</v>
      </c>
      <c r="O1835">
        <v>3.2703556300000001</v>
      </c>
      <c r="P1835">
        <v>3.554743845</v>
      </c>
      <c r="Q1835">
        <v>3.34671086</v>
      </c>
      <c r="R1835">
        <v>3.3472841299999998</v>
      </c>
      <c r="S1835">
        <v>3.3976727900000001</v>
      </c>
      <c r="T1835">
        <v>3.3609608550000001</v>
      </c>
      <c r="U1835">
        <v>3.3462745049999998</v>
      </c>
      <c r="V1835">
        <v>3.3089331550000001</v>
      </c>
      <c r="W1835">
        <v>3.8597648549999999</v>
      </c>
      <c r="X1835">
        <v>4.0303757200000003</v>
      </c>
      <c r="Y1835">
        <v>3.8081114550000001</v>
      </c>
      <c r="Z1835">
        <v>3.21016228</v>
      </c>
      <c r="AA1835">
        <v>2.7300230449999998</v>
      </c>
      <c r="AB1835">
        <v>2.4258570150000001</v>
      </c>
    </row>
    <row r="1836" spans="1:28" hidden="1" x14ac:dyDescent="0.25">
      <c r="A1836" t="s">
        <v>313</v>
      </c>
      <c r="B1836" t="s">
        <v>317</v>
      </c>
      <c r="C1836">
        <v>115</v>
      </c>
      <c r="D1836" t="s">
        <v>3</v>
      </c>
      <c r="E1836">
        <v>0.94556078200000004</v>
      </c>
      <c r="F1836">
        <v>0.94274240009999999</v>
      </c>
      <c r="G1836">
        <v>0.93333174480000003</v>
      </c>
      <c r="H1836">
        <v>0.89115385420000004</v>
      </c>
      <c r="I1836">
        <v>0.87950023030000002</v>
      </c>
      <c r="J1836">
        <v>0.95248713979999999</v>
      </c>
      <c r="K1836">
        <v>1.0237377408999999</v>
      </c>
      <c r="L1836">
        <v>1.056139256</v>
      </c>
      <c r="M1836">
        <v>1.1390548593000001</v>
      </c>
      <c r="N1836">
        <v>1.2044051330000001</v>
      </c>
      <c r="O1836">
        <v>1.2518133227999999</v>
      </c>
      <c r="P1836">
        <v>1.3590736285</v>
      </c>
      <c r="Q1836">
        <v>1.3110940879999999</v>
      </c>
      <c r="R1836">
        <v>1.3364731447</v>
      </c>
      <c r="S1836">
        <v>1.3650752256000001</v>
      </c>
      <c r="T1836">
        <v>1.3609811624999999</v>
      </c>
      <c r="U1836">
        <v>1.3285241641000001</v>
      </c>
      <c r="V1836">
        <v>1.2425601964999999</v>
      </c>
      <c r="W1836">
        <v>1.1475913645</v>
      </c>
      <c r="X1836">
        <v>0.9730712561</v>
      </c>
      <c r="Y1836">
        <v>0.94016394150000004</v>
      </c>
      <c r="Z1836">
        <v>0.91255360429999999</v>
      </c>
      <c r="AA1836">
        <v>0.95335761740000002</v>
      </c>
      <c r="AB1836">
        <v>0.9965566307</v>
      </c>
    </row>
    <row r="1837" spans="1:28" hidden="1" x14ac:dyDescent="0.25">
      <c r="A1837" t="s">
        <v>313</v>
      </c>
      <c r="B1837" t="s">
        <v>317</v>
      </c>
      <c r="C1837">
        <v>115</v>
      </c>
      <c r="D1837" t="s">
        <v>4</v>
      </c>
      <c r="E1837">
        <v>3.3301604999999998E-2</v>
      </c>
      <c r="F1837">
        <v>3.3772545000000001E-2</v>
      </c>
      <c r="G1837">
        <v>3.2985090000000002E-2</v>
      </c>
      <c r="H1837">
        <v>3.2107095000000002E-2</v>
      </c>
      <c r="I1837">
        <v>3.3445215E-2</v>
      </c>
      <c r="J1837">
        <v>4.0582470000000002E-2</v>
      </c>
      <c r="K1837">
        <v>4.8136560000000002E-2</v>
      </c>
      <c r="L1837">
        <v>4.499454E-2</v>
      </c>
      <c r="M1837">
        <v>4.8238169999999997E-2</v>
      </c>
      <c r="N1837">
        <v>4.9196265000000003E-2</v>
      </c>
      <c r="O1837">
        <v>4.9802369999999999E-2</v>
      </c>
      <c r="P1837">
        <v>5.4133155000000002E-2</v>
      </c>
      <c r="Q1837">
        <v>5.0965139999999999E-2</v>
      </c>
      <c r="R1837">
        <v>5.0973869999999998E-2</v>
      </c>
      <c r="S1837">
        <v>5.1741210000000003E-2</v>
      </c>
      <c r="T1837">
        <v>5.1182144999999998E-2</v>
      </c>
      <c r="U1837">
        <v>5.0958494999999999E-2</v>
      </c>
      <c r="V1837">
        <v>5.0389845000000003E-2</v>
      </c>
      <c r="W1837">
        <v>5.8778144999999997E-2</v>
      </c>
      <c r="X1837">
        <v>6.1376279999999998E-2</v>
      </c>
      <c r="Y1837">
        <v>5.7991544999999999E-2</v>
      </c>
      <c r="Z1837">
        <v>4.8885720000000001E-2</v>
      </c>
      <c r="AA1837">
        <v>4.1573955000000003E-2</v>
      </c>
      <c r="AB1837">
        <v>3.6941984999999997E-2</v>
      </c>
    </row>
    <row r="1838" spans="1:28" hidden="1" x14ac:dyDescent="0.25">
      <c r="A1838" t="s">
        <v>313</v>
      </c>
      <c r="B1838" t="s">
        <v>318</v>
      </c>
      <c r="C1838">
        <v>115</v>
      </c>
      <c r="D1838" t="s">
        <v>2</v>
      </c>
      <c r="E1838">
        <v>2.1313430000000001E-2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7.3767634999999998E-2</v>
      </c>
      <c r="P1838">
        <v>5.6181445000000003E-2</v>
      </c>
      <c r="Q1838">
        <v>0.11114543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2.259984E-2</v>
      </c>
      <c r="Z1838">
        <v>0</v>
      </c>
      <c r="AA1838">
        <v>0</v>
      </c>
      <c r="AB1838">
        <v>1.087834E-2</v>
      </c>
    </row>
    <row r="1839" spans="1:28" hidden="1" x14ac:dyDescent="0.25">
      <c r="A1839" t="s">
        <v>313</v>
      </c>
      <c r="B1839" t="s">
        <v>318</v>
      </c>
      <c r="C1839">
        <v>115</v>
      </c>
      <c r="D1839" t="s">
        <v>3</v>
      </c>
      <c r="E1839">
        <v>0.27896422850000002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9.9780181300000007E-2</v>
      </c>
      <c r="P1839">
        <v>0.1824306755</v>
      </c>
      <c r="Q1839">
        <v>0.21820208050000001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0.19250159089999999</v>
      </c>
      <c r="Z1839">
        <v>0</v>
      </c>
      <c r="AA1839">
        <v>0</v>
      </c>
      <c r="AB1839">
        <v>9.4764772999999993E-3</v>
      </c>
    </row>
    <row r="1840" spans="1:28" hidden="1" x14ac:dyDescent="0.25">
      <c r="A1840" t="s">
        <v>313</v>
      </c>
      <c r="B1840" t="s">
        <v>318</v>
      </c>
      <c r="C1840">
        <v>115</v>
      </c>
      <c r="D1840" t="s">
        <v>4</v>
      </c>
      <c r="E1840">
        <v>3.2456999999999999E-4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1.1233650000000001E-3</v>
      </c>
      <c r="P1840">
        <v>8.5555500000000003E-4</v>
      </c>
      <c r="Q1840">
        <v>1.69257E-3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3.4415999999999998E-4</v>
      </c>
      <c r="Z1840">
        <v>0</v>
      </c>
      <c r="AA1840">
        <v>0</v>
      </c>
      <c r="AB1840">
        <v>1.6566000000000001E-4</v>
      </c>
    </row>
    <row r="1841" spans="1:28" hidden="1" x14ac:dyDescent="0.25">
      <c r="A1841" t="s">
        <v>313</v>
      </c>
      <c r="B1841" t="s">
        <v>319</v>
      </c>
      <c r="C1841">
        <v>115</v>
      </c>
      <c r="D1841" t="s">
        <v>2</v>
      </c>
      <c r="E1841">
        <v>4.0070125049999996</v>
      </c>
      <c r="F1841">
        <v>3.9906615049999998</v>
      </c>
      <c r="G1841">
        <v>3.9193681900000001</v>
      </c>
      <c r="H1841">
        <v>3.80000983</v>
      </c>
      <c r="I1841">
        <v>3.8649449699999998</v>
      </c>
      <c r="J1841">
        <v>4.4824306350000001</v>
      </c>
      <c r="K1841">
        <v>4.5194587549999996</v>
      </c>
      <c r="L1841">
        <v>4.6928049649999997</v>
      </c>
      <c r="M1841">
        <v>5.0613653699999999</v>
      </c>
      <c r="N1841">
        <v>5.3281880800000003</v>
      </c>
      <c r="O1841">
        <v>5.4342006749999996</v>
      </c>
      <c r="P1841">
        <v>5.5747168350000003</v>
      </c>
      <c r="Q1841">
        <v>5.4831719200000002</v>
      </c>
      <c r="R1841">
        <v>5.4975263249999999</v>
      </c>
      <c r="S1841">
        <v>5.4770688600000002</v>
      </c>
      <c r="T1841">
        <v>5.531223175</v>
      </c>
      <c r="U1841">
        <v>5.5813242150000004</v>
      </c>
      <c r="V1841">
        <v>5.8205019150000004</v>
      </c>
      <c r="W1841">
        <v>6.5220632399999996</v>
      </c>
      <c r="X1841">
        <v>6.6620425750000001</v>
      </c>
      <c r="Y1841">
        <v>6.2658686799999996</v>
      </c>
      <c r="Z1841">
        <v>5.4564991049999998</v>
      </c>
      <c r="AA1841">
        <v>4.8320691900000003</v>
      </c>
      <c r="AB1841">
        <v>4.3970025699999997</v>
      </c>
    </row>
    <row r="1842" spans="1:28" hidden="1" x14ac:dyDescent="0.25">
      <c r="A1842" t="s">
        <v>313</v>
      </c>
      <c r="B1842" t="s">
        <v>319</v>
      </c>
      <c r="C1842">
        <v>115</v>
      </c>
      <c r="D1842" t="s">
        <v>3</v>
      </c>
      <c r="E1842">
        <v>1.6406769236000001</v>
      </c>
      <c r="F1842">
        <v>1.3930447708</v>
      </c>
      <c r="G1842">
        <v>1.3722896337999999</v>
      </c>
      <c r="H1842">
        <v>1.3047705722</v>
      </c>
      <c r="I1842">
        <v>1.5510034174</v>
      </c>
      <c r="J1842">
        <v>1.8278699630999999</v>
      </c>
      <c r="K1842">
        <v>1.8612048178</v>
      </c>
      <c r="L1842">
        <v>2.0750441561000001</v>
      </c>
      <c r="M1842">
        <v>2.2964344233</v>
      </c>
      <c r="N1842">
        <v>2.5660543077</v>
      </c>
      <c r="O1842">
        <v>2.6872207012999998</v>
      </c>
      <c r="P1842">
        <v>2.7207661576</v>
      </c>
      <c r="Q1842">
        <v>2.6237015979999998</v>
      </c>
      <c r="R1842">
        <v>2.6131699685999998</v>
      </c>
      <c r="S1842">
        <v>2.5789947216</v>
      </c>
      <c r="T1842">
        <v>2.6216006797000002</v>
      </c>
      <c r="U1842">
        <v>2.6774970234</v>
      </c>
      <c r="V1842">
        <v>2.9661221904000001</v>
      </c>
      <c r="W1842">
        <v>4.1770435610999996</v>
      </c>
      <c r="X1842">
        <v>4.7236977119999999</v>
      </c>
      <c r="Y1842">
        <v>4.3029296053000001</v>
      </c>
      <c r="Z1842">
        <v>3.3748951219999999</v>
      </c>
      <c r="AA1842">
        <v>2.5143629526</v>
      </c>
      <c r="AB1842">
        <v>1.9785417308</v>
      </c>
    </row>
    <row r="1843" spans="1:28" hidden="1" x14ac:dyDescent="0.25">
      <c r="A1843" t="s">
        <v>313</v>
      </c>
      <c r="B1843" t="s">
        <v>319</v>
      </c>
      <c r="C1843">
        <v>115</v>
      </c>
      <c r="D1843" t="s">
        <v>4</v>
      </c>
      <c r="E1843">
        <v>6.1020495000000001E-2</v>
      </c>
      <c r="F1843">
        <v>6.0771495000000002E-2</v>
      </c>
      <c r="G1843">
        <v>5.9685809999999999E-2</v>
      </c>
      <c r="H1843">
        <v>5.7868169999999997E-2</v>
      </c>
      <c r="I1843">
        <v>5.8857029999999998E-2</v>
      </c>
      <c r="J1843">
        <v>6.8260365000000003E-2</v>
      </c>
      <c r="K1843">
        <v>6.8824245000000006E-2</v>
      </c>
      <c r="L1843">
        <v>7.1464034999999995E-2</v>
      </c>
      <c r="M1843">
        <v>7.7076629999999993E-2</v>
      </c>
      <c r="N1843">
        <v>8.1139920000000004E-2</v>
      </c>
      <c r="O1843">
        <v>8.2754325000000004E-2</v>
      </c>
      <c r="P1843">
        <v>8.4894164999999994E-2</v>
      </c>
      <c r="Q1843">
        <v>8.3500080000000004E-2</v>
      </c>
      <c r="R1843">
        <v>8.3718675000000006E-2</v>
      </c>
      <c r="S1843">
        <v>8.3407140000000005E-2</v>
      </c>
      <c r="T1843">
        <v>8.4231824999999996E-2</v>
      </c>
      <c r="U1843">
        <v>8.4994785000000003E-2</v>
      </c>
      <c r="V1843">
        <v>8.8637085000000004E-2</v>
      </c>
      <c r="W1843">
        <v>9.9320759999999994E-2</v>
      </c>
      <c r="X1843">
        <v>0.101452425</v>
      </c>
      <c r="Y1843">
        <v>9.5419320000000002E-2</v>
      </c>
      <c r="Z1843">
        <v>8.3093895000000001E-2</v>
      </c>
      <c r="AA1843">
        <v>7.358481E-2</v>
      </c>
      <c r="AB1843">
        <v>6.695943E-2</v>
      </c>
    </row>
    <row r="1844" spans="1:28" hidden="1" x14ac:dyDescent="0.25">
      <c r="A1844" t="s">
        <v>313</v>
      </c>
      <c r="B1844" t="s">
        <v>320</v>
      </c>
      <c r="C1844">
        <v>115</v>
      </c>
      <c r="D1844" t="s">
        <v>2</v>
      </c>
      <c r="E1844">
        <v>35.852106829999997</v>
      </c>
      <c r="F1844">
        <v>32.589358355000002</v>
      </c>
      <c r="G1844">
        <v>33.798134595000001</v>
      </c>
      <c r="H1844">
        <v>37.224419664999999</v>
      </c>
      <c r="I1844">
        <v>37.93674704</v>
      </c>
      <c r="J1844">
        <v>38.985104210000003</v>
      </c>
      <c r="K1844">
        <v>41.133592120000003</v>
      </c>
      <c r="L1844">
        <v>38.83243118</v>
      </c>
      <c r="M1844">
        <v>35.718635390000003</v>
      </c>
      <c r="N1844">
        <v>36.587388644999997</v>
      </c>
      <c r="O1844">
        <v>37.655812234999999</v>
      </c>
      <c r="P1844">
        <v>40.514379750000003</v>
      </c>
      <c r="Q1844">
        <v>42.427891969999997</v>
      </c>
      <c r="R1844">
        <v>39.731447574999997</v>
      </c>
      <c r="S1844">
        <v>42.550509695000002</v>
      </c>
      <c r="T1844">
        <v>42.094252769999997</v>
      </c>
      <c r="U1844">
        <v>44.151677429999999</v>
      </c>
      <c r="V1844">
        <v>42.039557690000002</v>
      </c>
      <c r="W1844">
        <v>47.58859262</v>
      </c>
      <c r="X1844">
        <v>47.067580810000003</v>
      </c>
      <c r="Y1844">
        <v>47.491216504999997</v>
      </c>
      <c r="Z1844">
        <v>46.538290074999999</v>
      </c>
      <c r="AA1844">
        <v>46.307330229999998</v>
      </c>
      <c r="AB1844">
        <v>41.840057760000001</v>
      </c>
    </row>
    <row r="1845" spans="1:28" hidden="1" x14ac:dyDescent="0.25">
      <c r="A1845" t="s">
        <v>313</v>
      </c>
      <c r="B1845" t="s">
        <v>320</v>
      </c>
      <c r="C1845">
        <v>115</v>
      </c>
      <c r="D1845" t="s">
        <v>3</v>
      </c>
      <c r="E1845">
        <v>9.4489967129999997</v>
      </c>
      <c r="F1845">
        <v>9.3117517834000001</v>
      </c>
      <c r="G1845">
        <v>8.4602629679000003</v>
      </c>
      <c r="H1845">
        <v>10.2314883771</v>
      </c>
      <c r="I1845">
        <v>9.7929330143000008</v>
      </c>
      <c r="J1845">
        <v>11.0838460073</v>
      </c>
      <c r="K1845">
        <v>11.0158905923</v>
      </c>
      <c r="L1845">
        <v>10.0125380137</v>
      </c>
      <c r="M1845">
        <v>9.5004353863999995</v>
      </c>
      <c r="N1845">
        <v>9.5193173293999997</v>
      </c>
      <c r="O1845">
        <v>9.4621035231999997</v>
      </c>
      <c r="P1845">
        <v>10.164483733699999</v>
      </c>
      <c r="Q1845">
        <v>11.599596911300001</v>
      </c>
      <c r="R1845">
        <v>10.600822218599999</v>
      </c>
      <c r="S1845">
        <v>11.598397219000001</v>
      </c>
      <c r="T1845">
        <v>11.4946511854</v>
      </c>
      <c r="U1845">
        <v>11.8570446156</v>
      </c>
      <c r="V1845">
        <v>11.908996481899999</v>
      </c>
      <c r="W1845">
        <v>12.6437216317</v>
      </c>
      <c r="X1845">
        <v>12.9998881865</v>
      </c>
      <c r="Y1845">
        <v>12.824403416699999</v>
      </c>
      <c r="Z1845">
        <v>12.921291457900001</v>
      </c>
      <c r="AA1845">
        <v>12.2975122458</v>
      </c>
      <c r="AB1845">
        <v>10.977899666700001</v>
      </c>
    </row>
    <row r="1846" spans="1:28" hidden="1" x14ac:dyDescent="0.25">
      <c r="A1846" t="s">
        <v>313</v>
      </c>
      <c r="B1846" t="s">
        <v>320</v>
      </c>
      <c r="C1846">
        <v>115</v>
      </c>
      <c r="D1846" t="s">
        <v>4</v>
      </c>
      <c r="E1846">
        <v>0.54597116999999995</v>
      </c>
      <c r="F1846">
        <v>0.49628464500000002</v>
      </c>
      <c r="G1846">
        <v>0.51469240500000002</v>
      </c>
      <c r="H1846">
        <v>0.56686933500000003</v>
      </c>
      <c r="I1846">
        <v>0.57771695999999995</v>
      </c>
      <c r="J1846">
        <v>0.59368178999999999</v>
      </c>
      <c r="K1846">
        <v>0.62639988000000002</v>
      </c>
      <c r="L1846">
        <v>0.59135682000000001</v>
      </c>
      <c r="M1846">
        <v>0.54393860999999999</v>
      </c>
      <c r="N1846">
        <v>0.55716835499999995</v>
      </c>
      <c r="O1846">
        <v>0.57343876500000002</v>
      </c>
      <c r="P1846">
        <v>0.61697025000000005</v>
      </c>
      <c r="Q1846">
        <v>0.64611003</v>
      </c>
      <c r="R1846">
        <v>0.60504742499999997</v>
      </c>
      <c r="S1846">
        <v>0.64797730499999995</v>
      </c>
      <c r="T1846">
        <v>0.64102923000000001</v>
      </c>
      <c r="U1846">
        <v>0.67236057000000005</v>
      </c>
      <c r="V1846">
        <v>0.64019630999999999</v>
      </c>
      <c r="W1846">
        <v>0.72469938</v>
      </c>
      <c r="X1846">
        <v>0.71676519000000005</v>
      </c>
      <c r="Y1846">
        <v>0.72321649499999996</v>
      </c>
      <c r="Z1846">
        <v>0.70870492500000004</v>
      </c>
      <c r="AA1846">
        <v>0.70518776999999999</v>
      </c>
      <c r="AB1846">
        <v>0.63715823999999999</v>
      </c>
    </row>
    <row r="1847" spans="1:28" hidden="1" x14ac:dyDescent="0.25">
      <c r="A1847" t="s">
        <v>313</v>
      </c>
      <c r="B1847" t="s">
        <v>321</v>
      </c>
      <c r="C1847">
        <v>115</v>
      </c>
      <c r="D1847" t="s">
        <v>2</v>
      </c>
      <c r="E1847">
        <v>12.310907255</v>
      </c>
      <c r="F1847">
        <v>12.370842535</v>
      </c>
      <c r="G1847">
        <v>11.786847855</v>
      </c>
      <c r="H1847">
        <v>11.463982585</v>
      </c>
      <c r="I1847">
        <v>12.049153355</v>
      </c>
      <c r="J1847">
        <v>14.269224169999999</v>
      </c>
      <c r="K1847">
        <v>15.585256075</v>
      </c>
      <c r="L1847">
        <v>16.056081150000001</v>
      </c>
      <c r="M1847">
        <v>17.516340695</v>
      </c>
      <c r="N1847">
        <v>18.156408469999999</v>
      </c>
      <c r="O1847">
        <v>18.25743795</v>
      </c>
      <c r="P1847">
        <v>18.979064709999999</v>
      </c>
      <c r="Q1847">
        <v>18.220430515</v>
      </c>
      <c r="R1847">
        <v>17.842328415000001</v>
      </c>
      <c r="S1847">
        <v>18.040500564999999</v>
      </c>
      <c r="T1847">
        <v>17.899754900000001</v>
      </c>
      <c r="U1847">
        <v>17.812361760000002</v>
      </c>
      <c r="V1847">
        <v>18.495223845000002</v>
      </c>
      <c r="W1847">
        <v>20.48491104</v>
      </c>
      <c r="X1847">
        <v>21.126032765000001</v>
      </c>
      <c r="Y1847">
        <v>20.139485329999999</v>
      </c>
      <c r="Z1847">
        <v>17.268550155</v>
      </c>
      <c r="AA1847">
        <v>14.491413574999999</v>
      </c>
      <c r="AB1847">
        <v>12.610106914999999</v>
      </c>
    </row>
    <row r="1848" spans="1:28" hidden="1" x14ac:dyDescent="0.25">
      <c r="A1848" t="s">
        <v>313</v>
      </c>
      <c r="B1848" t="s">
        <v>321</v>
      </c>
      <c r="C1848">
        <v>115</v>
      </c>
      <c r="D1848" t="s">
        <v>3</v>
      </c>
      <c r="E1848">
        <v>5.9484902381999998</v>
      </c>
      <c r="F1848">
        <v>6.1305935399000004</v>
      </c>
      <c r="G1848">
        <v>5.9101239659999996</v>
      </c>
      <c r="H1848">
        <v>5.7408705585000002</v>
      </c>
      <c r="I1848">
        <v>5.8445413329999996</v>
      </c>
      <c r="J1848">
        <v>6.2469133268999997</v>
      </c>
      <c r="K1848">
        <v>6.5653038884999999</v>
      </c>
      <c r="L1848">
        <v>6.8427658286000002</v>
      </c>
      <c r="M1848">
        <v>7.4709037447000002</v>
      </c>
      <c r="N1848">
        <v>7.8311548062999998</v>
      </c>
      <c r="O1848">
        <v>7.8188564245999999</v>
      </c>
      <c r="P1848">
        <v>8.2166408539999995</v>
      </c>
      <c r="Q1848">
        <v>7.9088832685000003</v>
      </c>
      <c r="R1848">
        <v>7.8159507546000002</v>
      </c>
      <c r="S1848">
        <v>7.9946602119000003</v>
      </c>
      <c r="T1848">
        <v>8.0224159552999996</v>
      </c>
      <c r="U1848">
        <v>7.9560280881000001</v>
      </c>
      <c r="V1848">
        <v>7.8989906176</v>
      </c>
      <c r="W1848">
        <v>7.6311065522000003</v>
      </c>
      <c r="X1848">
        <v>7.0415132908000002</v>
      </c>
      <c r="Y1848">
        <v>6.6928524059000001</v>
      </c>
      <c r="Z1848">
        <v>6.0726022591</v>
      </c>
      <c r="AA1848">
        <v>5.8081770359</v>
      </c>
      <c r="AB1848">
        <v>5.7831045398000001</v>
      </c>
    </row>
    <row r="1849" spans="1:28" hidden="1" x14ac:dyDescent="0.25">
      <c r="A1849" t="s">
        <v>313</v>
      </c>
      <c r="B1849" t="s">
        <v>321</v>
      </c>
      <c r="C1849">
        <v>115</v>
      </c>
      <c r="D1849" t="s">
        <v>4</v>
      </c>
      <c r="E1849">
        <v>0.187475745</v>
      </c>
      <c r="F1849">
        <v>0.188388465</v>
      </c>
      <c r="G1849">
        <v>0.17949514499999999</v>
      </c>
      <c r="H1849">
        <v>0.17457841499999999</v>
      </c>
      <c r="I1849">
        <v>0.18348964500000001</v>
      </c>
      <c r="J1849">
        <v>0.21729783</v>
      </c>
      <c r="K1849">
        <v>0.23733892500000001</v>
      </c>
      <c r="L1849">
        <v>0.24450885</v>
      </c>
      <c r="M1849">
        <v>0.26674630500000002</v>
      </c>
      <c r="N1849">
        <v>0.27649352999999999</v>
      </c>
      <c r="O1849">
        <v>0.27803204999999998</v>
      </c>
      <c r="P1849">
        <v>0.28902128999999999</v>
      </c>
      <c r="Q1849">
        <v>0.27746848499999999</v>
      </c>
      <c r="R1849">
        <v>0.271710585</v>
      </c>
      <c r="S1849">
        <v>0.27472843499999999</v>
      </c>
      <c r="T1849">
        <v>0.27258510000000002</v>
      </c>
      <c r="U1849">
        <v>0.27125423999999998</v>
      </c>
      <c r="V1849">
        <v>0.28165315499999999</v>
      </c>
      <c r="W1849">
        <v>0.31195296</v>
      </c>
      <c r="X1849">
        <v>0.32171623500000002</v>
      </c>
      <c r="Y1849">
        <v>0.30669267</v>
      </c>
      <c r="Z1849">
        <v>0.26297284500000001</v>
      </c>
      <c r="AA1849">
        <v>0.22068142499999999</v>
      </c>
      <c r="AB1849">
        <v>0.19203208499999999</v>
      </c>
    </row>
    <row r="1850" spans="1:28" hidden="1" x14ac:dyDescent="0.25">
      <c r="A1850" t="s">
        <v>313</v>
      </c>
      <c r="B1850" t="s">
        <v>322</v>
      </c>
      <c r="C1850">
        <v>115</v>
      </c>
      <c r="D1850" t="s">
        <v>2</v>
      </c>
      <c r="E1850">
        <v>4.422633255</v>
      </c>
      <c r="F1850">
        <v>4.6714334199999996</v>
      </c>
      <c r="G1850">
        <v>4.5640418250000003</v>
      </c>
      <c r="H1850">
        <v>4.6375799549999996</v>
      </c>
      <c r="I1850">
        <v>5.10086584</v>
      </c>
      <c r="J1850">
        <v>5.9248656200000003</v>
      </c>
      <c r="K1850">
        <v>6.676638305</v>
      </c>
      <c r="L1850">
        <v>7.1826722050000003</v>
      </c>
      <c r="M1850">
        <v>8.4249926199999994</v>
      </c>
      <c r="N1850">
        <v>9.0361526150000007</v>
      </c>
      <c r="O1850">
        <v>9.5086216550000007</v>
      </c>
      <c r="P1850">
        <v>10.05134582</v>
      </c>
      <c r="Q1850">
        <v>9.5733213799999994</v>
      </c>
      <c r="R1850">
        <v>9.6920985900000005</v>
      </c>
      <c r="S1850">
        <v>9.4866216800000007</v>
      </c>
      <c r="T1850">
        <v>8.8897284249999995</v>
      </c>
      <c r="U1850">
        <v>8.0658330550000006</v>
      </c>
      <c r="V1850">
        <v>7.9580632199999997</v>
      </c>
      <c r="W1850">
        <v>8.3993254900000007</v>
      </c>
      <c r="X1850">
        <v>7.9996853799999998</v>
      </c>
      <c r="Y1850">
        <v>7.5229975849999997</v>
      </c>
      <c r="Z1850">
        <v>6.47991706</v>
      </c>
      <c r="AA1850">
        <v>5.0142301649999999</v>
      </c>
      <c r="AB1850">
        <v>4.3839483650000002</v>
      </c>
    </row>
    <row r="1851" spans="1:28" hidden="1" x14ac:dyDescent="0.25">
      <c r="A1851" t="s">
        <v>313</v>
      </c>
      <c r="B1851" t="s">
        <v>322</v>
      </c>
      <c r="C1851">
        <v>115</v>
      </c>
      <c r="D1851" t="s">
        <v>3</v>
      </c>
      <c r="E1851">
        <v>3.5103615264000001</v>
      </c>
      <c r="F1851">
        <v>3.6377608094</v>
      </c>
      <c r="G1851">
        <v>3.6062132384000001</v>
      </c>
      <c r="H1851">
        <v>3.6003664543</v>
      </c>
      <c r="I1851">
        <v>3.7090057413999999</v>
      </c>
      <c r="J1851">
        <v>3.9233709873999998</v>
      </c>
      <c r="K1851">
        <v>4.1228932383999997</v>
      </c>
      <c r="L1851">
        <v>4.4393396184</v>
      </c>
      <c r="M1851">
        <v>4.9098477206000002</v>
      </c>
      <c r="N1851">
        <v>5.1655243473999999</v>
      </c>
      <c r="O1851">
        <v>5.3586957974000002</v>
      </c>
      <c r="P1851">
        <v>5.5131814625000004</v>
      </c>
      <c r="Q1851">
        <v>5.2631508281999997</v>
      </c>
      <c r="R1851">
        <v>5.3287133263999999</v>
      </c>
      <c r="S1851">
        <v>5.1316802106999999</v>
      </c>
      <c r="T1851">
        <v>4.8013086754999996</v>
      </c>
      <c r="U1851">
        <v>4.4066591387000003</v>
      </c>
      <c r="V1851">
        <v>4.3449783634000001</v>
      </c>
      <c r="W1851">
        <v>4.2835501069999999</v>
      </c>
      <c r="X1851">
        <v>3.9360714780000001</v>
      </c>
      <c r="Y1851">
        <v>3.9110637947</v>
      </c>
      <c r="Z1851">
        <v>3.7087535804999998</v>
      </c>
      <c r="AA1851">
        <v>3.3528767694999999</v>
      </c>
      <c r="AB1851">
        <v>3.3827302801000001</v>
      </c>
    </row>
    <row r="1852" spans="1:28" hidden="1" x14ac:dyDescent="0.25">
      <c r="A1852" t="s">
        <v>313</v>
      </c>
      <c r="B1852" t="s">
        <v>322</v>
      </c>
      <c r="C1852">
        <v>115</v>
      </c>
      <c r="D1852" t="s">
        <v>4</v>
      </c>
      <c r="E1852">
        <v>6.7349745000000003E-2</v>
      </c>
      <c r="F1852">
        <v>7.1138580000000007E-2</v>
      </c>
      <c r="G1852">
        <v>6.9503175E-2</v>
      </c>
      <c r="H1852">
        <v>7.0623044999999995E-2</v>
      </c>
      <c r="I1852">
        <v>7.7678159999999996E-2</v>
      </c>
      <c r="J1852">
        <v>9.0226379999999995E-2</v>
      </c>
      <c r="K1852">
        <v>0.101674695</v>
      </c>
      <c r="L1852">
        <v>0.109380795</v>
      </c>
      <c r="M1852">
        <v>0.12829937999999999</v>
      </c>
      <c r="N1852">
        <v>0.137606385</v>
      </c>
      <c r="O1852">
        <v>0.144801345</v>
      </c>
      <c r="P1852">
        <v>0.15306618</v>
      </c>
      <c r="Q1852">
        <v>0.14578662000000001</v>
      </c>
      <c r="R1852">
        <v>0.14759541000000001</v>
      </c>
      <c r="S1852">
        <v>0.14446632000000001</v>
      </c>
      <c r="T1852">
        <v>0.135376575</v>
      </c>
      <c r="U1852">
        <v>0.122829945</v>
      </c>
      <c r="V1852">
        <v>0.12118878</v>
      </c>
      <c r="W1852">
        <v>0.12790851</v>
      </c>
      <c r="X1852">
        <v>0.12182262000000001</v>
      </c>
      <c r="Y1852">
        <v>0.114563415</v>
      </c>
      <c r="Z1852">
        <v>9.8678940000000007E-2</v>
      </c>
      <c r="AA1852">
        <v>7.6358835E-2</v>
      </c>
      <c r="AB1852">
        <v>6.6760634999999999E-2</v>
      </c>
    </row>
    <row r="1853" spans="1:28" hidden="1" x14ac:dyDescent="0.25">
      <c r="A1853" t="s">
        <v>313</v>
      </c>
      <c r="B1853" t="s">
        <v>323</v>
      </c>
      <c r="C1853">
        <v>115</v>
      </c>
      <c r="D1853" t="s">
        <v>2</v>
      </c>
      <c r="E1853">
        <v>3.88552359</v>
      </c>
      <c r="F1853">
        <v>3.911307935</v>
      </c>
      <c r="G1853">
        <v>3.79823486</v>
      </c>
      <c r="H1853">
        <v>3.7339951299999998</v>
      </c>
      <c r="I1853">
        <v>3.804656075</v>
      </c>
      <c r="J1853">
        <v>4.4430700349999999</v>
      </c>
      <c r="K1853">
        <v>5.05754751</v>
      </c>
      <c r="L1853">
        <v>5.0319010649999996</v>
      </c>
      <c r="M1853">
        <v>5.4092417599999996</v>
      </c>
      <c r="N1853">
        <v>5.5260785200000004</v>
      </c>
      <c r="O1853">
        <v>5.4809202099999998</v>
      </c>
      <c r="P1853">
        <v>5.69218695</v>
      </c>
      <c r="Q1853">
        <v>5.50046064</v>
      </c>
      <c r="R1853">
        <v>5.5517131449999999</v>
      </c>
      <c r="S1853">
        <v>5.6039220849999998</v>
      </c>
      <c r="T1853">
        <v>5.55086309</v>
      </c>
      <c r="U1853">
        <v>5.5762849550000002</v>
      </c>
      <c r="V1853">
        <v>5.7685569550000002</v>
      </c>
      <c r="W1853">
        <v>6.6813466049999999</v>
      </c>
      <c r="X1853">
        <v>7.1912840600000001</v>
      </c>
      <c r="Y1853">
        <v>6.7800199650000001</v>
      </c>
      <c r="Z1853">
        <v>5.7440925099999998</v>
      </c>
      <c r="AA1853">
        <v>4.8967846750000001</v>
      </c>
      <c r="AB1853">
        <v>4.2838684249999996</v>
      </c>
    </row>
    <row r="1854" spans="1:28" hidden="1" x14ac:dyDescent="0.25">
      <c r="A1854" t="s">
        <v>313</v>
      </c>
      <c r="B1854" t="s">
        <v>323</v>
      </c>
      <c r="C1854">
        <v>115</v>
      </c>
      <c r="D1854" t="s">
        <v>3</v>
      </c>
      <c r="E1854">
        <v>1.9874919800999999</v>
      </c>
      <c r="F1854">
        <v>2.0184226849</v>
      </c>
      <c r="G1854">
        <v>1.9627977715</v>
      </c>
      <c r="H1854">
        <v>1.8979689663999999</v>
      </c>
      <c r="I1854">
        <v>1.8434333086000001</v>
      </c>
      <c r="J1854">
        <v>1.9304451189</v>
      </c>
      <c r="K1854">
        <v>1.9729976585</v>
      </c>
      <c r="L1854">
        <v>1.9991650796</v>
      </c>
      <c r="M1854">
        <v>2.1739326872000002</v>
      </c>
      <c r="N1854">
        <v>2.3162850683</v>
      </c>
      <c r="O1854">
        <v>2.3645025486</v>
      </c>
      <c r="P1854">
        <v>2.4848693106000002</v>
      </c>
      <c r="Q1854">
        <v>2.4109837075999998</v>
      </c>
      <c r="R1854">
        <v>2.5200482306</v>
      </c>
      <c r="S1854">
        <v>2.5285179180999999</v>
      </c>
      <c r="T1854">
        <v>2.5543698439</v>
      </c>
      <c r="U1854">
        <v>2.5773712998999998</v>
      </c>
      <c r="V1854">
        <v>2.5233550405999998</v>
      </c>
      <c r="W1854">
        <v>2.4207915744999999</v>
      </c>
      <c r="X1854">
        <v>2.1776713613999998</v>
      </c>
      <c r="Y1854">
        <v>2.1435998769000002</v>
      </c>
      <c r="Z1854">
        <v>2.0435931779000001</v>
      </c>
      <c r="AA1854">
        <v>2.0605466788000002</v>
      </c>
      <c r="AB1854">
        <v>2.0476380159000001</v>
      </c>
    </row>
    <row r="1855" spans="1:28" hidden="1" x14ac:dyDescent="0.25">
      <c r="A1855" t="s">
        <v>313</v>
      </c>
      <c r="B1855" t="s">
        <v>323</v>
      </c>
      <c r="C1855">
        <v>115</v>
      </c>
      <c r="D1855" t="s">
        <v>4</v>
      </c>
      <c r="E1855">
        <v>5.917041E-2</v>
      </c>
      <c r="F1855">
        <v>5.9563064999999998E-2</v>
      </c>
      <c r="G1855">
        <v>5.7841139999999999E-2</v>
      </c>
      <c r="H1855">
        <v>5.6862870000000003E-2</v>
      </c>
      <c r="I1855">
        <v>5.7938925000000002E-2</v>
      </c>
      <c r="J1855">
        <v>6.7660965000000003E-2</v>
      </c>
      <c r="K1855">
        <v>7.7018489999999995E-2</v>
      </c>
      <c r="L1855">
        <v>7.6627934999999994E-2</v>
      </c>
      <c r="M1855">
        <v>8.2374240000000001E-2</v>
      </c>
      <c r="N1855">
        <v>8.4153480000000003E-2</v>
      </c>
      <c r="O1855">
        <v>8.3465789999999998E-2</v>
      </c>
      <c r="P1855">
        <v>8.6683049999999998E-2</v>
      </c>
      <c r="Q1855">
        <v>8.3763359999999995E-2</v>
      </c>
      <c r="R1855">
        <v>8.4543855000000001E-2</v>
      </c>
      <c r="S1855">
        <v>8.5338915000000001E-2</v>
      </c>
      <c r="T1855">
        <v>8.4530910000000001E-2</v>
      </c>
      <c r="U1855">
        <v>8.4918044999999998E-2</v>
      </c>
      <c r="V1855">
        <v>8.7846044999999998E-2</v>
      </c>
      <c r="W1855">
        <v>0.101746395</v>
      </c>
      <c r="X1855">
        <v>0.10951194</v>
      </c>
      <c r="Y1855">
        <v>0.103249035</v>
      </c>
      <c r="Z1855">
        <v>8.7473490000000001E-2</v>
      </c>
      <c r="AA1855">
        <v>7.4570325000000007E-2</v>
      </c>
      <c r="AB1855">
        <v>6.5236575000000005E-2</v>
      </c>
    </row>
    <row r="1856" spans="1:28" hidden="1" x14ac:dyDescent="0.25">
      <c r="A1856" t="s">
        <v>313</v>
      </c>
      <c r="B1856" t="s">
        <v>324</v>
      </c>
      <c r="C1856">
        <v>115</v>
      </c>
      <c r="D1856" t="s">
        <v>2</v>
      </c>
      <c r="E1856">
        <v>20.627590260000002</v>
      </c>
      <c r="F1856">
        <v>21.546648449999999</v>
      </c>
      <c r="G1856">
        <v>20.5515325</v>
      </c>
      <c r="H1856">
        <v>19.990281469999999</v>
      </c>
      <c r="I1856">
        <v>20.887926745000001</v>
      </c>
      <c r="J1856">
        <v>21.770811795</v>
      </c>
      <c r="K1856">
        <v>21.340147139999999</v>
      </c>
      <c r="L1856">
        <v>20.096778685</v>
      </c>
      <c r="M1856">
        <v>20.299355755000001</v>
      </c>
      <c r="N1856">
        <v>20.35793469</v>
      </c>
      <c r="O1856">
        <v>19.063961859999999</v>
      </c>
      <c r="P1856">
        <v>18.772215695</v>
      </c>
      <c r="Q1856">
        <v>18.252539545000001</v>
      </c>
      <c r="R1856">
        <v>19.059075275000001</v>
      </c>
      <c r="S1856">
        <v>19.117508430000001</v>
      </c>
      <c r="T1856">
        <v>18.928419949999999</v>
      </c>
      <c r="U1856">
        <v>19.105011735000001</v>
      </c>
      <c r="V1856">
        <v>20.708105145000001</v>
      </c>
      <c r="W1856">
        <v>21.318301810000001</v>
      </c>
      <c r="X1856">
        <v>21.381929854999999</v>
      </c>
      <c r="Y1856">
        <v>21.964440140000001</v>
      </c>
      <c r="Z1856">
        <v>21.211946435000002</v>
      </c>
      <c r="AA1856">
        <v>20.989300974999999</v>
      </c>
      <c r="AB1856">
        <v>19.952948984999999</v>
      </c>
    </row>
    <row r="1857" spans="1:28" hidden="1" x14ac:dyDescent="0.25">
      <c r="A1857" t="s">
        <v>313</v>
      </c>
      <c r="B1857" t="s">
        <v>324</v>
      </c>
      <c r="C1857">
        <v>115</v>
      </c>
      <c r="D1857" t="s">
        <v>3</v>
      </c>
      <c r="E1857">
        <v>8.3733535639000003</v>
      </c>
      <c r="F1857">
        <v>8.7910674515</v>
      </c>
      <c r="G1857">
        <v>8.3208240356999994</v>
      </c>
      <c r="H1857">
        <v>7.8034689061</v>
      </c>
      <c r="I1857">
        <v>8.6756752713999994</v>
      </c>
      <c r="J1857">
        <v>9.0669807527999993</v>
      </c>
      <c r="K1857">
        <v>8.8341204233999999</v>
      </c>
      <c r="L1857">
        <v>8.0347370183999995</v>
      </c>
      <c r="M1857">
        <v>8.6982007028999995</v>
      </c>
      <c r="N1857">
        <v>8.8300176960000005</v>
      </c>
      <c r="O1857">
        <v>8.2088895719000003</v>
      </c>
      <c r="P1857">
        <v>8.0398772198999993</v>
      </c>
      <c r="Q1857">
        <v>7.4588957656000003</v>
      </c>
      <c r="R1857">
        <v>7.6899373875999997</v>
      </c>
      <c r="S1857">
        <v>7.7609583336999997</v>
      </c>
      <c r="T1857">
        <v>7.6201509889999999</v>
      </c>
      <c r="U1857">
        <v>8.0913996406000006</v>
      </c>
      <c r="V1857">
        <v>8.9050557598999998</v>
      </c>
      <c r="W1857">
        <v>8.8107074701000005</v>
      </c>
      <c r="X1857">
        <v>9.2121265855000001</v>
      </c>
      <c r="Y1857">
        <v>9.6262357922999993</v>
      </c>
      <c r="Z1857">
        <v>9.2086672939999996</v>
      </c>
      <c r="AA1857">
        <v>8.6959507864999992</v>
      </c>
      <c r="AB1857">
        <v>7.9354019899999999</v>
      </c>
    </row>
    <row r="1858" spans="1:28" hidden="1" x14ac:dyDescent="0.25">
      <c r="A1858" t="s">
        <v>313</v>
      </c>
      <c r="B1858" t="s">
        <v>324</v>
      </c>
      <c r="C1858">
        <v>115</v>
      </c>
      <c r="D1858" t="s">
        <v>4</v>
      </c>
      <c r="E1858">
        <v>0.31412573999999999</v>
      </c>
      <c r="F1858">
        <v>0.32812154999999998</v>
      </c>
      <c r="G1858">
        <v>0.31296750000000001</v>
      </c>
      <c r="H1858">
        <v>0.30442053000000002</v>
      </c>
      <c r="I1858">
        <v>0.31809025499999999</v>
      </c>
      <c r="J1858">
        <v>0.331535205</v>
      </c>
      <c r="K1858">
        <v>0.32497685999999998</v>
      </c>
      <c r="L1858">
        <v>0.30604231500000001</v>
      </c>
      <c r="M1858">
        <v>0.30912724499999999</v>
      </c>
      <c r="N1858">
        <v>0.31001930999999999</v>
      </c>
      <c r="O1858">
        <v>0.29031414</v>
      </c>
      <c r="P1858">
        <v>0.28587130500000002</v>
      </c>
      <c r="Q1858">
        <v>0.27795745500000002</v>
      </c>
      <c r="R1858">
        <v>0.290239725</v>
      </c>
      <c r="S1858">
        <v>0.29112957</v>
      </c>
      <c r="T1858">
        <v>0.28825004999999998</v>
      </c>
      <c r="U1858">
        <v>0.290939265</v>
      </c>
      <c r="V1858">
        <v>0.31535185500000001</v>
      </c>
      <c r="W1858">
        <v>0.32464419</v>
      </c>
      <c r="X1858">
        <v>0.32561314499999999</v>
      </c>
      <c r="Y1858">
        <v>0.33448386000000002</v>
      </c>
      <c r="Z1858">
        <v>0.32302456499999999</v>
      </c>
      <c r="AA1858">
        <v>0.31963402499999999</v>
      </c>
      <c r="AB1858">
        <v>0.30385201499999998</v>
      </c>
    </row>
    <row r="1859" spans="1:28" hidden="1" x14ac:dyDescent="0.25">
      <c r="A1859" t="s">
        <v>313</v>
      </c>
      <c r="B1859" t="s">
        <v>325</v>
      </c>
      <c r="C1859">
        <v>34</v>
      </c>
      <c r="D1859" t="s">
        <v>2</v>
      </c>
      <c r="E1859">
        <v>5.1171962000000004</v>
      </c>
      <c r="F1859">
        <v>5.1617085300000003</v>
      </c>
      <c r="G1859">
        <v>4.8786867799999998</v>
      </c>
      <c r="H1859">
        <v>4.72338784</v>
      </c>
      <c r="I1859">
        <v>4.8408344699999999</v>
      </c>
      <c r="J1859">
        <v>5.5906735699999999</v>
      </c>
      <c r="K1859">
        <v>6.2874420300000002</v>
      </c>
      <c r="L1859">
        <v>5.95940549</v>
      </c>
      <c r="M1859">
        <v>6.1471276499999998</v>
      </c>
      <c r="N1859">
        <v>6.1532241000000001</v>
      </c>
      <c r="O1859">
        <v>5.9543915600000004</v>
      </c>
      <c r="P1859">
        <v>6.0556547099999998</v>
      </c>
      <c r="Q1859">
        <v>5.87396692</v>
      </c>
      <c r="R1859">
        <v>5.7218505500000001</v>
      </c>
      <c r="S1859">
        <v>5.6631005600000002</v>
      </c>
      <c r="T1859">
        <v>5.6790871300000001</v>
      </c>
      <c r="U1859">
        <v>5.7891365400000003</v>
      </c>
      <c r="V1859">
        <v>6.2843341500000003</v>
      </c>
      <c r="W1859">
        <v>7.7364222099999997</v>
      </c>
      <c r="X1859">
        <v>8.5364995500000003</v>
      </c>
      <c r="Y1859">
        <v>8.0288170700000006</v>
      </c>
      <c r="Z1859">
        <v>6.7537530400000003</v>
      </c>
      <c r="AA1859">
        <v>5.7215110500000002</v>
      </c>
      <c r="AB1859">
        <v>5.0499315500000002</v>
      </c>
    </row>
    <row r="1860" spans="1:28" hidden="1" x14ac:dyDescent="0.25">
      <c r="A1860" t="s">
        <v>313</v>
      </c>
      <c r="B1860" t="s">
        <v>325</v>
      </c>
      <c r="C1860">
        <v>34</v>
      </c>
      <c r="D1860" t="s">
        <v>3</v>
      </c>
      <c r="E1860">
        <v>2.0306448330000002</v>
      </c>
      <c r="F1860">
        <v>2.0539731707</v>
      </c>
      <c r="G1860">
        <v>1.9678413522</v>
      </c>
      <c r="H1860">
        <v>1.8891587808999999</v>
      </c>
      <c r="I1860">
        <v>1.8450263327</v>
      </c>
      <c r="J1860">
        <v>1.9357321485000001</v>
      </c>
      <c r="K1860">
        <v>2.0457583319000001</v>
      </c>
      <c r="L1860">
        <v>2.0634030315</v>
      </c>
      <c r="M1860">
        <v>2.1847087323999999</v>
      </c>
      <c r="N1860">
        <v>2.2863935941000002</v>
      </c>
      <c r="O1860">
        <v>2.2807250265999999</v>
      </c>
      <c r="P1860">
        <v>2.3727220568999998</v>
      </c>
      <c r="Q1860">
        <v>2.3758597643999999</v>
      </c>
      <c r="R1860">
        <v>2.3781101858999998</v>
      </c>
      <c r="S1860">
        <v>2.3600904668</v>
      </c>
      <c r="T1860">
        <v>2.3741970658999998</v>
      </c>
      <c r="U1860">
        <v>2.3621558500000002</v>
      </c>
      <c r="V1860">
        <v>2.4016603616999999</v>
      </c>
      <c r="W1860">
        <v>2.2573557698000002</v>
      </c>
      <c r="X1860">
        <v>2.062158937</v>
      </c>
      <c r="Y1860">
        <v>1.9871613002999999</v>
      </c>
      <c r="Z1860">
        <v>1.8954773054</v>
      </c>
      <c r="AA1860">
        <v>1.9294606049</v>
      </c>
      <c r="AB1860">
        <v>1.9544598872000001</v>
      </c>
    </row>
    <row r="1861" spans="1:28" hidden="1" x14ac:dyDescent="0.25">
      <c r="A1861" t="s">
        <v>313</v>
      </c>
      <c r="B1861" t="s">
        <v>325</v>
      </c>
      <c r="C1861">
        <v>34</v>
      </c>
      <c r="D1861" t="s">
        <v>4</v>
      </c>
      <c r="E1861">
        <v>0.15826380000000001</v>
      </c>
      <c r="F1861">
        <v>0.15964047000000001</v>
      </c>
      <c r="G1861">
        <v>0.15088721999999999</v>
      </c>
      <c r="H1861">
        <v>0.14608415999999999</v>
      </c>
      <c r="I1861">
        <v>0.14971652999999999</v>
      </c>
      <c r="J1861">
        <v>0.17290743</v>
      </c>
      <c r="K1861">
        <v>0.19445697000000001</v>
      </c>
      <c r="L1861">
        <v>0.18431151000000001</v>
      </c>
      <c r="M1861">
        <v>0.19011734999999999</v>
      </c>
      <c r="N1861">
        <v>0.1903059</v>
      </c>
      <c r="O1861">
        <v>0.18415644</v>
      </c>
      <c r="P1861">
        <v>0.18728829</v>
      </c>
      <c r="Q1861">
        <v>0.18166908000000001</v>
      </c>
      <c r="R1861">
        <v>0.17696445</v>
      </c>
      <c r="S1861">
        <v>0.17514743999999999</v>
      </c>
      <c r="T1861">
        <v>0.17564187000000001</v>
      </c>
      <c r="U1861">
        <v>0.17904545999999999</v>
      </c>
      <c r="V1861">
        <v>0.19436085</v>
      </c>
      <c r="W1861">
        <v>0.23927079000000001</v>
      </c>
      <c r="X1861">
        <v>0.26401544999999998</v>
      </c>
      <c r="Y1861">
        <v>0.24831392999999999</v>
      </c>
      <c r="Z1861">
        <v>0.20887896</v>
      </c>
      <c r="AA1861">
        <v>0.17695395</v>
      </c>
      <c r="AB1861">
        <v>0.15618345</v>
      </c>
    </row>
    <row r="1862" spans="1:28" hidden="1" x14ac:dyDescent="0.25">
      <c r="A1862" t="s">
        <v>313</v>
      </c>
      <c r="B1862" t="s">
        <v>326</v>
      </c>
      <c r="C1862">
        <v>115</v>
      </c>
      <c r="D1862" t="s">
        <v>2</v>
      </c>
      <c r="E1862">
        <v>1.12324278</v>
      </c>
      <c r="F1862">
        <v>1.1276595199999999</v>
      </c>
      <c r="G1862">
        <v>1.16821394</v>
      </c>
      <c r="H1862">
        <v>1.14289156</v>
      </c>
      <c r="I1862">
        <v>1.2079301250000001</v>
      </c>
      <c r="J1862">
        <v>1.47021888</v>
      </c>
      <c r="K1862">
        <v>1.7349120200000001</v>
      </c>
      <c r="L1862">
        <v>1.697851395</v>
      </c>
      <c r="M1862">
        <v>1.8790254</v>
      </c>
      <c r="N1862">
        <v>1.92200686</v>
      </c>
      <c r="O1862">
        <v>1.839267845</v>
      </c>
      <c r="P1862">
        <v>1.8897343200000001</v>
      </c>
      <c r="Q1862">
        <v>1.80549515</v>
      </c>
      <c r="R1862">
        <v>1.8004893799999999</v>
      </c>
      <c r="S1862">
        <v>1.7908669150000001</v>
      </c>
      <c r="T1862">
        <v>1.7970950699999999</v>
      </c>
      <c r="U1862">
        <v>1.8369235450000001</v>
      </c>
      <c r="V1862">
        <v>1.9038050449999999</v>
      </c>
      <c r="W1862">
        <v>2.1844502600000002</v>
      </c>
      <c r="X1862">
        <v>2.26817723</v>
      </c>
      <c r="Y1862">
        <v>2.1018058050000001</v>
      </c>
      <c r="Z1862">
        <v>1.725559445</v>
      </c>
      <c r="AA1862">
        <v>1.4524967600000001</v>
      </c>
      <c r="AB1862">
        <v>1.277110615</v>
      </c>
    </row>
    <row r="1863" spans="1:28" hidden="1" x14ac:dyDescent="0.25">
      <c r="A1863" t="s">
        <v>313</v>
      </c>
      <c r="B1863" t="s">
        <v>326</v>
      </c>
      <c r="C1863">
        <v>115</v>
      </c>
      <c r="D1863" t="s">
        <v>3</v>
      </c>
      <c r="E1863">
        <v>0.3295668115</v>
      </c>
      <c r="F1863">
        <v>0.2691903584</v>
      </c>
      <c r="G1863">
        <v>0.30458966209999999</v>
      </c>
      <c r="H1863">
        <v>0.29419418650000001</v>
      </c>
      <c r="I1863">
        <v>0.29418659580000001</v>
      </c>
      <c r="J1863">
        <v>0.25834524019999999</v>
      </c>
      <c r="K1863">
        <v>0.3256095108</v>
      </c>
      <c r="L1863">
        <v>0.36940239429999999</v>
      </c>
      <c r="M1863">
        <v>0.44027763440000001</v>
      </c>
      <c r="N1863">
        <v>0.50039420469999996</v>
      </c>
      <c r="O1863">
        <v>0.49961627289999999</v>
      </c>
      <c r="P1863">
        <v>0.5341259049</v>
      </c>
      <c r="Q1863">
        <v>0.51296302689999995</v>
      </c>
      <c r="R1863">
        <v>0.53028674350000005</v>
      </c>
      <c r="S1863">
        <v>0.52834764479999996</v>
      </c>
      <c r="T1863">
        <v>0.54032924959999995</v>
      </c>
      <c r="U1863">
        <v>0.53846922949999998</v>
      </c>
      <c r="V1863">
        <v>0.50945906569999999</v>
      </c>
      <c r="W1863">
        <v>0.41896307179999998</v>
      </c>
      <c r="X1863">
        <v>0.31049451430000002</v>
      </c>
      <c r="Y1863">
        <v>0.28198213950000001</v>
      </c>
      <c r="Z1863">
        <v>0.25902833079999998</v>
      </c>
      <c r="AA1863">
        <v>0.26088447739999998</v>
      </c>
      <c r="AB1863">
        <v>0.2729160417</v>
      </c>
    </row>
    <row r="1864" spans="1:28" hidden="1" x14ac:dyDescent="0.25">
      <c r="A1864" t="s">
        <v>313</v>
      </c>
      <c r="B1864" t="s">
        <v>326</v>
      </c>
      <c r="C1864">
        <v>115</v>
      </c>
      <c r="D1864" t="s">
        <v>4</v>
      </c>
      <c r="E1864">
        <v>1.7105220000000001E-2</v>
      </c>
      <c r="F1864">
        <v>1.717248E-2</v>
      </c>
      <c r="G1864">
        <v>1.779006E-2</v>
      </c>
      <c r="H1864">
        <v>1.740444E-2</v>
      </c>
      <c r="I1864">
        <v>1.8394875000000002E-2</v>
      </c>
      <c r="J1864">
        <v>2.2389119999999998E-2</v>
      </c>
      <c r="K1864">
        <v>2.6419979999999999E-2</v>
      </c>
      <c r="L1864">
        <v>2.5855605E-2</v>
      </c>
      <c r="M1864">
        <v>2.86146E-2</v>
      </c>
      <c r="N1864">
        <v>2.9269139999999999E-2</v>
      </c>
      <c r="O1864">
        <v>2.8009155000000001E-2</v>
      </c>
      <c r="P1864">
        <v>2.877768E-2</v>
      </c>
      <c r="Q1864">
        <v>2.7494850000000001E-2</v>
      </c>
      <c r="R1864">
        <v>2.7418620000000001E-2</v>
      </c>
      <c r="S1864">
        <v>2.7272085000000001E-2</v>
      </c>
      <c r="T1864">
        <v>2.7366930000000001E-2</v>
      </c>
      <c r="U1864">
        <v>2.7973455000000001E-2</v>
      </c>
      <c r="V1864">
        <v>2.8991955E-2</v>
      </c>
      <c r="W1864">
        <v>3.3265740000000002E-2</v>
      </c>
      <c r="X1864">
        <v>3.4540769999999998E-2</v>
      </c>
      <c r="Y1864">
        <v>3.2007195000000002E-2</v>
      </c>
      <c r="Z1864">
        <v>2.6277555000000001E-2</v>
      </c>
      <c r="AA1864">
        <v>2.2119239999999998E-2</v>
      </c>
      <c r="AB1864">
        <v>1.9448384999999999E-2</v>
      </c>
    </row>
    <row r="1865" spans="1:28" hidden="1" x14ac:dyDescent="0.25">
      <c r="A1865" t="s">
        <v>313</v>
      </c>
      <c r="B1865" t="s">
        <v>327</v>
      </c>
      <c r="C1865">
        <v>115</v>
      </c>
      <c r="D1865" t="s">
        <v>2</v>
      </c>
      <c r="E1865">
        <v>3.6318880600000001</v>
      </c>
      <c r="F1865">
        <v>3.7338060099999999</v>
      </c>
      <c r="G1865">
        <v>3.4758985349999998</v>
      </c>
      <c r="H1865">
        <v>3.389476605</v>
      </c>
      <c r="I1865">
        <v>3.4192383799999999</v>
      </c>
      <c r="J1865">
        <v>3.91055047</v>
      </c>
      <c r="K1865">
        <v>4.0489331200000001</v>
      </c>
      <c r="L1865">
        <v>4.0833805400000003</v>
      </c>
      <c r="M1865">
        <v>4.3043652899999998</v>
      </c>
      <c r="N1865">
        <v>4.4772613550000004</v>
      </c>
      <c r="O1865">
        <v>4.47030627</v>
      </c>
      <c r="P1865">
        <v>4.6068666699999996</v>
      </c>
      <c r="Q1865">
        <v>4.5742493800000004</v>
      </c>
      <c r="R1865">
        <v>4.6083648549999996</v>
      </c>
      <c r="S1865">
        <v>4.6239199749999997</v>
      </c>
      <c r="T1865">
        <v>4.6474063149999996</v>
      </c>
      <c r="U1865">
        <v>4.706959415</v>
      </c>
      <c r="V1865">
        <v>4.9218440599999997</v>
      </c>
      <c r="W1865">
        <v>5.1454045849999996</v>
      </c>
      <c r="X1865">
        <v>5.3970976950000003</v>
      </c>
      <c r="Y1865">
        <v>5.4494415800000002</v>
      </c>
      <c r="Z1865">
        <v>4.9771774200000003</v>
      </c>
      <c r="AA1865">
        <v>4.32872828</v>
      </c>
      <c r="AB1865">
        <v>3.9096551050000001</v>
      </c>
    </row>
    <row r="1866" spans="1:28" hidden="1" x14ac:dyDescent="0.25">
      <c r="A1866" t="s">
        <v>313</v>
      </c>
      <c r="B1866" t="s">
        <v>327</v>
      </c>
      <c r="C1866">
        <v>115</v>
      </c>
      <c r="D1866" t="s">
        <v>3</v>
      </c>
      <c r="E1866">
        <v>1.9125975979000001</v>
      </c>
      <c r="F1866">
        <v>1.9138159016</v>
      </c>
      <c r="G1866">
        <v>1.7469480576</v>
      </c>
      <c r="H1866">
        <v>1.7052148288</v>
      </c>
      <c r="I1866">
        <v>1.7113122908</v>
      </c>
      <c r="J1866">
        <v>1.8132298407</v>
      </c>
      <c r="K1866">
        <v>1.8002605725</v>
      </c>
      <c r="L1866">
        <v>1.8001351944999999</v>
      </c>
      <c r="M1866">
        <v>1.8091683634</v>
      </c>
      <c r="N1866">
        <v>1.8363926581000001</v>
      </c>
      <c r="O1866">
        <v>1.9020507987999999</v>
      </c>
      <c r="P1866">
        <v>1.8980500831</v>
      </c>
      <c r="Q1866">
        <v>1.8699713958999999</v>
      </c>
      <c r="R1866">
        <v>1.9386213447</v>
      </c>
      <c r="S1866">
        <v>2.0870125617999999</v>
      </c>
      <c r="T1866">
        <v>2.0490579509</v>
      </c>
      <c r="U1866">
        <v>2.0407456490999998</v>
      </c>
      <c r="V1866">
        <v>2.0338625209000001</v>
      </c>
      <c r="W1866">
        <v>1.9381924295999999</v>
      </c>
      <c r="X1866">
        <v>1.8618642619000001</v>
      </c>
      <c r="Y1866">
        <v>1.8407479093000001</v>
      </c>
      <c r="Z1866">
        <v>1.7647164800999999</v>
      </c>
      <c r="AA1866">
        <v>1.7601075165</v>
      </c>
      <c r="AB1866">
        <v>1.7493808519</v>
      </c>
    </row>
    <row r="1867" spans="1:28" hidden="1" x14ac:dyDescent="0.25">
      <c r="A1867" t="s">
        <v>313</v>
      </c>
      <c r="B1867" t="s">
        <v>327</v>
      </c>
      <c r="C1867">
        <v>115</v>
      </c>
      <c r="D1867" t="s">
        <v>4</v>
      </c>
      <c r="E1867">
        <v>5.530794E-2</v>
      </c>
      <c r="F1867">
        <v>5.6859989999999999E-2</v>
      </c>
      <c r="G1867">
        <v>5.2932464999999998E-2</v>
      </c>
      <c r="H1867">
        <v>5.1616395000000002E-2</v>
      </c>
      <c r="I1867">
        <v>5.2069619999999997E-2</v>
      </c>
      <c r="J1867">
        <v>5.9551529999999998E-2</v>
      </c>
      <c r="K1867">
        <v>6.1658879999999999E-2</v>
      </c>
      <c r="L1867">
        <v>6.2183460000000003E-2</v>
      </c>
      <c r="M1867">
        <v>6.5548709999999996E-2</v>
      </c>
      <c r="N1867">
        <v>6.8181644999999999E-2</v>
      </c>
      <c r="O1867">
        <v>6.8075730000000001E-2</v>
      </c>
      <c r="P1867">
        <v>7.0155330000000002E-2</v>
      </c>
      <c r="Q1867">
        <v>6.9658620000000004E-2</v>
      </c>
      <c r="R1867">
        <v>7.0178144999999997E-2</v>
      </c>
      <c r="S1867">
        <v>7.0415025000000006E-2</v>
      </c>
      <c r="T1867">
        <v>7.0772685000000002E-2</v>
      </c>
      <c r="U1867">
        <v>7.1679585000000004E-2</v>
      </c>
      <c r="V1867">
        <v>7.4951939999999995E-2</v>
      </c>
      <c r="W1867">
        <v>7.8356414999999999E-2</v>
      </c>
      <c r="X1867">
        <v>8.2189305000000004E-2</v>
      </c>
      <c r="Y1867">
        <v>8.2986420000000005E-2</v>
      </c>
      <c r="Z1867">
        <v>7.5794579900000006E-2</v>
      </c>
      <c r="AA1867">
        <v>6.5919720000000001E-2</v>
      </c>
      <c r="AB1867">
        <v>5.9537895E-2</v>
      </c>
    </row>
    <row r="1868" spans="1:28" hidden="1" x14ac:dyDescent="0.25">
      <c r="A1868" t="s">
        <v>313</v>
      </c>
      <c r="B1868" t="s">
        <v>328</v>
      </c>
      <c r="C1868">
        <v>110</v>
      </c>
      <c r="D1868" t="s">
        <v>2</v>
      </c>
      <c r="E1868">
        <v>10.08786765</v>
      </c>
      <c r="F1868">
        <v>10.02990434</v>
      </c>
      <c r="G1868">
        <v>9.3908796799999994</v>
      </c>
      <c r="H1868">
        <v>8.9100125299999995</v>
      </c>
      <c r="I1868">
        <v>8.7827909149999996</v>
      </c>
      <c r="J1868">
        <v>9.1987061800000003</v>
      </c>
      <c r="K1868">
        <v>8.4429186349999998</v>
      </c>
      <c r="L1868">
        <v>8.2687282799999995</v>
      </c>
      <c r="M1868">
        <v>8.4911383249999997</v>
      </c>
      <c r="N1868">
        <v>8.7739485699999999</v>
      </c>
      <c r="O1868">
        <v>8.7709472749999993</v>
      </c>
      <c r="P1868">
        <v>8.9123972150000004</v>
      </c>
      <c r="Q1868">
        <v>8.7854238200000001</v>
      </c>
      <c r="R1868">
        <v>9.1157455400000007</v>
      </c>
      <c r="S1868">
        <v>9.3274338599999993</v>
      </c>
      <c r="T1868">
        <v>9.6139683900000001</v>
      </c>
      <c r="U1868">
        <v>9.9128351200000004</v>
      </c>
      <c r="V1868">
        <v>10.204709335</v>
      </c>
      <c r="W1868">
        <v>10.71177059</v>
      </c>
      <c r="X1868">
        <v>10.9861187</v>
      </c>
      <c r="Y1868">
        <v>11.12488353</v>
      </c>
      <c r="Z1868">
        <v>10.744587835000001</v>
      </c>
      <c r="AA1868">
        <v>10.53419873</v>
      </c>
      <c r="AB1868">
        <v>10.049359075</v>
      </c>
    </row>
    <row r="1869" spans="1:28" hidden="1" x14ac:dyDescent="0.25">
      <c r="A1869" t="s">
        <v>313</v>
      </c>
      <c r="B1869" t="s">
        <v>328</v>
      </c>
      <c r="C1869">
        <v>110</v>
      </c>
      <c r="D1869" t="s">
        <v>3</v>
      </c>
      <c r="E1869">
        <v>3.1613582198999999</v>
      </c>
      <c r="F1869">
        <v>3.1165905024999998</v>
      </c>
      <c r="G1869">
        <v>2.9183735061</v>
      </c>
      <c r="H1869">
        <v>2.7830664155</v>
      </c>
      <c r="I1869">
        <v>2.7287505712</v>
      </c>
      <c r="J1869">
        <v>2.8320488842999998</v>
      </c>
      <c r="K1869">
        <v>2.726211937</v>
      </c>
      <c r="L1869">
        <v>2.7145706107000001</v>
      </c>
      <c r="M1869">
        <v>2.8590181862000001</v>
      </c>
      <c r="N1869">
        <v>2.985050057</v>
      </c>
      <c r="O1869">
        <v>2.9991942662</v>
      </c>
      <c r="P1869">
        <v>3.1053377026</v>
      </c>
      <c r="Q1869">
        <v>3.0861791584999998</v>
      </c>
      <c r="R1869">
        <v>3.2056134686000002</v>
      </c>
      <c r="S1869">
        <v>3.2835291534</v>
      </c>
      <c r="T1869">
        <v>3.3778853604000001</v>
      </c>
      <c r="U1869">
        <v>3.4670786394999999</v>
      </c>
      <c r="V1869">
        <v>3.5406400261000002</v>
      </c>
      <c r="W1869">
        <v>3.4279272042</v>
      </c>
      <c r="X1869">
        <v>3.2533837783999999</v>
      </c>
      <c r="Y1869">
        <v>3.2083874307000002</v>
      </c>
      <c r="Z1869">
        <v>3.0785006570000002</v>
      </c>
      <c r="AA1869">
        <v>3.1195540666000001</v>
      </c>
      <c r="AB1869">
        <v>3.0661820990000002</v>
      </c>
    </row>
    <row r="1870" spans="1:28" hidden="1" x14ac:dyDescent="0.25">
      <c r="A1870" t="s">
        <v>313</v>
      </c>
      <c r="B1870" t="s">
        <v>328</v>
      </c>
      <c r="C1870">
        <v>110</v>
      </c>
      <c r="D1870" t="s">
        <v>4</v>
      </c>
      <c r="E1870">
        <v>0.15362234999999999</v>
      </c>
      <c r="F1870">
        <v>0.15273966</v>
      </c>
      <c r="G1870">
        <v>0.14300831999999999</v>
      </c>
      <c r="H1870">
        <v>0.13568547</v>
      </c>
      <c r="I1870">
        <v>0.13374808499999999</v>
      </c>
      <c r="J1870">
        <v>0.14008182</v>
      </c>
      <c r="K1870">
        <v>0.12857236499999999</v>
      </c>
      <c r="L1870">
        <v>0.12591972000000001</v>
      </c>
      <c r="M1870">
        <v>0.12930667500000001</v>
      </c>
      <c r="N1870">
        <v>0.13361343000000001</v>
      </c>
      <c r="O1870">
        <v>0.133567725</v>
      </c>
      <c r="P1870">
        <v>0.13572178500000001</v>
      </c>
      <c r="Q1870">
        <v>0.13378818000000001</v>
      </c>
      <c r="R1870">
        <v>0.13881846</v>
      </c>
      <c r="S1870">
        <v>0.14204214000000001</v>
      </c>
      <c r="T1870">
        <v>0.14640560999999999</v>
      </c>
      <c r="U1870">
        <v>0.15095687999999999</v>
      </c>
      <c r="V1870">
        <v>0.15540166499999999</v>
      </c>
      <c r="W1870">
        <v>0.16312341</v>
      </c>
      <c r="X1870">
        <v>0.16730129999999999</v>
      </c>
      <c r="Y1870">
        <v>0.16941447000000001</v>
      </c>
      <c r="Z1870">
        <v>0.16362316499999999</v>
      </c>
      <c r="AA1870">
        <v>0.16041927</v>
      </c>
      <c r="AB1870">
        <v>0.15303592499999999</v>
      </c>
    </row>
    <row r="1871" spans="1:28" hidden="1" x14ac:dyDescent="0.25">
      <c r="A1871" t="s">
        <v>313</v>
      </c>
      <c r="B1871" t="s">
        <v>329</v>
      </c>
      <c r="C1871">
        <v>115</v>
      </c>
      <c r="D1871" t="s">
        <v>2</v>
      </c>
      <c r="E1871">
        <v>10.906320895</v>
      </c>
      <c r="F1871">
        <v>10.827619394999999</v>
      </c>
      <c r="G1871">
        <v>10.37842098</v>
      </c>
      <c r="H1871">
        <v>10.059092845</v>
      </c>
      <c r="I1871">
        <v>10.531166900000001</v>
      </c>
      <c r="J1871">
        <v>12.662402535</v>
      </c>
      <c r="K1871">
        <v>13.423251994999999</v>
      </c>
      <c r="L1871">
        <v>13.938509435</v>
      </c>
      <c r="M1871">
        <v>15.358033320000001</v>
      </c>
      <c r="N1871">
        <v>16.046406480000002</v>
      </c>
      <c r="O1871">
        <v>16.341943910000001</v>
      </c>
      <c r="P1871">
        <v>17.17870929</v>
      </c>
      <c r="Q1871">
        <v>16.491503354999999</v>
      </c>
      <c r="R1871">
        <v>16.364499425000002</v>
      </c>
      <c r="S1871">
        <v>16.677451654999999</v>
      </c>
      <c r="T1871">
        <v>16.547023865</v>
      </c>
      <c r="U1871">
        <v>16.56506808</v>
      </c>
      <c r="V1871">
        <v>17.017372200000001</v>
      </c>
      <c r="W1871">
        <v>19.3386429</v>
      </c>
      <c r="X1871">
        <v>20.087905804999998</v>
      </c>
      <c r="Y1871">
        <v>19.201582120000001</v>
      </c>
      <c r="Z1871">
        <v>16.46536244</v>
      </c>
      <c r="AA1871">
        <v>13.810705685</v>
      </c>
      <c r="AB1871">
        <v>11.765952065</v>
      </c>
    </row>
    <row r="1872" spans="1:28" hidden="1" x14ac:dyDescent="0.25">
      <c r="A1872" t="s">
        <v>313</v>
      </c>
      <c r="B1872" t="s">
        <v>329</v>
      </c>
      <c r="C1872">
        <v>115</v>
      </c>
      <c r="D1872" t="s">
        <v>3</v>
      </c>
      <c r="E1872">
        <v>6.2427704174</v>
      </c>
      <c r="F1872">
        <v>6.4014846365000002</v>
      </c>
      <c r="G1872">
        <v>6.2523616492</v>
      </c>
      <c r="H1872">
        <v>6.0474964904000004</v>
      </c>
      <c r="I1872">
        <v>6.0575658902000002</v>
      </c>
      <c r="J1872">
        <v>6.5235651614999997</v>
      </c>
      <c r="K1872">
        <v>6.7912496650999996</v>
      </c>
      <c r="L1872">
        <v>7.0550367660999997</v>
      </c>
      <c r="M1872">
        <v>7.6844758125999997</v>
      </c>
      <c r="N1872">
        <v>8.0754852612000008</v>
      </c>
      <c r="O1872">
        <v>8.0939595850000003</v>
      </c>
      <c r="P1872">
        <v>8.5247806309000005</v>
      </c>
      <c r="Q1872">
        <v>8.2769434414000003</v>
      </c>
      <c r="R1872">
        <v>8.2592783914000005</v>
      </c>
      <c r="S1872">
        <v>8.4562042051000006</v>
      </c>
      <c r="T1872">
        <v>8.4937793349999993</v>
      </c>
      <c r="U1872">
        <v>8.4612959688</v>
      </c>
      <c r="V1872">
        <v>8.4103386046999997</v>
      </c>
      <c r="W1872">
        <v>8.1370339326999996</v>
      </c>
      <c r="X1872">
        <v>7.5041638808000002</v>
      </c>
      <c r="Y1872">
        <v>7.1855619123999999</v>
      </c>
      <c r="Z1872">
        <v>6.5854604975999997</v>
      </c>
      <c r="AA1872">
        <v>6.3781443418999997</v>
      </c>
      <c r="AB1872">
        <v>6.3361881457999996</v>
      </c>
    </row>
    <row r="1873" spans="1:28" hidden="1" x14ac:dyDescent="0.25">
      <c r="A1873" t="s">
        <v>313</v>
      </c>
      <c r="B1873" t="s">
        <v>329</v>
      </c>
      <c r="C1873">
        <v>115</v>
      </c>
      <c r="D1873" t="s">
        <v>4</v>
      </c>
      <c r="E1873">
        <v>0.16608610500000001</v>
      </c>
      <c r="F1873">
        <v>0.16488760499999999</v>
      </c>
      <c r="G1873">
        <v>0.15804702000000001</v>
      </c>
      <c r="H1873">
        <v>0.15318415499999999</v>
      </c>
      <c r="I1873">
        <v>0.16037309999999999</v>
      </c>
      <c r="J1873">
        <v>0.192828465</v>
      </c>
      <c r="K1873">
        <v>0.20441500500000001</v>
      </c>
      <c r="L1873">
        <v>0.21226156500000001</v>
      </c>
      <c r="M1873">
        <v>0.23387868000000001</v>
      </c>
      <c r="N1873">
        <v>0.24436152</v>
      </c>
      <c r="O1873">
        <v>0.24886209000000001</v>
      </c>
      <c r="P1873">
        <v>0.26160471000000002</v>
      </c>
      <c r="Q1873">
        <v>0.25113964500000002</v>
      </c>
      <c r="R1873">
        <v>0.24920557500000001</v>
      </c>
      <c r="S1873">
        <v>0.25397134500000002</v>
      </c>
      <c r="T1873">
        <v>0.25198513500000003</v>
      </c>
      <c r="U1873">
        <v>0.25225992000000003</v>
      </c>
      <c r="V1873">
        <v>0.25914779999999998</v>
      </c>
      <c r="W1873">
        <v>0.29449710000000001</v>
      </c>
      <c r="X1873">
        <v>0.30590719500000002</v>
      </c>
      <c r="Y1873">
        <v>0.29240988000000001</v>
      </c>
      <c r="Z1873">
        <v>0.25074155999999997</v>
      </c>
      <c r="AA1873">
        <v>0.210315315</v>
      </c>
      <c r="AB1873">
        <v>0.17917693500000001</v>
      </c>
    </row>
    <row r="1874" spans="1:28" hidden="1" x14ac:dyDescent="0.25">
      <c r="A1874" t="s">
        <v>313</v>
      </c>
      <c r="B1874" t="s">
        <v>330</v>
      </c>
      <c r="C1874">
        <v>34</v>
      </c>
      <c r="D1874" t="s">
        <v>2</v>
      </c>
      <c r="E1874">
        <v>5.4194423799999996</v>
      </c>
      <c r="F1874">
        <v>5.5113062299999998</v>
      </c>
      <c r="G1874">
        <v>5.4185169999999996</v>
      </c>
      <c r="H1874">
        <v>5.3287939399999997</v>
      </c>
      <c r="I1874">
        <v>5.4090973299999998</v>
      </c>
      <c r="J1874">
        <v>5.9053202300000001</v>
      </c>
      <c r="K1874">
        <v>6.0902167800000004</v>
      </c>
      <c r="L1874">
        <v>6.4614716699999999</v>
      </c>
      <c r="M1874">
        <v>7.1338533599999998</v>
      </c>
      <c r="N1874">
        <v>7.3858176499999999</v>
      </c>
      <c r="O1874">
        <v>7.3176790299999999</v>
      </c>
      <c r="P1874">
        <v>7.4035909599999998</v>
      </c>
      <c r="Q1874">
        <v>6.8566098999999996</v>
      </c>
      <c r="R1874">
        <v>6.70419477</v>
      </c>
      <c r="S1874">
        <v>6.60368434</v>
      </c>
      <c r="T1874">
        <v>6.4213088200000001</v>
      </c>
      <c r="U1874">
        <v>6.4938580300000002</v>
      </c>
      <c r="V1874">
        <v>6.5094139200000001</v>
      </c>
      <c r="W1874">
        <v>6.9577382200000004</v>
      </c>
      <c r="X1874">
        <v>7.2049087700000003</v>
      </c>
      <c r="Y1874">
        <v>7.1163254599999997</v>
      </c>
      <c r="Z1874">
        <v>6.4858477700000003</v>
      </c>
      <c r="AA1874">
        <v>5.8843759899999997</v>
      </c>
      <c r="AB1874">
        <v>5.6819767600000004</v>
      </c>
    </row>
    <row r="1875" spans="1:28" hidden="1" x14ac:dyDescent="0.25">
      <c r="A1875" t="s">
        <v>313</v>
      </c>
      <c r="B1875" t="s">
        <v>330</v>
      </c>
      <c r="C1875">
        <v>34</v>
      </c>
      <c r="D1875" t="s">
        <v>3</v>
      </c>
      <c r="E1875">
        <v>2.3667728036</v>
      </c>
      <c r="F1875">
        <v>2.3772811844000001</v>
      </c>
      <c r="G1875">
        <v>2.3084419196999999</v>
      </c>
      <c r="H1875">
        <v>2.2739103276999999</v>
      </c>
      <c r="I1875">
        <v>2.2739911743999999</v>
      </c>
      <c r="J1875">
        <v>2.4000703920999999</v>
      </c>
      <c r="K1875">
        <v>2.4597345572</v>
      </c>
      <c r="L1875">
        <v>2.6987213716</v>
      </c>
      <c r="M1875">
        <v>3.0952909675</v>
      </c>
      <c r="N1875">
        <v>3.3030582079999999</v>
      </c>
      <c r="O1875">
        <v>3.3069113235000001</v>
      </c>
      <c r="P1875">
        <v>3.4181002267</v>
      </c>
      <c r="Q1875">
        <v>3.2185454957999999</v>
      </c>
      <c r="R1875">
        <v>3.1809967112000002</v>
      </c>
      <c r="S1875">
        <v>3.1775201274999998</v>
      </c>
      <c r="T1875">
        <v>3.0524600996000002</v>
      </c>
      <c r="U1875">
        <v>3.0082344155</v>
      </c>
      <c r="V1875">
        <v>2.8295986763999998</v>
      </c>
      <c r="W1875">
        <v>2.6639239692999999</v>
      </c>
      <c r="X1875">
        <v>2.4931699881</v>
      </c>
      <c r="Y1875">
        <v>2.4838973102000002</v>
      </c>
      <c r="Z1875">
        <v>2.3654332996999998</v>
      </c>
      <c r="AA1875">
        <v>2.3308335676</v>
      </c>
      <c r="AB1875">
        <v>2.4011142158999998</v>
      </c>
    </row>
    <row r="1876" spans="1:28" hidden="1" x14ac:dyDescent="0.25">
      <c r="A1876" t="s">
        <v>313</v>
      </c>
      <c r="B1876" t="s">
        <v>330</v>
      </c>
      <c r="C1876">
        <v>34</v>
      </c>
      <c r="D1876" t="s">
        <v>4</v>
      </c>
      <c r="E1876">
        <v>0.16761161999999999</v>
      </c>
      <c r="F1876">
        <v>0.17045277</v>
      </c>
      <c r="G1876">
        <v>0.16758300000000001</v>
      </c>
      <c r="H1876">
        <v>0.16480806000000001</v>
      </c>
      <c r="I1876">
        <v>0.16729167</v>
      </c>
      <c r="J1876">
        <v>0.18263877000000001</v>
      </c>
      <c r="K1876">
        <v>0.18835721999999999</v>
      </c>
      <c r="L1876">
        <v>0.19983933000000001</v>
      </c>
      <c r="M1876">
        <v>0.22063463999999999</v>
      </c>
      <c r="N1876">
        <v>0.22842735</v>
      </c>
      <c r="O1876">
        <v>0.22631997000000001</v>
      </c>
      <c r="P1876">
        <v>0.22897703999999999</v>
      </c>
      <c r="Q1876">
        <v>0.2120601</v>
      </c>
      <c r="R1876">
        <v>0.20734622999999999</v>
      </c>
      <c r="S1876">
        <v>0.20423765999999999</v>
      </c>
      <c r="T1876">
        <v>0.19859718000000001</v>
      </c>
      <c r="U1876">
        <v>0.20084097000000001</v>
      </c>
      <c r="V1876">
        <v>0.20132207999999999</v>
      </c>
      <c r="W1876">
        <v>0.21518778</v>
      </c>
      <c r="X1876">
        <v>0.22283222999999999</v>
      </c>
      <c r="Y1876">
        <v>0.22009254</v>
      </c>
      <c r="Z1876">
        <v>0.20059323000000001</v>
      </c>
      <c r="AA1876">
        <v>0.18199101000000001</v>
      </c>
      <c r="AB1876">
        <v>0.17573124000000001</v>
      </c>
    </row>
    <row r="1877" spans="1:28" hidden="1" x14ac:dyDescent="0.25">
      <c r="A1877" t="s">
        <v>313</v>
      </c>
      <c r="B1877" t="s">
        <v>331</v>
      </c>
      <c r="C1877">
        <v>115</v>
      </c>
      <c r="D1877" t="s">
        <v>2</v>
      </c>
      <c r="E1877">
        <v>0.61170864000000003</v>
      </c>
      <c r="F1877">
        <v>0.59306554499999997</v>
      </c>
      <c r="G1877">
        <v>0.60155821499999995</v>
      </c>
      <c r="H1877">
        <v>0.5838232901</v>
      </c>
      <c r="I1877">
        <v>0.531834005</v>
      </c>
      <c r="J1877">
        <v>0.55104249000000005</v>
      </c>
      <c r="K1877">
        <v>0.62012842000000001</v>
      </c>
      <c r="L1877">
        <v>0.68530586999999998</v>
      </c>
      <c r="M1877">
        <v>0.72270237999999998</v>
      </c>
      <c r="N1877">
        <v>0.71487754000000003</v>
      </c>
      <c r="O1877">
        <v>0.90242153999999997</v>
      </c>
      <c r="P1877">
        <v>1.2257734</v>
      </c>
      <c r="Q1877">
        <v>1.43994983</v>
      </c>
      <c r="R1877">
        <v>1.27093368</v>
      </c>
      <c r="S1877">
        <v>1.1416780399999999</v>
      </c>
      <c r="T1877">
        <v>1.2029736049999999</v>
      </c>
      <c r="U1877">
        <v>1.4765938000000001</v>
      </c>
      <c r="V1877">
        <v>1.340195925</v>
      </c>
      <c r="W1877">
        <v>0.95000787499999995</v>
      </c>
      <c r="X1877">
        <v>1.340550525</v>
      </c>
      <c r="Y1877">
        <v>0.80795216000000003</v>
      </c>
      <c r="Z1877">
        <v>0.52855001499999998</v>
      </c>
      <c r="AA1877">
        <v>0.57764340000000003</v>
      </c>
      <c r="AB1877">
        <v>0.58090079500000003</v>
      </c>
    </row>
    <row r="1878" spans="1:28" hidden="1" x14ac:dyDescent="0.25">
      <c r="A1878" t="s">
        <v>313</v>
      </c>
      <c r="B1878" t="s">
        <v>331</v>
      </c>
      <c r="C1878">
        <v>115</v>
      </c>
      <c r="D1878" t="s">
        <v>3</v>
      </c>
      <c r="E1878">
        <v>0.94147927360000006</v>
      </c>
      <c r="F1878">
        <v>0.92186577989999996</v>
      </c>
      <c r="G1878">
        <v>0.92368455260000004</v>
      </c>
      <c r="H1878">
        <v>0.89863136799999999</v>
      </c>
      <c r="I1878">
        <v>0.82143450750000002</v>
      </c>
      <c r="J1878">
        <v>0.84105664410000003</v>
      </c>
      <c r="K1878">
        <v>1.0065097971000001</v>
      </c>
      <c r="L1878">
        <v>1.1224735617999999</v>
      </c>
      <c r="M1878">
        <v>1.1081950628999999</v>
      </c>
      <c r="N1878">
        <v>1.0675256017999999</v>
      </c>
      <c r="O1878">
        <v>1.1043787676000001</v>
      </c>
      <c r="P1878">
        <v>1.2998223885</v>
      </c>
      <c r="Q1878">
        <v>1.3990067657</v>
      </c>
      <c r="R1878">
        <v>1.3176593050000001</v>
      </c>
      <c r="S1878">
        <v>1.2810125133000001</v>
      </c>
      <c r="T1878">
        <v>1.3074963138</v>
      </c>
      <c r="U1878">
        <v>1.4050466775999999</v>
      </c>
      <c r="V1878">
        <v>1.3976719762000001</v>
      </c>
      <c r="W1878">
        <v>1.2915082888</v>
      </c>
      <c r="X1878">
        <v>1.2675650492999999</v>
      </c>
      <c r="Y1878">
        <v>0.97725040600000002</v>
      </c>
      <c r="Z1878">
        <v>0.80468837029999996</v>
      </c>
      <c r="AA1878">
        <v>0.87894897299999997</v>
      </c>
      <c r="AB1878">
        <v>0.92464879040000003</v>
      </c>
    </row>
    <row r="1879" spans="1:28" hidden="1" x14ac:dyDescent="0.25">
      <c r="A1879" t="s">
        <v>313</v>
      </c>
      <c r="B1879" t="s">
        <v>331</v>
      </c>
      <c r="C1879">
        <v>115</v>
      </c>
      <c r="D1879" t="s">
        <v>4</v>
      </c>
      <c r="E1879">
        <v>9.31536E-3</v>
      </c>
      <c r="F1879">
        <v>9.0314550000000007E-3</v>
      </c>
      <c r="G1879">
        <v>9.1607849999999994E-3</v>
      </c>
      <c r="H1879">
        <v>8.8907098000000004E-3</v>
      </c>
      <c r="I1879">
        <v>8.0989949999999995E-3</v>
      </c>
      <c r="J1879">
        <v>8.3915099999999996E-3</v>
      </c>
      <c r="K1879">
        <v>9.44358E-3</v>
      </c>
      <c r="L1879">
        <v>1.043613E-2</v>
      </c>
      <c r="M1879">
        <v>1.1005620000000001E-2</v>
      </c>
      <c r="N1879">
        <v>1.0886460000000001E-2</v>
      </c>
      <c r="O1879">
        <v>1.374246E-2</v>
      </c>
      <c r="P1879">
        <v>1.8666599999999998E-2</v>
      </c>
      <c r="Q1879">
        <v>2.192817E-2</v>
      </c>
      <c r="R1879">
        <v>1.9354320000000001E-2</v>
      </c>
      <c r="S1879">
        <v>1.7385959999999999E-2</v>
      </c>
      <c r="T1879">
        <v>1.8319394999999999E-2</v>
      </c>
      <c r="U1879">
        <v>2.2486200000000001E-2</v>
      </c>
      <c r="V1879">
        <v>2.0409074999999999E-2</v>
      </c>
      <c r="W1879">
        <v>1.4467125000000001E-2</v>
      </c>
      <c r="X1879">
        <v>2.0414475000000001E-2</v>
      </c>
      <c r="Y1879">
        <v>1.230384E-2</v>
      </c>
      <c r="Z1879">
        <v>8.0489849999999998E-3</v>
      </c>
      <c r="AA1879">
        <v>8.7965999999999999E-3</v>
      </c>
      <c r="AB1879">
        <v>8.8462049999999993E-3</v>
      </c>
    </row>
    <row r="1880" spans="1:28" hidden="1" x14ac:dyDescent="0.25">
      <c r="A1880" t="s">
        <v>313</v>
      </c>
      <c r="B1880" t="s">
        <v>332</v>
      </c>
      <c r="C1880">
        <v>115</v>
      </c>
      <c r="D1880" t="s">
        <v>2</v>
      </c>
      <c r="E1880">
        <v>2.7963834799999998</v>
      </c>
      <c r="F1880">
        <v>2.846296385</v>
      </c>
      <c r="G1880">
        <v>2.71625176</v>
      </c>
      <c r="H1880">
        <v>2.617922165</v>
      </c>
      <c r="I1880">
        <v>2.6139516299999999</v>
      </c>
      <c r="J1880">
        <v>2.7829963449999999</v>
      </c>
      <c r="K1880">
        <v>2.78937225</v>
      </c>
      <c r="L1880">
        <v>2.8147350150000001</v>
      </c>
      <c r="M1880">
        <v>2.95695424</v>
      </c>
      <c r="N1880">
        <v>3.025243305</v>
      </c>
      <c r="O1880">
        <v>3.0269237150000001</v>
      </c>
      <c r="P1880">
        <v>3.0593272599999999</v>
      </c>
      <c r="Q1880">
        <v>3.037973445</v>
      </c>
      <c r="R1880">
        <v>3.0344766949999999</v>
      </c>
      <c r="S1880">
        <v>3.056911055</v>
      </c>
      <c r="T1880">
        <v>3.0737200800000002</v>
      </c>
      <c r="U1880">
        <v>3.16988957</v>
      </c>
      <c r="V1880">
        <v>3.2362096199999999</v>
      </c>
      <c r="W1880">
        <v>3.3563165800000001</v>
      </c>
      <c r="X1880">
        <v>3.2743172999999999</v>
      </c>
      <c r="Y1880">
        <v>3.2544094650000002</v>
      </c>
      <c r="Z1880">
        <v>2.9717972050000001</v>
      </c>
      <c r="AA1880">
        <v>2.8067230250000001</v>
      </c>
      <c r="AB1880">
        <v>2.6673553750000001</v>
      </c>
    </row>
    <row r="1881" spans="1:28" hidden="1" x14ac:dyDescent="0.25">
      <c r="A1881" t="s">
        <v>313</v>
      </c>
      <c r="B1881" t="s">
        <v>332</v>
      </c>
      <c r="C1881">
        <v>115</v>
      </c>
      <c r="D1881" t="s">
        <v>3</v>
      </c>
      <c r="E1881">
        <v>1.1059050306</v>
      </c>
      <c r="F1881">
        <v>1.1211641292000001</v>
      </c>
      <c r="G1881">
        <v>1.0883381744</v>
      </c>
      <c r="H1881">
        <v>1.0354923490000001</v>
      </c>
      <c r="I1881">
        <v>1.0112534806</v>
      </c>
      <c r="J1881">
        <v>1.0423500283</v>
      </c>
      <c r="K1881">
        <v>1.0401067705</v>
      </c>
      <c r="L1881">
        <v>1.0554266517999999</v>
      </c>
      <c r="M1881">
        <v>1.0958338351000001</v>
      </c>
      <c r="N1881">
        <v>1.1211414528999999</v>
      </c>
      <c r="O1881">
        <v>1.1163069329999999</v>
      </c>
      <c r="P1881">
        <v>1.1157576977000001</v>
      </c>
      <c r="Q1881">
        <v>1.1075679250999999</v>
      </c>
      <c r="R1881">
        <v>1.0922842167</v>
      </c>
      <c r="S1881">
        <v>1.0934123919000001</v>
      </c>
      <c r="T1881">
        <v>1.0870253918999999</v>
      </c>
      <c r="U1881">
        <v>1.129677832</v>
      </c>
      <c r="V1881">
        <v>1.1473269629</v>
      </c>
      <c r="W1881">
        <v>1.1173953461999999</v>
      </c>
      <c r="X1881">
        <v>1.0317530864</v>
      </c>
      <c r="Y1881">
        <v>1.0398109733000001</v>
      </c>
      <c r="Z1881">
        <v>0.99979255339999995</v>
      </c>
      <c r="AA1881">
        <v>1.0274319596000001</v>
      </c>
      <c r="AB1881">
        <v>1.0419978013</v>
      </c>
    </row>
    <row r="1882" spans="1:28" hidden="1" x14ac:dyDescent="0.25">
      <c r="A1882" t="s">
        <v>313</v>
      </c>
      <c r="B1882" t="s">
        <v>332</v>
      </c>
      <c r="C1882">
        <v>115</v>
      </c>
      <c r="D1882" t="s">
        <v>4</v>
      </c>
      <c r="E1882">
        <v>4.2584520000000001E-2</v>
      </c>
      <c r="F1882">
        <v>4.3344615000000003E-2</v>
      </c>
      <c r="G1882">
        <v>4.1364239999999997E-2</v>
      </c>
      <c r="H1882">
        <v>3.9866835000000003E-2</v>
      </c>
      <c r="I1882">
        <v>3.9806370000000001E-2</v>
      </c>
      <c r="J1882">
        <v>4.2380655000000003E-2</v>
      </c>
      <c r="K1882">
        <v>4.2477750000000002E-2</v>
      </c>
      <c r="L1882">
        <v>4.2863985E-2</v>
      </c>
      <c r="M1882">
        <v>4.5029760000000002E-2</v>
      </c>
      <c r="N1882">
        <v>4.6069695000000001E-2</v>
      </c>
      <c r="O1882">
        <v>4.6095285E-2</v>
      </c>
      <c r="P1882">
        <v>4.6588739999999997E-2</v>
      </c>
      <c r="Q1882">
        <v>4.6263554999999998E-2</v>
      </c>
      <c r="R1882">
        <v>4.6210305E-2</v>
      </c>
      <c r="S1882">
        <v>4.6551944999999997E-2</v>
      </c>
      <c r="T1882">
        <v>4.6807920000000003E-2</v>
      </c>
      <c r="U1882">
        <v>4.8272429999999998E-2</v>
      </c>
      <c r="V1882">
        <v>4.9282380000000001E-2</v>
      </c>
      <c r="W1882">
        <v>5.1111419999999998E-2</v>
      </c>
      <c r="X1882">
        <v>4.9862700000000003E-2</v>
      </c>
      <c r="Y1882">
        <v>4.9559535000000002E-2</v>
      </c>
      <c r="Z1882">
        <v>4.5255795000000001E-2</v>
      </c>
      <c r="AA1882">
        <v>4.2741975000000001E-2</v>
      </c>
      <c r="AB1882">
        <v>4.0619624999999999E-2</v>
      </c>
    </row>
    <row r="1883" spans="1:28" hidden="1" x14ac:dyDescent="0.25">
      <c r="A1883" t="s">
        <v>313</v>
      </c>
      <c r="B1883" t="s">
        <v>333</v>
      </c>
      <c r="C1883">
        <v>115</v>
      </c>
      <c r="D1883" t="s">
        <v>2</v>
      </c>
      <c r="E1883">
        <v>0.65433648499999997</v>
      </c>
      <c r="F1883">
        <v>0.68077191500000001</v>
      </c>
      <c r="G1883">
        <v>0.67136417999999998</v>
      </c>
      <c r="H1883">
        <v>0.65809032000000001</v>
      </c>
      <c r="I1883">
        <v>0.65456402000000002</v>
      </c>
      <c r="J1883">
        <v>0.69459146500000002</v>
      </c>
      <c r="K1883">
        <v>0.68527828999999996</v>
      </c>
      <c r="L1883">
        <v>0.67582130500000004</v>
      </c>
      <c r="M1883">
        <v>0.68840467999999999</v>
      </c>
      <c r="N1883">
        <v>0.69508888999999996</v>
      </c>
      <c r="O1883">
        <v>0.68357818000000004</v>
      </c>
      <c r="P1883">
        <v>0.67417537000000005</v>
      </c>
      <c r="Q1883">
        <v>0.65946242499999996</v>
      </c>
      <c r="R1883">
        <v>0.65270828000000003</v>
      </c>
      <c r="S1883">
        <v>0.65167698500000004</v>
      </c>
      <c r="T1883">
        <v>0.64813295500000001</v>
      </c>
      <c r="U1883">
        <v>0.65262455500000005</v>
      </c>
      <c r="V1883">
        <v>0.67788980499999996</v>
      </c>
      <c r="W1883">
        <v>0.69970657000000003</v>
      </c>
      <c r="X1883">
        <v>0.668821895</v>
      </c>
      <c r="Y1883">
        <v>0.67517711499999999</v>
      </c>
      <c r="Z1883">
        <v>0.66068678000000003</v>
      </c>
      <c r="AA1883">
        <v>0.65673988500000002</v>
      </c>
      <c r="AB1883">
        <v>0.65052158000000004</v>
      </c>
    </row>
    <row r="1884" spans="1:28" hidden="1" x14ac:dyDescent="0.25">
      <c r="A1884" t="s">
        <v>313</v>
      </c>
      <c r="B1884" t="s">
        <v>333</v>
      </c>
      <c r="C1884">
        <v>115</v>
      </c>
      <c r="D1884" t="s">
        <v>3</v>
      </c>
      <c r="E1884">
        <v>0.47196286110000002</v>
      </c>
      <c r="F1884">
        <v>0.4879345282</v>
      </c>
      <c r="G1884">
        <v>0.48190689730000003</v>
      </c>
      <c r="H1884">
        <v>0.4787412949</v>
      </c>
      <c r="I1884">
        <v>0.4761760156</v>
      </c>
      <c r="J1884">
        <v>0.51150765440000001</v>
      </c>
      <c r="K1884">
        <v>0.50464929160000005</v>
      </c>
      <c r="L1884">
        <v>0.49768502479999999</v>
      </c>
      <c r="M1884">
        <v>0.51555060829999999</v>
      </c>
      <c r="N1884">
        <v>0.51766119669999999</v>
      </c>
      <c r="O1884">
        <v>0.5035928851</v>
      </c>
      <c r="P1884">
        <v>0.49216027490000003</v>
      </c>
      <c r="Q1884">
        <v>0.47487179709999999</v>
      </c>
      <c r="R1884">
        <v>0.46917710829999998</v>
      </c>
      <c r="S1884">
        <v>0.4760240717</v>
      </c>
      <c r="T1884">
        <v>0.4804310289</v>
      </c>
      <c r="U1884">
        <v>0.48914550880000002</v>
      </c>
      <c r="V1884">
        <v>0.51069506050000002</v>
      </c>
      <c r="W1884">
        <v>0.56947701220000002</v>
      </c>
      <c r="X1884">
        <v>0.56945816599999999</v>
      </c>
      <c r="Y1884">
        <v>0.57169168309999996</v>
      </c>
      <c r="Z1884">
        <v>0.55006748130000005</v>
      </c>
      <c r="AA1884">
        <v>0.53355620290000005</v>
      </c>
      <c r="AB1884">
        <v>0.50134213709999997</v>
      </c>
    </row>
    <row r="1885" spans="1:28" hidden="1" x14ac:dyDescent="0.25">
      <c r="A1885" t="s">
        <v>313</v>
      </c>
      <c r="B1885" t="s">
        <v>333</v>
      </c>
      <c r="C1885">
        <v>115</v>
      </c>
      <c r="D1885" t="s">
        <v>4</v>
      </c>
      <c r="E1885">
        <v>9.9645150000000002E-3</v>
      </c>
      <c r="F1885">
        <v>1.0367085E-2</v>
      </c>
      <c r="G1885">
        <v>1.022382E-2</v>
      </c>
      <c r="H1885">
        <v>1.002168E-2</v>
      </c>
      <c r="I1885">
        <v>9.9679799999999995E-3</v>
      </c>
      <c r="J1885">
        <v>1.0577535000000001E-2</v>
      </c>
      <c r="K1885">
        <v>1.0435710000000001E-2</v>
      </c>
      <c r="L1885">
        <v>1.0291695E-2</v>
      </c>
      <c r="M1885">
        <v>1.0483320000000001E-2</v>
      </c>
      <c r="N1885">
        <v>1.058511E-2</v>
      </c>
      <c r="O1885">
        <v>1.040982E-2</v>
      </c>
      <c r="P1885">
        <v>1.0266630000000001E-2</v>
      </c>
      <c r="Q1885">
        <v>1.0042575E-2</v>
      </c>
      <c r="R1885">
        <v>9.9397200000000008E-3</v>
      </c>
      <c r="S1885">
        <v>9.9240149999999996E-3</v>
      </c>
      <c r="T1885">
        <v>9.8700449999999992E-3</v>
      </c>
      <c r="U1885">
        <v>9.9384450000000006E-3</v>
      </c>
      <c r="V1885">
        <v>1.0323195E-2</v>
      </c>
      <c r="W1885">
        <v>1.065543E-2</v>
      </c>
      <c r="X1885">
        <v>1.0185105E-2</v>
      </c>
      <c r="Y1885">
        <v>1.0281884999999999E-2</v>
      </c>
      <c r="Z1885">
        <v>1.0061219999999999E-2</v>
      </c>
      <c r="AA1885">
        <v>1.0001115E-2</v>
      </c>
      <c r="AB1885">
        <v>9.9064200000000009E-3</v>
      </c>
    </row>
    <row r="1886" spans="1:28" hidden="1" x14ac:dyDescent="0.25">
      <c r="A1886" t="s">
        <v>313</v>
      </c>
      <c r="B1886" t="s">
        <v>334</v>
      </c>
      <c r="C1886">
        <v>115</v>
      </c>
      <c r="D1886" t="s">
        <v>2</v>
      </c>
      <c r="E1886">
        <v>0.88026396500000004</v>
      </c>
      <c r="F1886">
        <v>0.87289222499999997</v>
      </c>
      <c r="G1886">
        <v>0.79249652500000001</v>
      </c>
      <c r="H1886">
        <v>0.77155443999999995</v>
      </c>
      <c r="I1886">
        <v>0.77729501999999995</v>
      </c>
      <c r="J1886">
        <v>0.82424898499999999</v>
      </c>
      <c r="K1886">
        <v>0.96518081499999997</v>
      </c>
      <c r="L1886">
        <v>0.90346563999999996</v>
      </c>
      <c r="M1886">
        <v>0.96033658499999996</v>
      </c>
      <c r="N1886">
        <v>0.95234527999999996</v>
      </c>
      <c r="O1886">
        <v>0.92455153499999998</v>
      </c>
      <c r="P1886">
        <v>0.94997438499999998</v>
      </c>
      <c r="Q1886">
        <v>0.90892253999999995</v>
      </c>
      <c r="R1886">
        <v>0.91871738000000003</v>
      </c>
      <c r="S1886">
        <v>0.92030716999999995</v>
      </c>
      <c r="T1886">
        <v>0.95010342000000003</v>
      </c>
      <c r="U1886">
        <v>0.97515689500000002</v>
      </c>
      <c r="V1886">
        <v>1.0518982450000001</v>
      </c>
      <c r="W1886">
        <v>1.24013076</v>
      </c>
      <c r="X1886">
        <v>1.2911163299999999</v>
      </c>
      <c r="Y1886">
        <v>1.2175781999999999</v>
      </c>
      <c r="Z1886">
        <v>1.0415537749999999</v>
      </c>
      <c r="AA1886">
        <v>0.87485336000000002</v>
      </c>
      <c r="AB1886">
        <v>0.76800647</v>
      </c>
    </row>
    <row r="1887" spans="1:28" hidden="1" x14ac:dyDescent="0.25">
      <c r="A1887" t="s">
        <v>313</v>
      </c>
      <c r="B1887" t="s">
        <v>334</v>
      </c>
      <c r="C1887">
        <v>115</v>
      </c>
      <c r="D1887" t="s">
        <v>3</v>
      </c>
      <c r="E1887">
        <v>1.0376951609</v>
      </c>
      <c r="F1887">
        <v>1.0546547817</v>
      </c>
      <c r="G1887">
        <v>1.0212453972</v>
      </c>
      <c r="H1887">
        <v>1.0010867304</v>
      </c>
      <c r="I1887">
        <v>0.98796855419999996</v>
      </c>
      <c r="J1887">
        <v>1.0062680503999999</v>
      </c>
      <c r="K1887">
        <v>0.999163629</v>
      </c>
      <c r="L1887">
        <v>0.99203980899999999</v>
      </c>
      <c r="M1887">
        <v>1.0001336414999999</v>
      </c>
      <c r="N1887">
        <v>0.99624792490000003</v>
      </c>
      <c r="O1887">
        <v>0.95603894410000001</v>
      </c>
      <c r="P1887">
        <v>0.92511084980000002</v>
      </c>
      <c r="Q1887">
        <v>0.91146115679999995</v>
      </c>
      <c r="R1887">
        <v>0.91795560119999997</v>
      </c>
      <c r="S1887">
        <v>0.89059970509999997</v>
      </c>
      <c r="T1887">
        <v>0.90914166910000005</v>
      </c>
      <c r="U1887">
        <v>0.91653395849999997</v>
      </c>
      <c r="V1887">
        <v>0.95447259299999998</v>
      </c>
      <c r="W1887">
        <v>0.95237343139999997</v>
      </c>
      <c r="X1887">
        <v>0.88442677970000005</v>
      </c>
      <c r="Y1887">
        <v>0.90557620640000003</v>
      </c>
      <c r="Z1887">
        <v>0.90287233320000004</v>
      </c>
      <c r="AA1887">
        <v>0.93937037720000005</v>
      </c>
      <c r="AB1887">
        <v>0.98028493800000005</v>
      </c>
    </row>
    <row r="1888" spans="1:28" hidden="1" x14ac:dyDescent="0.25">
      <c r="A1888" t="s">
        <v>313</v>
      </c>
      <c r="B1888" t="s">
        <v>334</v>
      </c>
      <c r="C1888">
        <v>115</v>
      </c>
      <c r="D1888" t="s">
        <v>4</v>
      </c>
      <c r="E1888">
        <v>1.3405034999999999E-2</v>
      </c>
      <c r="F1888">
        <v>1.3292775E-2</v>
      </c>
      <c r="G1888">
        <v>1.2068475E-2</v>
      </c>
      <c r="H1888">
        <v>1.1749559999999999E-2</v>
      </c>
      <c r="I1888">
        <v>1.183698E-2</v>
      </c>
      <c r="J1888">
        <v>1.2552015E-2</v>
      </c>
      <c r="K1888">
        <v>1.4698185000000001E-2</v>
      </c>
      <c r="L1888">
        <v>1.3758360000000001E-2</v>
      </c>
      <c r="M1888">
        <v>1.4624415E-2</v>
      </c>
      <c r="N1888">
        <v>1.450272E-2</v>
      </c>
      <c r="O1888">
        <v>1.4079464999999999E-2</v>
      </c>
      <c r="P1888">
        <v>1.4466615E-2</v>
      </c>
      <c r="Q1888">
        <v>1.384146E-2</v>
      </c>
      <c r="R1888">
        <v>1.399062E-2</v>
      </c>
      <c r="S1888">
        <v>1.4014830000000001E-2</v>
      </c>
      <c r="T1888">
        <v>1.446858E-2</v>
      </c>
      <c r="U1888">
        <v>1.4850105000000001E-2</v>
      </c>
      <c r="V1888">
        <v>1.6018754999999999E-2</v>
      </c>
      <c r="W1888">
        <v>1.8885240000000001E-2</v>
      </c>
      <c r="X1888">
        <v>1.9661669999999999E-2</v>
      </c>
      <c r="Y1888">
        <v>1.8541800000000001E-2</v>
      </c>
      <c r="Z1888">
        <v>1.5861225E-2</v>
      </c>
      <c r="AA1888">
        <v>1.332264E-2</v>
      </c>
      <c r="AB1888">
        <v>1.1695530000000001E-2</v>
      </c>
    </row>
    <row r="1889" spans="1:28" hidden="1" x14ac:dyDescent="0.25">
      <c r="A1889" t="s">
        <v>313</v>
      </c>
      <c r="B1889" t="s">
        <v>335</v>
      </c>
      <c r="C1889">
        <v>115</v>
      </c>
      <c r="D1889" t="s">
        <v>2</v>
      </c>
      <c r="E1889">
        <v>18.805251609999999</v>
      </c>
      <c r="F1889">
        <v>18.478997939999999</v>
      </c>
      <c r="G1889">
        <v>17.703882725</v>
      </c>
      <c r="H1889">
        <v>17.26508394</v>
      </c>
      <c r="I1889">
        <v>18.052198425</v>
      </c>
      <c r="J1889">
        <v>22.699249155</v>
      </c>
      <c r="K1889">
        <v>26.400106914999999</v>
      </c>
      <c r="L1889">
        <v>26.755393460000001</v>
      </c>
      <c r="M1889">
        <v>29.55729294</v>
      </c>
      <c r="N1889">
        <v>30.621005275000002</v>
      </c>
      <c r="O1889">
        <v>31.053627124999998</v>
      </c>
      <c r="P1889">
        <v>32.717947150000001</v>
      </c>
      <c r="Q1889">
        <v>31.661610495000001</v>
      </c>
      <c r="R1889">
        <v>31.140331750000001</v>
      </c>
      <c r="S1889">
        <v>31.335203164999999</v>
      </c>
      <c r="T1889">
        <v>31.036716644999998</v>
      </c>
      <c r="U1889">
        <v>31.303293105000002</v>
      </c>
      <c r="V1889">
        <v>32.278983869999998</v>
      </c>
      <c r="W1889">
        <v>35.75046468</v>
      </c>
      <c r="X1889">
        <v>36.392608834999997</v>
      </c>
      <c r="Y1889">
        <v>34.230627409999997</v>
      </c>
      <c r="Z1889">
        <v>28.945872905000002</v>
      </c>
      <c r="AA1889">
        <v>24.263411425000001</v>
      </c>
      <c r="AB1889">
        <v>20.309757354999999</v>
      </c>
    </row>
    <row r="1890" spans="1:28" hidden="1" x14ac:dyDescent="0.25">
      <c r="A1890" t="s">
        <v>313</v>
      </c>
      <c r="B1890" t="s">
        <v>335</v>
      </c>
      <c r="C1890">
        <v>115</v>
      </c>
      <c r="D1890" t="s">
        <v>3</v>
      </c>
      <c r="E1890">
        <v>8.45252436</v>
      </c>
      <c r="F1890">
        <v>8.5794796980000001</v>
      </c>
      <c r="G1890">
        <v>8.3611123832000001</v>
      </c>
      <c r="H1890">
        <v>8.1405228041999997</v>
      </c>
      <c r="I1890">
        <v>8.1357309653000005</v>
      </c>
      <c r="J1890">
        <v>8.9405827144999996</v>
      </c>
      <c r="K1890">
        <v>9.7396292444999997</v>
      </c>
      <c r="L1890">
        <v>10.0444960523</v>
      </c>
      <c r="M1890">
        <v>11.111729003500001</v>
      </c>
      <c r="N1890">
        <v>11.578040984099999</v>
      </c>
      <c r="O1890">
        <v>11.6308988954</v>
      </c>
      <c r="P1890">
        <v>12.2521297699</v>
      </c>
      <c r="Q1890">
        <v>12.0287167332</v>
      </c>
      <c r="R1890">
        <v>11.8577475618</v>
      </c>
      <c r="S1890">
        <v>11.876418360300001</v>
      </c>
      <c r="T1890">
        <v>11.768295519</v>
      </c>
      <c r="U1890">
        <v>11.7274622729</v>
      </c>
      <c r="V1890">
        <v>11.649197340400001</v>
      </c>
      <c r="W1890">
        <v>11.2061851368</v>
      </c>
      <c r="X1890">
        <v>10.175952884200001</v>
      </c>
      <c r="Y1890">
        <v>9.6588312334000008</v>
      </c>
      <c r="Z1890">
        <v>8.7817602198000007</v>
      </c>
      <c r="AA1890">
        <v>8.5068901018999998</v>
      </c>
      <c r="AB1890">
        <v>8.3795572444000008</v>
      </c>
    </row>
    <row r="1891" spans="1:28" hidden="1" x14ac:dyDescent="0.25">
      <c r="A1891" t="s">
        <v>313</v>
      </c>
      <c r="B1891" t="s">
        <v>335</v>
      </c>
      <c r="C1891">
        <v>115</v>
      </c>
      <c r="D1891" t="s">
        <v>4</v>
      </c>
      <c r="E1891">
        <v>0.28637438999999998</v>
      </c>
      <c r="F1891">
        <v>0.28140606000000001</v>
      </c>
      <c r="G1891">
        <v>0.269602275</v>
      </c>
      <c r="H1891">
        <v>0.26292006000000001</v>
      </c>
      <c r="I1891">
        <v>0.27490657499999999</v>
      </c>
      <c r="J1891">
        <v>0.34567384499999998</v>
      </c>
      <c r="K1891">
        <v>0.40203208499999998</v>
      </c>
      <c r="L1891">
        <v>0.40744254000000002</v>
      </c>
      <c r="M1891">
        <v>0.45011106000000001</v>
      </c>
      <c r="N1891">
        <v>0.46630972500000001</v>
      </c>
      <c r="O1891">
        <v>0.47289787500000002</v>
      </c>
      <c r="P1891">
        <v>0.49824285000000001</v>
      </c>
      <c r="Q1891">
        <v>0.48215650500000001</v>
      </c>
      <c r="R1891">
        <v>0.47421825000000001</v>
      </c>
      <c r="S1891">
        <v>0.477185835</v>
      </c>
      <c r="T1891">
        <v>0.47264035500000001</v>
      </c>
      <c r="U1891">
        <v>0.47669989499999998</v>
      </c>
      <c r="V1891">
        <v>0.49155812999999998</v>
      </c>
      <c r="W1891">
        <v>0.54442332000000004</v>
      </c>
      <c r="X1891">
        <v>0.55420216499999997</v>
      </c>
      <c r="Y1891">
        <v>0.52127858999999999</v>
      </c>
      <c r="Z1891">
        <v>0.440800095</v>
      </c>
      <c r="AA1891">
        <v>0.36949357500000002</v>
      </c>
      <c r="AB1891">
        <v>0.309285645</v>
      </c>
    </row>
    <row r="1892" spans="1:28" hidden="1" x14ac:dyDescent="0.25">
      <c r="A1892" t="s">
        <v>313</v>
      </c>
      <c r="B1892" t="s">
        <v>336</v>
      </c>
      <c r="C1892">
        <v>110</v>
      </c>
      <c r="D1892" t="s">
        <v>2</v>
      </c>
      <c r="E1892">
        <v>22.145139374999999</v>
      </c>
      <c r="F1892">
        <v>23.048106605000001</v>
      </c>
      <c r="G1892">
        <v>22.04618923</v>
      </c>
      <c r="H1892">
        <v>22.509180600000001</v>
      </c>
      <c r="I1892">
        <v>22.950666465000001</v>
      </c>
      <c r="J1892">
        <v>23.676308084999999</v>
      </c>
      <c r="K1892">
        <v>23.024387805</v>
      </c>
      <c r="L1892">
        <v>22.195381269999999</v>
      </c>
      <c r="M1892">
        <v>21.45078037</v>
      </c>
      <c r="N1892">
        <v>20.100677314999999</v>
      </c>
      <c r="O1892">
        <v>18.909049925000001</v>
      </c>
      <c r="P1892">
        <v>18.103147549999999</v>
      </c>
      <c r="Q1892">
        <v>16.869397620000001</v>
      </c>
      <c r="R1892">
        <v>17.770900155</v>
      </c>
      <c r="S1892">
        <v>16.739634705</v>
      </c>
      <c r="T1892">
        <v>16.630494734999999</v>
      </c>
      <c r="U1892">
        <v>17.32100436</v>
      </c>
      <c r="V1892">
        <v>19.427646514999999</v>
      </c>
      <c r="W1892">
        <v>21.568603114999998</v>
      </c>
      <c r="X1892">
        <v>21.963514239999999</v>
      </c>
      <c r="Y1892">
        <v>21.37683839</v>
      </c>
      <c r="Z1892">
        <v>20.636759625</v>
      </c>
      <c r="AA1892">
        <v>21.04442847</v>
      </c>
      <c r="AB1892">
        <v>21.273572959999999</v>
      </c>
    </row>
    <row r="1893" spans="1:28" hidden="1" x14ac:dyDescent="0.25">
      <c r="A1893" t="s">
        <v>313</v>
      </c>
      <c r="B1893" t="s">
        <v>336</v>
      </c>
      <c r="C1893">
        <v>110</v>
      </c>
      <c r="D1893" t="s">
        <v>3</v>
      </c>
      <c r="E1893">
        <v>7.9476628828000004</v>
      </c>
      <c r="F1893">
        <v>8.3783363168000005</v>
      </c>
      <c r="G1893">
        <v>8.0782484904</v>
      </c>
      <c r="H1893">
        <v>8.2226440388000004</v>
      </c>
      <c r="I1893">
        <v>8.3808865532999999</v>
      </c>
      <c r="J1893">
        <v>8.5658353002999998</v>
      </c>
      <c r="K1893">
        <v>8.1480443561999998</v>
      </c>
      <c r="L1893">
        <v>8.0933402129999994</v>
      </c>
      <c r="M1893">
        <v>7.8862141096</v>
      </c>
      <c r="N1893">
        <v>7.5729092917000003</v>
      </c>
      <c r="O1893">
        <v>7.1984429236</v>
      </c>
      <c r="P1893">
        <v>7.0403815489000001</v>
      </c>
      <c r="Q1893">
        <v>6.9481965593000004</v>
      </c>
      <c r="R1893">
        <v>7.0089659904000001</v>
      </c>
      <c r="S1893">
        <v>6.6011732994000001</v>
      </c>
      <c r="T1893">
        <v>6.6338308279999998</v>
      </c>
      <c r="U1893">
        <v>6.6433874300999998</v>
      </c>
      <c r="V1893">
        <v>7.1781579185000002</v>
      </c>
      <c r="W1893">
        <v>7.6691769410999999</v>
      </c>
      <c r="X1893">
        <v>7.7763175271999998</v>
      </c>
      <c r="Y1893">
        <v>7.5902045258999999</v>
      </c>
      <c r="Z1893">
        <v>7.4661591428999996</v>
      </c>
      <c r="AA1893">
        <v>7.6457840345000001</v>
      </c>
      <c r="AB1893">
        <v>7.7860224203000001</v>
      </c>
    </row>
    <row r="1894" spans="1:28" hidden="1" x14ac:dyDescent="0.25">
      <c r="A1894" t="s">
        <v>313</v>
      </c>
      <c r="B1894" t="s">
        <v>336</v>
      </c>
      <c r="C1894">
        <v>110</v>
      </c>
      <c r="D1894" t="s">
        <v>4</v>
      </c>
      <c r="E1894">
        <v>0.33723562499999998</v>
      </c>
      <c r="F1894">
        <v>0.35098639500000001</v>
      </c>
      <c r="G1894">
        <v>0.33572877000000001</v>
      </c>
      <c r="H1894">
        <v>0.34277940000000001</v>
      </c>
      <c r="I1894">
        <v>0.349502535</v>
      </c>
      <c r="J1894">
        <v>0.36055291499999997</v>
      </c>
      <c r="K1894">
        <v>0.350625195</v>
      </c>
      <c r="L1894">
        <v>0.33800073000000003</v>
      </c>
      <c r="M1894">
        <v>0.32666162999999998</v>
      </c>
      <c r="N1894">
        <v>0.30610168500000001</v>
      </c>
      <c r="O1894">
        <v>0.287955075</v>
      </c>
      <c r="P1894">
        <v>0.27568245000000002</v>
      </c>
      <c r="Q1894">
        <v>0.25689437999999998</v>
      </c>
      <c r="R1894">
        <v>0.270622845</v>
      </c>
      <c r="S1894">
        <v>0.25491829500000002</v>
      </c>
      <c r="T1894">
        <v>0.25325626499999998</v>
      </c>
      <c r="U1894">
        <v>0.26377163999999997</v>
      </c>
      <c r="V1894">
        <v>0.295852485</v>
      </c>
      <c r="W1894">
        <v>0.328455885</v>
      </c>
      <c r="X1894">
        <v>0.33446976</v>
      </c>
      <c r="Y1894">
        <v>0.32553560999999998</v>
      </c>
      <c r="Z1894">
        <v>0.31426537500000001</v>
      </c>
      <c r="AA1894">
        <v>0.32047353000000001</v>
      </c>
      <c r="AB1894">
        <v>0.32396303999999998</v>
      </c>
    </row>
    <row r="1895" spans="1:28" hidden="1" x14ac:dyDescent="0.25">
      <c r="A1895" t="s">
        <v>337</v>
      </c>
      <c r="B1895" t="s">
        <v>338</v>
      </c>
      <c r="C1895">
        <v>115</v>
      </c>
      <c r="D1895" t="s">
        <v>2</v>
      </c>
      <c r="E1895">
        <v>0.53697669000000003</v>
      </c>
      <c r="F1895">
        <v>0.50768771499999998</v>
      </c>
      <c r="G1895">
        <v>0.49792439500000002</v>
      </c>
      <c r="H1895">
        <v>0.488161075</v>
      </c>
      <c r="I1895">
        <v>0.49792439500000002</v>
      </c>
      <c r="J1895">
        <v>0.54674001000000005</v>
      </c>
      <c r="K1895">
        <v>0.634608905</v>
      </c>
      <c r="L1895">
        <v>0.69318784</v>
      </c>
      <c r="M1895">
        <v>0.76153108000000003</v>
      </c>
      <c r="N1895">
        <v>0.80058337499999999</v>
      </c>
      <c r="O1895">
        <v>0.87868895000000002</v>
      </c>
      <c r="P1895">
        <v>0.91774222999999999</v>
      </c>
      <c r="Q1895">
        <v>0.84939997499999997</v>
      </c>
      <c r="R1895">
        <v>0.85916329499999999</v>
      </c>
      <c r="S1895">
        <v>0.91774222999999999</v>
      </c>
      <c r="T1895">
        <v>0.94703219000000005</v>
      </c>
      <c r="U1895">
        <v>0.89821558999999995</v>
      </c>
      <c r="V1895">
        <v>0.85916329499999999</v>
      </c>
      <c r="W1895">
        <v>0.93606126000000001</v>
      </c>
      <c r="X1895">
        <v>0.93606126000000001</v>
      </c>
      <c r="Y1895">
        <v>0.85553948000000002</v>
      </c>
      <c r="Z1895">
        <v>0.74200443999999999</v>
      </c>
      <c r="AA1895">
        <v>0.65413554500000004</v>
      </c>
      <c r="AB1895">
        <v>0.59555661000000004</v>
      </c>
    </row>
    <row r="1896" spans="1:28" hidden="1" x14ac:dyDescent="0.25">
      <c r="A1896" t="s">
        <v>337</v>
      </c>
      <c r="B1896" t="s">
        <v>338</v>
      </c>
      <c r="C1896">
        <v>115</v>
      </c>
      <c r="D1896" t="s">
        <v>3</v>
      </c>
      <c r="E1896">
        <v>7.6515034199999998E-2</v>
      </c>
      <c r="F1896">
        <v>7.2341581299999999E-2</v>
      </c>
      <c r="G1896">
        <v>7.09503836E-2</v>
      </c>
      <c r="H1896">
        <v>6.9559185699999998E-2</v>
      </c>
      <c r="I1896">
        <v>7.09503836E-2</v>
      </c>
      <c r="J1896">
        <v>7.7906231899999998E-2</v>
      </c>
      <c r="K1896">
        <v>9.0426871300000003E-2</v>
      </c>
      <c r="L1896">
        <v>9.8773917500000002E-2</v>
      </c>
      <c r="M1896">
        <v>0.10851230169999999</v>
      </c>
      <c r="N1896">
        <v>0.1140769524</v>
      </c>
      <c r="O1896">
        <v>0.12520639410000001</v>
      </c>
      <c r="P1896">
        <v>0.13077118509999999</v>
      </c>
      <c r="Q1896">
        <v>0.12103294119999999</v>
      </c>
      <c r="R1896">
        <v>0.122424139</v>
      </c>
      <c r="S1896">
        <v>0.13077118509999999</v>
      </c>
      <c r="T1896">
        <v>0.13494477830000001</v>
      </c>
      <c r="U1896">
        <v>0.12798878960000001</v>
      </c>
      <c r="V1896">
        <v>0.122424139</v>
      </c>
      <c r="W1896">
        <v>0.1333815055</v>
      </c>
      <c r="X1896">
        <v>0.1333815055</v>
      </c>
      <c r="Y1896">
        <v>0.12190777329999999</v>
      </c>
      <c r="Z1896">
        <v>0.1057299063</v>
      </c>
      <c r="AA1896">
        <v>9.3209266799999996E-2</v>
      </c>
      <c r="AB1896">
        <v>8.4862220700000005E-2</v>
      </c>
    </row>
    <row r="1897" spans="1:28" hidden="1" x14ac:dyDescent="0.25">
      <c r="A1897" t="s">
        <v>337</v>
      </c>
      <c r="B1897" t="s">
        <v>338</v>
      </c>
      <c r="C1897">
        <v>115</v>
      </c>
      <c r="D1897" t="s">
        <v>4</v>
      </c>
      <c r="E1897">
        <v>8.1773100000000001E-3</v>
      </c>
      <c r="F1897">
        <v>7.7312850000000001E-3</v>
      </c>
      <c r="G1897">
        <v>7.5826050000000001E-3</v>
      </c>
      <c r="H1897">
        <v>7.4339250000000001E-3</v>
      </c>
      <c r="I1897">
        <v>7.5826050000000001E-3</v>
      </c>
      <c r="J1897">
        <v>8.3259900000000001E-3</v>
      </c>
      <c r="K1897">
        <v>9.6640949999999993E-3</v>
      </c>
      <c r="L1897">
        <v>1.055616E-2</v>
      </c>
      <c r="M1897">
        <v>1.159692E-2</v>
      </c>
      <c r="N1897">
        <v>1.2191624999999999E-2</v>
      </c>
      <c r="O1897">
        <v>1.338105E-2</v>
      </c>
      <c r="P1897">
        <v>1.397577E-2</v>
      </c>
      <c r="Q1897">
        <v>1.2935024999999999E-2</v>
      </c>
      <c r="R1897">
        <v>1.3083704999999999E-2</v>
      </c>
      <c r="S1897">
        <v>1.397577E-2</v>
      </c>
      <c r="T1897">
        <v>1.442181E-2</v>
      </c>
      <c r="U1897">
        <v>1.367841E-2</v>
      </c>
      <c r="V1897">
        <v>1.3083704999999999E-2</v>
      </c>
      <c r="W1897">
        <v>1.425474E-2</v>
      </c>
      <c r="X1897">
        <v>1.425474E-2</v>
      </c>
      <c r="Y1897">
        <v>1.302852E-2</v>
      </c>
      <c r="Z1897">
        <v>1.129956E-2</v>
      </c>
      <c r="AA1897">
        <v>9.9614549999999993E-3</v>
      </c>
      <c r="AB1897">
        <v>9.0693900000000001E-3</v>
      </c>
    </row>
    <row r="1898" spans="1:28" hidden="1" x14ac:dyDescent="0.25">
      <c r="A1898" t="s">
        <v>339</v>
      </c>
      <c r="B1898" t="s">
        <v>340</v>
      </c>
      <c r="C1898">
        <v>115</v>
      </c>
      <c r="D1898" t="s">
        <v>2</v>
      </c>
      <c r="E1898">
        <v>44.24325091</v>
      </c>
      <c r="F1898">
        <v>44.285489679999998</v>
      </c>
      <c r="G1898">
        <v>43.953782064999999</v>
      </c>
      <c r="H1898">
        <v>42.685044935000001</v>
      </c>
      <c r="I1898">
        <v>43.813381149999998</v>
      </c>
      <c r="J1898">
        <v>45.323090649999997</v>
      </c>
      <c r="K1898">
        <v>47.465399654999999</v>
      </c>
      <c r="L1898">
        <v>48.465300735</v>
      </c>
      <c r="M1898">
        <v>45.739710189999997</v>
      </c>
      <c r="N1898">
        <v>46.997240974999997</v>
      </c>
      <c r="O1898">
        <v>49.395486470000002</v>
      </c>
      <c r="P1898">
        <v>48.665840824999997</v>
      </c>
      <c r="Q1898">
        <v>44.257224119999997</v>
      </c>
      <c r="R1898">
        <v>46.559379909999997</v>
      </c>
      <c r="S1898">
        <v>49.240006190000003</v>
      </c>
      <c r="T1898">
        <v>50.371095480000001</v>
      </c>
      <c r="U1898">
        <v>53.076463975000003</v>
      </c>
      <c r="V1898">
        <v>51.956235294999999</v>
      </c>
      <c r="W1898">
        <v>54.282297034999999</v>
      </c>
      <c r="X1898">
        <v>52.698570695000001</v>
      </c>
      <c r="Y1898">
        <v>52.431787385</v>
      </c>
      <c r="Z1898">
        <v>49.461908960000002</v>
      </c>
      <c r="AA1898">
        <v>48.849434975000001</v>
      </c>
      <c r="AB1898">
        <v>47.475103875000002</v>
      </c>
    </row>
    <row r="1899" spans="1:28" hidden="1" x14ac:dyDescent="0.25">
      <c r="A1899" t="s">
        <v>339</v>
      </c>
      <c r="B1899" t="s">
        <v>340</v>
      </c>
      <c r="C1899">
        <v>115</v>
      </c>
      <c r="D1899" t="s">
        <v>3</v>
      </c>
      <c r="E1899">
        <v>12.0471468188</v>
      </c>
      <c r="F1899">
        <v>11.8195748248</v>
      </c>
      <c r="G1899">
        <v>11.699970135799999</v>
      </c>
      <c r="H1899">
        <v>11.4860968013</v>
      </c>
      <c r="I1899">
        <v>11.843867703500001</v>
      </c>
      <c r="J1899">
        <v>12.4335565414</v>
      </c>
      <c r="K1899">
        <v>12.5812783722</v>
      </c>
      <c r="L1899">
        <v>12.703964754699999</v>
      </c>
      <c r="M1899">
        <v>11.355047991999999</v>
      </c>
      <c r="N1899">
        <v>11.946122211</v>
      </c>
      <c r="O1899">
        <v>12.399098474400001</v>
      </c>
      <c r="P1899">
        <v>12.4332215795</v>
      </c>
      <c r="Q1899">
        <v>11.898190591500001</v>
      </c>
      <c r="R1899">
        <v>12.7082420206</v>
      </c>
      <c r="S1899">
        <v>13.2316677799</v>
      </c>
      <c r="T1899">
        <v>13.1758979999</v>
      </c>
      <c r="U1899">
        <v>13.410910382899999</v>
      </c>
      <c r="V1899">
        <v>14.130340762599999</v>
      </c>
      <c r="W1899">
        <v>14.895762618499999</v>
      </c>
      <c r="X1899">
        <v>13.829151533299999</v>
      </c>
      <c r="Y1899">
        <v>14.121820948</v>
      </c>
      <c r="Z1899">
        <v>13.3870713522</v>
      </c>
      <c r="AA1899">
        <v>12.9807490325</v>
      </c>
      <c r="AB1899">
        <v>12.7377797917</v>
      </c>
    </row>
    <row r="1900" spans="1:28" hidden="1" x14ac:dyDescent="0.25">
      <c r="A1900" t="s">
        <v>339</v>
      </c>
      <c r="B1900" t="s">
        <v>340</v>
      </c>
      <c r="C1900">
        <v>115</v>
      </c>
      <c r="D1900" t="s">
        <v>4</v>
      </c>
      <c r="E1900">
        <v>0.67375509</v>
      </c>
      <c r="F1900">
        <v>0.67439832</v>
      </c>
      <c r="G1900">
        <v>0.66934693499999998</v>
      </c>
      <c r="H1900">
        <v>0.65002606500000004</v>
      </c>
      <c r="I1900">
        <v>0.66720884999999996</v>
      </c>
      <c r="J1900">
        <v>0.69019934999999999</v>
      </c>
      <c r="K1900">
        <v>0.72282334500000001</v>
      </c>
      <c r="L1900">
        <v>0.73805026500000004</v>
      </c>
      <c r="M1900">
        <v>0.69654380999999999</v>
      </c>
      <c r="N1900">
        <v>0.71569402500000001</v>
      </c>
      <c r="O1900">
        <v>0.75221552999999997</v>
      </c>
      <c r="P1900">
        <v>0.74110417500000003</v>
      </c>
      <c r="Q1900">
        <v>0.67396787999999996</v>
      </c>
      <c r="R1900">
        <v>0.70902609000000005</v>
      </c>
      <c r="S1900">
        <v>0.74984781</v>
      </c>
      <c r="T1900">
        <v>0.76707252000000004</v>
      </c>
      <c r="U1900">
        <v>0.80827102500000003</v>
      </c>
      <c r="V1900">
        <v>0.79121170500000004</v>
      </c>
      <c r="W1900">
        <v>0.82663396499999997</v>
      </c>
      <c r="X1900">
        <v>0.80251630500000004</v>
      </c>
      <c r="Y1900">
        <v>0.79845361500000001</v>
      </c>
      <c r="Z1900">
        <v>0.75322703999999996</v>
      </c>
      <c r="AA1900">
        <v>0.74390002499999996</v>
      </c>
      <c r="AB1900">
        <v>0.72297112500000005</v>
      </c>
    </row>
    <row r="1901" spans="1:28" hidden="1" x14ac:dyDescent="0.25">
      <c r="A1901" t="s">
        <v>339</v>
      </c>
      <c r="B1901" t="s">
        <v>341</v>
      </c>
      <c r="C1901">
        <v>115</v>
      </c>
      <c r="D1901" t="s">
        <v>2</v>
      </c>
      <c r="E1901">
        <v>51.709697675000001</v>
      </c>
      <c r="F1901">
        <v>51.984894855</v>
      </c>
      <c r="G1901">
        <v>52.096488460000003</v>
      </c>
      <c r="H1901">
        <v>52.306563349999998</v>
      </c>
      <c r="I1901">
        <v>52.921365874999999</v>
      </c>
      <c r="J1901">
        <v>55.584634485000002</v>
      </c>
      <c r="K1901">
        <v>38.695497465000003</v>
      </c>
      <c r="L1901">
        <v>42.580149329999998</v>
      </c>
      <c r="M1901">
        <v>48.329478100000003</v>
      </c>
      <c r="N1901">
        <v>58.0427404</v>
      </c>
      <c r="O1901">
        <v>63.224208789999999</v>
      </c>
      <c r="P1901">
        <v>65.916453145000006</v>
      </c>
      <c r="Q1901">
        <v>62.5131826</v>
      </c>
      <c r="R1901">
        <v>64.812468100000004</v>
      </c>
      <c r="S1901">
        <v>67.970703150000006</v>
      </c>
      <c r="T1901">
        <v>70.503553819999993</v>
      </c>
      <c r="U1901">
        <v>73.412050984999993</v>
      </c>
      <c r="V1901">
        <v>67.829968320000006</v>
      </c>
      <c r="W1901">
        <v>66.029641464999997</v>
      </c>
      <c r="X1901">
        <v>60.125677545000002</v>
      </c>
      <c r="Y1901">
        <v>56.586665134999997</v>
      </c>
      <c r="Z1901">
        <v>52.757623414999998</v>
      </c>
      <c r="AA1901">
        <v>47.351343550000003</v>
      </c>
      <c r="AB1901">
        <v>43.45198268</v>
      </c>
    </row>
    <row r="1902" spans="1:28" hidden="1" x14ac:dyDescent="0.25">
      <c r="A1902" t="s">
        <v>339</v>
      </c>
      <c r="B1902" t="s">
        <v>341</v>
      </c>
      <c r="C1902">
        <v>115</v>
      </c>
      <c r="D1902" t="s">
        <v>3</v>
      </c>
      <c r="E1902">
        <v>19.601934101200001</v>
      </c>
      <c r="F1902">
        <v>19.118686300099998</v>
      </c>
      <c r="G1902">
        <v>19.713237719799999</v>
      </c>
      <c r="H1902">
        <v>19.7927297618</v>
      </c>
      <c r="I1902">
        <v>20.0253701697</v>
      </c>
      <c r="J1902">
        <v>21.033147253500001</v>
      </c>
      <c r="K1902">
        <v>14.6423216374</v>
      </c>
      <c r="L1902">
        <v>16.112268421500001</v>
      </c>
      <c r="M1902">
        <v>18.287806315200001</v>
      </c>
      <c r="N1902">
        <v>21.9632910632</v>
      </c>
      <c r="O1902">
        <v>23.923951390399999</v>
      </c>
      <c r="P1902">
        <v>24.942692855299999</v>
      </c>
      <c r="Q1902">
        <v>23.654900083400001</v>
      </c>
      <c r="R1902">
        <v>25.4746208569</v>
      </c>
      <c r="S1902">
        <v>26.4254234922</v>
      </c>
      <c r="T1902">
        <v>27.490697586700001</v>
      </c>
      <c r="U1902">
        <v>28.295369609600002</v>
      </c>
      <c r="V1902">
        <v>26.083157597700001</v>
      </c>
      <c r="W1902">
        <v>24.655693964099999</v>
      </c>
      <c r="X1902">
        <v>20.605389521100001</v>
      </c>
      <c r="Y1902">
        <v>18.797186536600002</v>
      </c>
      <c r="Z1902">
        <v>17.527098151200001</v>
      </c>
      <c r="AA1902">
        <v>16.016065531799999</v>
      </c>
      <c r="AB1902">
        <v>16.125851819299999</v>
      </c>
    </row>
    <row r="1903" spans="1:28" hidden="1" x14ac:dyDescent="0.25">
      <c r="A1903" t="s">
        <v>339</v>
      </c>
      <c r="B1903" t="s">
        <v>341</v>
      </c>
      <c r="C1903">
        <v>115</v>
      </c>
      <c r="D1903" t="s">
        <v>4</v>
      </c>
      <c r="E1903">
        <v>0.78745732499999999</v>
      </c>
      <c r="F1903">
        <v>0.79164814500000003</v>
      </c>
      <c r="G1903">
        <v>0.79334753999999996</v>
      </c>
      <c r="H1903">
        <v>0.79654665000000002</v>
      </c>
      <c r="I1903">
        <v>0.805909125</v>
      </c>
      <c r="J1903">
        <v>0.84646651500000003</v>
      </c>
      <c r="K1903">
        <v>0.58927153499999996</v>
      </c>
      <c r="L1903">
        <v>0.64842867000000004</v>
      </c>
      <c r="M1903">
        <v>0.73598189999999997</v>
      </c>
      <c r="N1903">
        <v>0.88389960000000001</v>
      </c>
      <c r="O1903">
        <v>0.96280520999999997</v>
      </c>
      <c r="P1903">
        <v>1.0038038549999999</v>
      </c>
      <c r="Q1903">
        <v>0.95197739999999997</v>
      </c>
      <c r="R1903">
        <v>0.98699190000000003</v>
      </c>
      <c r="S1903">
        <v>1.0350868499999999</v>
      </c>
      <c r="T1903">
        <v>1.07365818</v>
      </c>
      <c r="U1903">
        <v>1.1179500149999999</v>
      </c>
      <c r="V1903">
        <v>1.03294368</v>
      </c>
      <c r="W1903">
        <v>1.0055275349999999</v>
      </c>
      <c r="X1903">
        <v>0.91561945499999997</v>
      </c>
      <c r="Y1903">
        <v>0.86172586500000004</v>
      </c>
      <c r="Z1903">
        <v>0.80341558499999999</v>
      </c>
      <c r="AA1903">
        <v>0.72108645000000005</v>
      </c>
      <c r="AB1903">
        <v>0.66170532000000004</v>
      </c>
    </row>
    <row r="1904" spans="1:28" hidden="1" x14ac:dyDescent="0.25">
      <c r="A1904" t="s">
        <v>339</v>
      </c>
      <c r="B1904" t="s">
        <v>342</v>
      </c>
      <c r="C1904">
        <v>115</v>
      </c>
      <c r="D1904" t="s">
        <v>2</v>
      </c>
      <c r="E1904">
        <v>1.451138445</v>
      </c>
      <c r="F1904">
        <v>1.408062425</v>
      </c>
      <c r="G1904">
        <v>1.37815881</v>
      </c>
      <c r="H1904">
        <v>1.346761935</v>
      </c>
      <c r="I1904">
        <v>1.322771275</v>
      </c>
      <c r="J1904">
        <v>1.3522119399999999</v>
      </c>
      <c r="K1904">
        <v>1.4747597299999999</v>
      </c>
      <c r="L1904">
        <v>1.5651059</v>
      </c>
      <c r="M1904">
        <v>1.6115122049999999</v>
      </c>
      <c r="N1904">
        <v>1.7003887550000001</v>
      </c>
      <c r="O1904">
        <v>1.6782429999999999</v>
      </c>
      <c r="P1904">
        <v>1.596617035</v>
      </c>
      <c r="Q1904">
        <v>1.50687861</v>
      </c>
      <c r="R1904">
        <v>1.4611805200000001</v>
      </c>
      <c r="S1904">
        <v>1.3765276500000001</v>
      </c>
      <c r="T1904">
        <v>1.61348319</v>
      </c>
      <c r="U1904">
        <v>1.5902864400000001</v>
      </c>
      <c r="V1904">
        <v>1.46106823</v>
      </c>
      <c r="W1904">
        <v>1.4517914999999999</v>
      </c>
      <c r="X1904">
        <v>1.3244536549999999</v>
      </c>
      <c r="Y1904">
        <v>1.3046315150000001</v>
      </c>
      <c r="Z1904">
        <v>1.2889434200000001</v>
      </c>
      <c r="AA1904">
        <v>1.124175575</v>
      </c>
      <c r="AB1904">
        <v>1.0804297549999999</v>
      </c>
    </row>
    <row r="1905" spans="1:28" hidden="1" x14ac:dyDescent="0.25">
      <c r="A1905" t="s">
        <v>339</v>
      </c>
      <c r="B1905" t="s">
        <v>342</v>
      </c>
      <c r="C1905">
        <v>115</v>
      </c>
      <c r="D1905" t="s">
        <v>3</v>
      </c>
      <c r="E1905">
        <v>0.51451811189999996</v>
      </c>
      <c r="F1905">
        <v>0.39647160860000003</v>
      </c>
      <c r="G1905">
        <v>0.35722364089999997</v>
      </c>
      <c r="H1905">
        <v>0.39076609039999999</v>
      </c>
      <c r="I1905">
        <v>0.3158268548</v>
      </c>
      <c r="J1905">
        <v>0.39444754809999999</v>
      </c>
      <c r="K1905">
        <v>0.49553076410000002</v>
      </c>
      <c r="L1905">
        <v>0.45600379880000003</v>
      </c>
      <c r="M1905">
        <v>0.57116334120000001</v>
      </c>
      <c r="N1905">
        <v>0.67636089310000003</v>
      </c>
      <c r="O1905">
        <v>0.67729232390000005</v>
      </c>
      <c r="P1905">
        <v>0.65624356370000003</v>
      </c>
      <c r="Q1905">
        <v>0.63692012750000004</v>
      </c>
      <c r="R1905">
        <v>0.60617769340000005</v>
      </c>
      <c r="S1905">
        <v>0.57429605380000004</v>
      </c>
      <c r="T1905">
        <v>0.65670837869999998</v>
      </c>
      <c r="U1905">
        <v>0.59650813560000004</v>
      </c>
      <c r="V1905">
        <v>0.55677475519999997</v>
      </c>
      <c r="W1905">
        <v>0.50083190300000002</v>
      </c>
      <c r="X1905">
        <v>0.46314623069999999</v>
      </c>
      <c r="Y1905">
        <v>0.4710035903</v>
      </c>
      <c r="Z1905">
        <v>0.4030792325</v>
      </c>
      <c r="AA1905">
        <v>0.39654116919999999</v>
      </c>
      <c r="AB1905">
        <v>0.3507687713</v>
      </c>
    </row>
    <row r="1906" spans="1:28" hidden="1" x14ac:dyDescent="0.25">
      <c r="A1906" t="s">
        <v>339</v>
      </c>
      <c r="B1906" t="s">
        <v>342</v>
      </c>
      <c r="C1906">
        <v>115</v>
      </c>
      <c r="D1906" t="s">
        <v>4</v>
      </c>
      <c r="E1906">
        <v>2.2098554999999999E-2</v>
      </c>
      <c r="F1906">
        <v>2.1442574999999998E-2</v>
      </c>
      <c r="G1906">
        <v>2.0987189999999999E-2</v>
      </c>
      <c r="H1906">
        <v>2.0509065E-2</v>
      </c>
      <c r="I1906">
        <v>2.0143725000000001E-2</v>
      </c>
      <c r="J1906">
        <v>2.0592059999999999E-2</v>
      </c>
      <c r="K1906">
        <v>2.2458269999999999E-2</v>
      </c>
      <c r="L1906">
        <v>2.38341E-2</v>
      </c>
      <c r="M1906">
        <v>2.4540795000000001E-2</v>
      </c>
      <c r="N1906">
        <v>2.5894245E-2</v>
      </c>
      <c r="O1906">
        <v>2.5557E-2</v>
      </c>
      <c r="P1906">
        <v>2.4313965E-2</v>
      </c>
      <c r="Q1906">
        <v>2.2947390000000002E-2</v>
      </c>
      <c r="R1906">
        <v>2.2251480000000001E-2</v>
      </c>
      <c r="S1906">
        <v>2.0962350000000001E-2</v>
      </c>
      <c r="T1906">
        <v>2.4570809999999998E-2</v>
      </c>
      <c r="U1906">
        <v>2.4217559999999999E-2</v>
      </c>
      <c r="V1906">
        <v>2.2249769999999999E-2</v>
      </c>
      <c r="W1906">
        <v>2.21085E-2</v>
      </c>
      <c r="X1906">
        <v>2.0169345000000002E-2</v>
      </c>
      <c r="Y1906">
        <v>1.9867485000000001E-2</v>
      </c>
      <c r="Z1906">
        <v>1.962858E-2</v>
      </c>
      <c r="AA1906">
        <v>1.7119425000000001E-2</v>
      </c>
      <c r="AB1906">
        <v>1.6453244999999998E-2</v>
      </c>
    </row>
    <row r="1907" spans="1:28" hidden="1" x14ac:dyDescent="0.25">
      <c r="A1907" t="s">
        <v>339</v>
      </c>
      <c r="B1907" t="s">
        <v>343</v>
      </c>
      <c r="C1907">
        <v>115</v>
      </c>
      <c r="D1907" t="s">
        <v>2</v>
      </c>
      <c r="E1907">
        <v>3.8638476800000001</v>
      </c>
      <c r="F1907">
        <v>2.9594994799999998</v>
      </c>
      <c r="G1907">
        <v>2.8615195600000001</v>
      </c>
      <c r="H1907">
        <v>2.977492475</v>
      </c>
      <c r="I1907">
        <v>2.9588858249999999</v>
      </c>
      <c r="J1907">
        <v>3.0184862049999999</v>
      </c>
      <c r="K1907">
        <v>3.2160673549999998</v>
      </c>
      <c r="L1907">
        <v>3.5187283049999998</v>
      </c>
      <c r="M1907">
        <v>4.2012801150000003</v>
      </c>
      <c r="N1907">
        <v>5.3306949049999997</v>
      </c>
      <c r="O1907">
        <v>4.6775029899999998</v>
      </c>
      <c r="P1907">
        <v>4.8160639249999999</v>
      </c>
      <c r="Q1907">
        <v>4.5440699650000003</v>
      </c>
      <c r="R1907">
        <v>4.15479501</v>
      </c>
      <c r="S1907">
        <v>4.5859452699999999</v>
      </c>
      <c r="T1907">
        <v>4.4125931500000002</v>
      </c>
      <c r="U1907">
        <v>4.5595246149999999</v>
      </c>
      <c r="V1907">
        <v>4.2306764550000002</v>
      </c>
      <c r="W1907">
        <v>4.5789458600000001</v>
      </c>
      <c r="X1907">
        <v>4.5268639850000003</v>
      </c>
      <c r="Y1907">
        <v>4.8473573749999996</v>
      </c>
      <c r="Z1907">
        <v>4.7130280000000004</v>
      </c>
      <c r="AA1907">
        <v>4.3850131499999998</v>
      </c>
      <c r="AB1907">
        <v>3.9615774099999999</v>
      </c>
    </row>
    <row r="1908" spans="1:28" hidden="1" x14ac:dyDescent="0.25">
      <c r="A1908" t="s">
        <v>339</v>
      </c>
      <c r="B1908" t="s">
        <v>343</v>
      </c>
      <c r="C1908">
        <v>115</v>
      </c>
      <c r="D1908" t="s">
        <v>3</v>
      </c>
      <c r="E1908">
        <v>1.3699723963999999</v>
      </c>
      <c r="F1908">
        <v>0.83331356550000002</v>
      </c>
      <c r="G1908">
        <v>0.74171599710000002</v>
      </c>
      <c r="H1908">
        <v>0.86392632840000005</v>
      </c>
      <c r="I1908">
        <v>0.70646802050000002</v>
      </c>
      <c r="J1908">
        <v>0.88050877790000004</v>
      </c>
      <c r="K1908">
        <v>1.0806236985</v>
      </c>
      <c r="L1908">
        <v>1.0252044121999999</v>
      </c>
      <c r="M1908">
        <v>1.4890468596999999</v>
      </c>
      <c r="N1908">
        <v>2.1203819165</v>
      </c>
      <c r="O1908">
        <v>1.8877104629999999</v>
      </c>
      <c r="P1908">
        <v>1.9795047180000001</v>
      </c>
      <c r="Q1908">
        <v>1.9206654088999999</v>
      </c>
      <c r="R1908">
        <v>1.7236364853999999</v>
      </c>
      <c r="S1908">
        <v>1.9132854116</v>
      </c>
      <c r="T1908">
        <v>1.7959820790000001</v>
      </c>
      <c r="U1908">
        <v>1.7102538630999999</v>
      </c>
      <c r="V1908">
        <v>1.6121997586000001</v>
      </c>
      <c r="W1908">
        <v>1.5796222591</v>
      </c>
      <c r="X1908">
        <v>1.5829923408</v>
      </c>
      <c r="Y1908">
        <v>1.7500134725000001</v>
      </c>
      <c r="Z1908">
        <v>1.4738612106</v>
      </c>
      <c r="AA1908">
        <v>1.5467674984999999</v>
      </c>
      <c r="AB1908">
        <v>1.286152695</v>
      </c>
    </row>
    <row r="1909" spans="1:28" hidden="1" x14ac:dyDescent="0.25">
      <c r="A1909" t="s">
        <v>339</v>
      </c>
      <c r="B1909" t="s">
        <v>343</v>
      </c>
      <c r="C1909">
        <v>115</v>
      </c>
      <c r="D1909" t="s">
        <v>4</v>
      </c>
      <c r="E1909">
        <v>5.8840320000000002E-2</v>
      </c>
      <c r="F1909">
        <v>4.5068520000000001E-2</v>
      </c>
      <c r="G1909">
        <v>4.3576440000000001E-2</v>
      </c>
      <c r="H1909">
        <v>4.5342525000000002E-2</v>
      </c>
      <c r="I1909">
        <v>4.5059175E-2</v>
      </c>
      <c r="J1909">
        <v>4.5966794999999998E-2</v>
      </c>
      <c r="K1909">
        <v>4.8975644999999998E-2</v>
      </c>
      <c r="L1909">
        <v>5.3584695000000002E-2</v>
      </c>
      <c r="M1909">
        <v>6.3978884999999999E-2</v>
      </c>
      <c r="N1909">
        <v>8.1178095000000006E-2</v>
      </c>
      <c r="O1909">
        <v>7.1231009999999997E-2</v>
      </c>
      <c r="P1909">
        <v>7.3341075000000006E-2</v>
      </c>
      <c r="Q1909">
        <v>6.9199035000000006E-2</v>
      </c>
      <c r="R1909">
        <v>6.3270989999999999E-2</v>
      </c>
      <c r="S1909">
        <v>6.983673E-2</v>
      </c>
      <c r="T1909">
        <v>6.7196850000000002E-2</v>
      </c>
      <c r="U1909">
        <v>6.9434385000000001E-2</v>
      </c>
      <c r="V1909">
        <v>6.4426545000000002E-2</v>
      </c>
      <c r="W1909">
        <v>6.9730139999999996E-2</v>
      </c>
      <c r="X1909">
        <v>6.8937015000000004E-2</v>
      </c>
      <c r="Y1909">
        <v>7.3817624999999998E-2</v>
      </c>
      <c r="Z1909">
        <v>7.1772000000000002E-2</v>
      </c>
      <c r="AA1909">
        <v>6.6776849999999999E-2</v>
      </c>
      <c r="AB1909">
        <v>6.0328590000000001E-2</v>
      </c>
    </row>
    <row r="1910" spans="1:28" hidden="1" x14ac:dyDescent="0.25">
      <c r="A1910" t="s">
        <v>339</v>
      </c>
      <c r="B1910" t="s">
        <v>344</v>
      </c>
      <c r="C1910">
        <v>115</v>
      </c>
      <c r="D1910" t="s">
        <v>2</v>
      </c>
      <c r="E1910">
        <v>14.081090155</v>
      </c>
      <c r="F1910">
        <v>12.518488124999999</v>
      </c>
      <c r="G1910">
        <v>12.098336375000001</v>
      </c>
      <c r="H1910">
        <v>11.703256815</v>
      </c>
      <c r="I1910">
        <v>11.6841291</v>
      </c>
      <c r="J1910">
        <v>12.527589525</v>
      </c>
      <c r="K1910">
        <v>13.76441955</v>
      </c>
      <c r="L1910">
        <v>14.816629055</v>
      </c>
      <c r="M1910">
        <v>17.461075300000001</v>
      </c>
      <c r="N1910">
        <v>17.863448784999999</v>
      </c>
      <c r="O1910">
        <v>16.03681061</v>
      </c>
      <c r="P1910">
        <v>17.264911564999998</v>
      </c>
      <c r="Q1910">
        <v>18.323920524999998</v>
      </c>
      <c r="R1910">
        <v>17.270408849999999</v>
      </c>
      <c r="S1910">
        <v>19.74511103</v>
      </c>
      <c r="T1910">
        <v>17.408094120000001</v>
      </c>
      <c r="U1910">
        <v>15.921353835</v>
      </c>
      <c r="V1910">
        <v>15.988798754999999</v>
      </c>
      <c r="W1910">
        <v>17.729972419999999</v>
      </c>
      <c r="X1910">
        <v>18.550823155</v>
      </c>
      <c r="Y1910">
        <v>18.359020014999999</v>
      </c>
      <c r="Z1910">
        <v>17.9928177</v>
      </c>
      <c r="AA1910">
        <v>16.430445174999999</v>
      </c>
      <c r="AB1910">
        <v>15.075875144999999</v>
      </c>
    </row>
    <row r="1911" spans="1:28" hidden="1" x14ac:dyDescent="0.25">
      <c r="A1911" t="s">
        <v>339</v>
      </c>
      <c r="B1911" t="s">
        <v>344</v>
      </c>
      <c r="C1911">
        <v>115</v>
      </c>
      <c r="D1911" t="s">
        <v>3</v>
      </c>
      <c r="E1911">
        <v>4.3021112108999997</v>
      </c>
      <c r="F1911">
        <v>3.8246987635999998</v>
      </c>
      <c r="G1911">
        <v>3.6963323137000001</v>
      </c>
      <c r="H1911">
        <v>3.5756260200000001</v>
      </c>
      <c r="I1911">
        <v>3.5697820436000001</v>
      </c>
      <c r="J1911">
        <v>4.1685209082999997</v>
      </c>
      <c r="K1911">
        <v>4.5800726924999999</v>
      </c>
      <c r="L1911">
        <v>6.1490150361999998</v>
      </c>
      <c r="M1911">
        <v>8.3963563127</v>
      </c>
      <c r="N1911">
        <v>8.2197992739999997</v>
      </c>
      <c r="O1911">
        <v>7.2579309592000003</v>
      </c>
      <c r="P1911">
        <v>7.5445351282999997</v>
      </c>
      <c r="Q1911">
        <v>8.4735966790999999</v>
      </c>
      <c r="R1911">
        <v>8.8325860573000003</v>
      </c>
      <c r="S1911">
        <v>9.3737099751000006</v>
      </c>
      <c r="T1911">
        <v>7.6184903360999998</v>
      </c>
      <c r="U1911">
        <v>7.5270173292000004</v>
      </c>
      <c r="V1911">
        <v>6.8832949851</v>
      </c>
      <c r="W1911">
        <v>6.2558599149000003</v>
      </c>
      <c r="X1911">
        <v>5.8853881257999996</v>
      </c>
      <c r="Y1911">
        <v>5.4725419249999998</v>
      </c>
      <c r="Z1911">
        <v>5.3633826388000001</v>
      </c>
      <c r="AA1911">
        <v>4.8976633826000002</v>
      </c>
      <c r="AB1911">
        <v>4.4938868588999998</v>
      </c>
    </row>
    <row r="1912" spans="1:28" hidden="1" x14ac:dyDescent="0.25">
      <c r="A1912" t="s">
        <v>339</v>
      </c>
      <c r="B1912" t="s">
        <v>344</v>
      </c>
      <c r="C1912">
        <v>115</v>
      </c>
      <c r="D1912" t="s">
        <v>4</v>
      </c>
      <c r="E1912">
        <v>0.21443284500000001</v>
      </c>
      <c r="F1912">
        <v>0.19063687500000001</v>
      </c>
      <c r="G1912">
        <v>0.18423862499999999</v>
      </c>
      <c r="H1912">
        <v>0.17822218500000001</v>
      </c>
      <c r="I1912">
        <v>0.1779309</v>
      </c>
      <c r="J1912">
        <v>0.190775475</v>
      </c>
      <c r="K1912">
        <v>0.20961045</v>
      </c>
      <c r="L1912">
        <v>0.225633945</v>
      </c>
      <c r="M1912">
        <v>0.26590469999999999</v>
      </c>
      <c r="N1912">
        <v>0.27203221500000002</v>
      </c>
      <c r="O1912">
        <v>0.24421539</v>
      </c>
      <c r="P1912">
        <v>0.26291743499999998</v>
      </c>
      <c r="Q1912">
        <v>0.27904447500000001</v>
      </c>
      <c r="R1912">
        <v>0.26300115000000002</v>
      </c>
      <c r="S1912">
        <v>0.30068697</v>
      </c>
      <c r="T1912">
        <v>0.26509788000000001</v>
      </c>
      <c r="U1912">
        <v>0.242457165</v>
      </c>
      <c r="V1912">
        <v>0.24348424499999999</v>
      </c>
      <c r="W1912">
        <v>0.26999958000000002</v>
      </c>
      <c r="X1912">
        <v>0.28249984500000003</v>
      </c>
      <c r="Y1912">
        <v>0.279578985</v>
      </c>
      <c r="Z1912">
        <v>0.27400229999999998</v>
      </c>
      <c r="AA1912">
        <v>0.250209825</v>
      </c>
      <c r="AB1912">
        <v>0.229581855</v>
      </c>
    </row>
    <row r="1913" spans="1:28" hidden="1" x14ac:dyDescent="0.25">
      <c r="A1913" t="s">
        <v>339</v>
      </c>
      <c r="B1913" t="s">
        <v>345</v>
      </c>
      <c r="C1913">
        <v>115</v>
      </c>
      <c r="D1913" t="s">
        <v>2</v>
      </c>
      <c r="E1913">
        <v>15.815430875000001</v>
      </c>
      <c r="F1913">
        <v>15.418070054999999</v>
      </c>
      <c r="G1913">
        <v>14.799947095</v>
      </c>
      <c r="H1913">
        <v>14.99186154</v>
      </c>
      <c r="I1913">
        <v>15.3264818</v>
      </c>
      <c r="J1913">
        <v>16.076054979999999</v>
      </c>
      <c r="K1913">
        <v>17.496106824999998</v>
      </c>
      <c r="L1913">
        <v>17.361858219999998</v>
      </c>
      <c r="M1913">
        <v>18.514232374999999</v>
      </c>
      <c r="N1913">
        <v>19.168016274999999</v>
      </c>
      <c r="O1913">
        <v>19.254242189999999</v>
      </c>
      <c r="P1913">
        <v>19.638389235000002</v>
      </c>
      <c r="Q1913">
        <v>18.014576349999999</v>
      </c>
      <c r="R1913">
        <v>19.217093899999998</v>
      </c>
      <c r="S1913">
        <v>19.980732880000001</v>
      </c>
      <c r="T1913">
        <v>19.413349239999999</v>
      </c>
      <c r="U1913">
        <v>19.730644335000001</v>
      </c>
      <c r="V1913">
        <v>19.355142635</v>
      </c>
      <c r="W1913">
        <v>20.245844644999998</v>
      </c>
      <c r="X1913">
        <v>21.860545295000001</v>
      </c>
      <c r="Y1913">
        <v>21.77709905</v>
      </c>
      <c r="Z1913">
        <v>20.395178524999999</v>
      </c>
      <c r="AA1913">
        <v>18.467558149999999</v>
      </c>
      <c r="AB1913">
        <v>16.91990054</v>
      </c>
    </row>
    <row r="1914" spans="1:28" hidden="1" x14ac:dyDescent="0.25">
      <c r="A1914" t="s">
        <v>339</v>
      </c>
      <c r="B1914" t="s">
        <v>345</v>
      </c>
      <c r="C1914">
        <v>115</v>
      </c>
      <c r="D1914" t="s">
        <v>3</v>
      </c>
      <c r="E1914">
        <v>4.8319939524000004</v>
      </c>
      <c r="F1914">
        <v>4.7105906790000001</v>
      </c>
      <c r="G1914">
        <v>4.5217392700000003</v>
      </c>
      <c r="H1914">
        <v>4.5803737419999999</v>
      </c>
      <c r="I1914">
        <v>4.6826082675</v>
      </c>
      <c r="J1914">
        <v>5.3492630147</v>
      </c>
      <c r="K1914">
        <v>5.8217813545999997</v>
      </c>
      <c r="L1914">
        <v>7.2053047190999999</v>
      </c>
      <c r="M1914">
        <v>8.9027788499000007</v>
      </c>
      <c r="N1914">
        <v>8.8200911346000002</v>
      </c>
      <c r="O1914">
        <v>8.7140743807999996</v>
      </c>
      <c r="P1914">
        <v>8.5817130826000003</v>
      </c>
      <c r="Q1914">
        <v>8.3305455362000007</v>
      </c>
      <c r="R1914">
        <v>9.8281770348999995</v>
      </c>
      <c r="S1914">
        <v>9.4855680893999992</v>
      </c>
      <c r="T1914">
        <v>8.4960715721</v>
      </c>
      <c r="U1914">
        <v>9.3279066193000002</v>
      </c>
      <c r="V1914">
        <v>8.3325306845</v>
      </c>
      <c r="W1914">
        <v>7.1435626044999996</v>
      </c>
      <c r="X1914">
        <v>6.9354223598000004</v>
      </c>
      <c r="Y1914">
        <v>6.4914187936000003</v>
      </c>
      <c r="Z1914">
        <v>6.0794895073999999</v>
      </c>
      <c r="AA1914">
        <v>5.5048954762999998</v>
      </c>
      <c r="AB1914">
        <v>5.0435625103000001</v>
      </c>
    </row>
    <row r="1915" spans="1:28" hidden="1" x14ac:dyDescent="0.25">
      <c r="A1915" t="s">
        <v>339</v>
      </c>
      <c r="B1915" t="s">
        <v>345</v>
      </c>
      <c r="C1915">
        <v>115</v>
      </c>
      <c r="D1915" t="s">
        <v>4</v>
      </c>
      <c r="E1915">
        <v>0.24084412499999999</v>
      </c>
      <c r="F1915">
        <v>0.234792945</v>
      </c>
      <c r="G1915">
        <v>0.22537990499999999</v>
      </c>
      <c r="H1915">
        <v>0.22830246000000001</v>
      </c>
      <c r="I1915">
        <v>0.2333982</v>
      </c>
      <c r="J1915">
        <v>0.24481301999999999</v>
      </c>
      <c r="K1915">
        <v>0.266438175</v>
      </c>
      <c r="L1915">
        <v>0.26439378000000002</v>
      </c>
      <c r="M1915">
        <v>0.281942625</v>
      </c>
      <c r="N1915">
        <v>0.29189872500000003</v>
      </c>
      <c r="O1915">
        <v>0.29321181000000002</v>
      </c>
      <c r="P1915">
        <v>0.29906176499999998</v>
      </c>
      <c r="Q1915">
        <v>0.27433364999999998</v>
      </c>
      <c r="R1915">
        <v>0.29264610000000002</v>
      </c>
      <c r="S1915">
        <v>0.30427512000000001</v>
      </c>
      <c r="T1915">
        <v>0.29563476</v>
      </c>
      <c r="U1915">
        <v>0.30046666500000002</v>
      </c>
      <c r="V1915">
        <v>0.29474836500000001</v>
      </c>
      <c r="W1915">
        <v>0.30831235499999998</v>
      </c>
      <c r="X1915">
        <v>0.33290170499999999</v>
      </c>
      <c r="Y1915">
        <v>0.33163094999999998</v>
      </c>
      <c r="Z1915">
        <v>0.31058647499999997</v>
      </c>
      <c r="AA1915">
        <v>0.28123185000000001</v>
      </c>
      <c r="AB1915">
        <v>0.25766346000000001</v>
      </c>
    </row>
    <row r="1916" spans="1:28" hidden="1" x14ac:dyDescent="0.25">
      <c r="A1916" t="s">
        <v>339</v>
      </c>
      <c r="B1916" t="s">
        <v>346</v>
      </c>
      <c r="C1916">
        <v>13</v>
      </c>
      <c r="D1916" t="s">
        <v>2</v>
      </c>
      <c r="E1916">
        <v>8.0374987499999992</v>
      </c>
      <c r="F1916">
        <v>7.9871962500000002</v>
      </c>
      <c r="G1916">
        <v>7.5185384500000003</v>
      </c>
      <c r="H1916">
        <v>7.2356189500000001</v>
      </c>
      <c r="I1916">
        <v>7.3219824999999998</v>
      </c>
      <c r="J1916">
        <v>7.6314621000000002</v>
      </c>
      <c r="K1916">
        <v>8.6795363000000005</v>
      </c>
      <c r="L1916">
        <v>8.2841140000000006</v>
      </c>
      <c r="M1916">
        <v>8.63156225</v>
      </c>
      <c r="N1916">
        <v>9.8443293999999995</v>
      </c>
      <c r="O1916">
        <v>10.671264499999999</v>
      </c>
      <c r="P1916">
        <v>10.597622400000001</v>
      </c>
      <c r="Q1916">
        <v>9.9812196499999999</v>
      </c>
      <c r="R1916">
        <v>10.319569749999999</v>
      </c>
      <c r="S1916">
        <v>11.372043400000001</v>
      </c>
      <c r="T1916">
        <v>11.67362185</v>
      </c>
      <c r="U1916">
        <v>12.1377434</v>
      </c>
      <c r="V1916">
        <v>11.273218699999999</v>
      </c>
      <c r="W1916">
        <v>11.900380200000001</v>
      </c>
      <c r="X1916">
        <v>12.1202425</v>
      </c>
      <c r="Y1916">
        <v>11.6503896</v>
      </c>
      <c r="Z1916">
        <v>11.0493246</v>
      </c>
      <c r="AA1916">
        <v>10.172561999999999</v>
      </c>
      <c r="AB1916">
        <v>9.2398539</v>
      </c>
    </row>
    <row r="1917" spans="1:28" hidden="1" x14ac:dyDescent="0.25">
      <c r="A1917" t="s">
        <v>339</v>
      </c>
      <c r="B1917" t="s">
        <v>346</v>
      </c>
      <c r="C1917">
        <v>13</v>
      </c>
      <c r="D1917" t="s">
        <v>3</v>
      </c>
      <c r="E1917">
        <v>3.0322827909000001</v>
      </c>
      <c r="F1917">
        <v>3.0133053192000001</v>
      </c>
      <c r="G1917">
        <v>2.8364962115000001</v>
      </c>
      <c r="H1917">
        <v>2.9908750294000002</v>
      </c>
      <c r="I1917">
        <v>3.1204757363</v>
      </c>
      <c r="J1917">
        <v>3.2627108086000001</v>
      </c>
      <c r="K1917">
        <v>3.6018087987</v>
      </c>
      <c r="L1917">
        <v>4.1137040424000002</v>
      </c>
      <c r="M1917">
        <v>4.2070675184999997</v>
      </c>
      <c r="N1917">
        <v>4.5997774530999997</v>
      </c>
      <c r="O1917">
        <v>4.8855656563999998</v>
      </c>
      <c r="P1917">
        <v>4.9456529779</v>
      </c>
      <c r="Q1917">
        <v>4.5821095641999996</v>
      </c>
      <c r="R1917">
        <v>4.7374369974999997</v>
      </c>
      <c r="S1917">
        <v>5.1888714613999998</v>
      </c>
      <c r="T1917">
        <v>5.2750515016000001</v>
      </c>
      <c r="U1917">
        <v>5.4339039734999997</v>
      </c>
      <c r="V1917">
        <v>5.0468679282000002</v>
      </c>
      <c r="W1917">
        <v>5.0863868500000002</v>
      </c>
      <c r="X1917">
        <v>4.6124670006999997</v>
      </c>
      <c r="Y1917">
        <v>3.8400360973000001</v>
      </c>
      <c r="Z1917">
        <v>3.5828845649000001</v>
      </c>
      <c r="AA1917">
        <v>3.397401152</v>
      </c>
      <c r="AB1917">
        <v>3.0858981527</v>
      </c>
    </row>
    <row r="1918" spans="1:28" hidden="1" x14ac:dyDescent="0.25">
      <c r="A1918" t="s">
        <v>339</v>
      </c>
      <c r="B1918" t="s">
        <v>346</v>
      </c>
      <c r="C1918">
        <v>13</v>
      </c>
      <c r="D1918" t="s">
        <v>4</v>
      </c>
      <c r="E1918">
        <v>0.42302624999999999</v>
      </c>
      <c r="F1918">
        <v>0.42037875000000002</v>
      </c>
      <c r="G1918">
        <v>0.39571255</v>
      </c>
      <c r="H1918">
        <v>0.38082205000000002</v>
      </c>
      <c r="I1918">
        <v>0.38536749999999997</v>
      </c>
      <c r="J1918">
        <v>0.40165590000000001</v>
      </c>
      <c r="K1918">
        <v>0.45681769999999999</v>
      </c>
      <c r="L1918">
        <v>0.436006</v>
      </c>
      <c r="M1918">
        <v>0.45429275000000002</v>
      </c>
      <c r="N1918">
        <v>0.51812259999999999</v>
      </c>
      <c r="O1918">
        <v>0.56164550000000002</v>
      </c>
      <c r="P1918">
        <v>0.55776959999999998</v>
      </c>
      <c r="Q1918">
        <v>0.52532734999999997</v>
      </c>
      <c r="R1918">
        <v>0.54313524999999996</v>
      </c>
      <c r="S1918">
        <v>0.59852859999999997</v>
      </c>
      <c r="T1918">
        <v>0.61440114999999995</v>
      </c>
      <c r="U1918">
        <v>0.63882859999999997</v>
      </c>
      <c r="V1918">
        <v>0.5933273</v>
      </c>
      <c r="W1918">
        <v>0.6263358</v>
      </c>
      <c r="X1918">
        <v>0.63790749999999996</v>
      </c>
      <c r="Y1918">
        <v>0.61317840000000001</v>
      </c>
      <c r="Z1918">
        <v>0.58154340000000004</v>
      </c>
      <c r="AA1918">
        <v>0.53539800000000004</v>
      </c>
      <c r="AB1918">
        <v>0.48630810000000002</v>
      </c>
    </row>
    <row r="1919" spans="1:28" hidden="1" x14ac:dyDescent="0.25">
      <c r="A1919" t="s">
        <v>339</v>
      </c>
      <c r="B1919" t="s">
        <v>347</v>
      </c>
      <c r="C1919">
        <v>115</v>
      </c>
      <c r="D1919" t="s">
        <v>2</v>
      </c>
      <c r="E1919">
        <v>9.3632445200000003</v>
      </c>
      <c r="F1919">
        <v>8.872077225</v>
      </c>
      <c r="G1919">
        <v>8.5572062150000008</v>
      </c>
      <c r="H1919">
        <v>8.3541001999999995</v>
      </c>
      <c r="I1919">
        <v>8.1973965500000006</v>
      </c>
      <c r="J1919">
        <v>8.7937391900000001</v>
      </c>
      <c r="K1919">
        <v>9.6197995899999995</v>
      </c>
      <c r="L1919">
        <v>9.7526623000000008</v>
      </c>
      <c r="M1919">
        <v>9.9051255250000008</v>
      </c>
      <c r="N1919">
        <v>11.09936809</v>
      </c>
      <c r="O1919">
        <v>10.026303179999999</v>
      </c>
      <c r="P1919">
        <v>11.934116189999999</v>
      </c>
      <c r="Q1919">
        <v>11.609758644999999</v>
      </c>
      <c r="R1919">
        <v>10.627405339999999</v>
      </c>
      <c r="S1919">
        <v>12.631811389999999</v>
      </c>
      <c r="T1919">
        <v>13.026429970000001</v>
      </c>
      <c r="U1919">
        <v>13.456675015</v>
      </c>
      <c r="V1919">
        <v>12.86864085</v>
      </c>
      <c r="W1919">
        <v>13.66042719</v>
      </c>
      <c r="X1919">
        <v>13.829103515</v>
      </c>
      <c r="Y1919">
        <v>13.423025445</v>
      </c>
      <c r="Z1919">
        <v>13.279788715</v>
      </c>
      <c r="AA1919">
        <v>11.948311025000001</v>
      </c>
      <c r="AB1919">
        <v>10.911433045000001</v>
      </c>
    </row>
    <row r="1920" spans="1:28" hidden="1" x14ac:dyDescent="0.25">
      <c r="A1920" t="s">
        <v>339</v>
      </c>
      <c r="B1920" t="s">
        <v>347</v>
      </c>
      <c r="C1920">
        <v>115</v>
      </c>
      <c r="D1920" t="s">
        <v>3</v>
      </c>
      <c r="E1920">
        <v>3.8929733593</v>
      </c>
      <c r="F1920">
        <v>3.6187260228000002</v>
      </c>
      <c r="G1920">
        <v>3.6327024346000001</v>
      </c>
      <c r="H1920">
        <v>3.5711605594</v>
      </c>
      <c r="I1920">
        <v>3.5931153444000001</v>
      </c>
      <c r="J1920">
        <v>3.8524172197</v>
      </c>
      <c r="K1920">
        <v>4.2939273546000001</v>
      </c>
      <c r="L1920">
        <v>4.2970956091000003</v>
      </c>
      <c r="M1920">
        <v>4.2437151634000001</v>
      </c>
      <c r="N1920">
        <v>4.8904642051999998</v>
      </c>
      <c r="O1920">
        <v>4.4022089713000003</v>
      </c>
      <c r="P1920">
        <v>5.3480005916</v>
      </c>
      <c r="Q1920">
        <v>5.1150022776000004</v>
      </c>
      <c r="R1920">
        <v>4.5735828698000001</v>
      </c>
      <c r="S1920">
        <v>5.5071508935000004</v>
      </c>
      <c r="T1920">
        <v>5.5946884937999997</v>
      </c>
      <c r="U1920">
        <v>5.6935039334999997</v>
      </c>
      <c r="V1920">
        <v>5.5106850742000004</v>
      </c>
      <c r="W1920">
        <v>5.4448095220999999</v>
      </c>
      <c r="X1920">
        <v>5.0586454842000004</v>
      </c>
      <c r="Y1920">
        <v>4.8124500909999997</v>
      </c>
      <c r="Z1920">
        <v>4.7628727341000001</v>
      </c>
      <c r="AA1920">
        <v>4.3974197583999999</v>
      </c>
      <c r="AB1920">
        <v>4.2153680042000001</v>
      </c>
    </row>
    <row r="1921" spans="1:28" hidden="1" x14ac:dyDescent="0.25">
      <c r="A1921" t="s">
        <v>339</v>
      </c>
      <c r="B1921" t="s">
        <v>347</v>
      </c>
      <c r="C1921">
        <v>115</v>
      </c>
      <c r="D1921" t="s">
        <v>4</v>
      </c>
      <c r="E1921">
        <v>0.14258747999999999</v>
      </c>
      <c r="F1921">
        <v>0.13510777500000001</v>
      </c>
      <c r="G1921">
        <v>0.13031278499999999</v>
      </c>
      <c r="H1921">
        <v>0.12721979999999999</v>
      </c>
      <c r="I1921">
        <v>0.12483345</v>
      </c>
      <c r="J1921">
        <v>0.13391481</v>
      </c>
      <c r="K1921">
        <v>0.14649440999999999</v>
      </c>
      <c r="L1921">
        <v>0.1485177</v>
      </c>
      <c r="M1921">
        <v>0.150839475</v>
      </c>
      <c r="N1921">
        <v>0.16902591</v>
      </c>
      <c r="O1921">
        <v>0.15268482</v>
      </c>
      <c r="P1921">
        <v>0.18173781</v>
      </c>
      <c r="Q1921">
        <v>0.17679835499999999</v>
      </c>
      <c r="R1921">
        <v>0.16183866</v>
      </c>
      <c r="S1921">
        <v>0.19236260999999999</v>
      </c>
      <c r="T1921">
        <v>0.19837203</v>
      </c>
      <c r="U1921">
        <v>0.204923985</v>
      </c>
      <c r="V1921">
        <v>0.19596915000000001</v>
      </c>
      <c r="W1921">
        <v>0.20802681000000001</v>
      </c>
      <c r="X1921">
        <v>0.210595485</v>
      </c>
      <c r="Y1921">
        <v>0.20441155499999999</v>
      </c>
      <c r="Z1921">
        <v>0.20223028500000001</v>
      </c>
      <c r="AA1921">
        <v>0.18195397499999999</v>
      </c>
      <c r="AB1921">
        <v>0.166163955</v>
      </c>
    </row>
    <row r="1922" spans="1:28" hidden="1" x14ac:dyDescent="0.25">
      <c r="A1922" t="s">
        <v>339</v>
      </c>
      <c r="B1922" t="s">
        <v>348</v>
      </c>
      <c r="C1922">
        <v>34</v>
      </c>
      <c r="D1922" t="s">
        <v>2</v>
      </c>
      <c r="E1922">
        <v>15.80375216</v>
      </c>
      <c r="F1922">
        <v>15.615278249999999</v>
      </c>
      <c r="G1922">
        <v>15.06770743</v>
      </c>
      <c r="H1922">
        <v>15.53463633</v>
      </c>
      <c r="I1922">
        <v>14.8031506</v>
      </c>
      <c r="J1922">
        <v>15.6787502</v>
      </c>
      <c r="K1922">
        <v>18.344175369999999</v>
      </c>
      <c r="L1922">
        <v>18.697429970000002</v>
      </c>
      <c r="M1922">
        <v>17.29575281</v>
      </c>
      <c r="N1922">
        <v>19.60957432</v>
      </c>
      <c r="O1922">
        <v>20.36581348</v>
      </c>
      <c r="P1922">
        <v>14.57079098</v>
      </c>
      <c r="Q1922">
        <v>19.840362540000001</v>
      </c>
      <c r="R1922">
        <v>14.36400735</v>
      </c>
      <c r="S1922">
        <v>13.65823632</v>
      </c>
      <c r="T1922">
        <v>24.35401989</v>
      </c>
      <c r="U1922">
        <v>26.279777379999999</v>
      </c>
      <c r="V1922">
        <v>23.67199252</v>
      </c>
      <c r="W1922">
        <v>24.547077049999999</v>
      </c>
      <c r="X1922">
        <v>26.972822010000002</v>
      </c>
      <c r="Y1922">
        <v>26.584525190000001</v>
      </c>
      <c r="Z1922">
        <v>23.162423390000001</v>
      </c>
      <c r="AA1922">
        <v>20.60367785</v>
      </c>
      <c r="AB1922">
        <v>19.925998020000002</v>
      </c>
    </row>
    <row r="1923" spans="1:28" hidden="1" x14ac:dyDescent="0.25">
      <c r="A1923" t="s">
        <v>339</v>
      </c>
      <c r="B1923" t="s">
        <v>348</v>
      </c>
      <c r="C1923">
        <v>34</v>
      </c>
      <c r="D1923" t="s">
        <v>3</v>
      </c>
      <c r="E1923">
        <v>10.2672255005</v>
      </c>
      <c r="F1923">
        <v>8.5151215344000004</v>
      </c>
      <c r="G1923">
        <v>8.5509700706</v>
      </c>
      <c r="H1923">
        <v>9.1097290147999992</v>
      </c>
      <c r="I1923">
        <v>8.8338476953999994</v>
      </c>
      <c r="J1923">
        <v>9.4272604494000003</v>
      </c>
      <c r="K1923">
        <v>11.1258033544</v>
      </c>
      <c r="L1923">
        <v>11.6077651215</v>
      </c>
      <c r="M1923">
        <v>10.166818577300001</v>
      </c>
      <c r="N1923">
        <v>10.920475247800001</v>
      </c>
      <c r="O1923">
        <v>11.0498371322</v>
      </c>
      <c r="P1923">
        <v>7.9099936937999997</v>
      </c>
      <c r="Q1923">
        <v>10.4432873422</v>
      </c>
      <c r="R1923">
        <v>7.3573083595000002</v>
      </c>
      <c r="S1923">
        <v>7.1119388086999997</v>
      </c>
      <c r="T1923">
        <v>12.8144476096</v>
      </c>
      <c r="U1923">
        <v>13.905481973400001</v>
      </c>
      <c r="V1923">
        <v>12.4029654452</v>
      </c>
      <c r="W1923">
        <v>11.439968482299999</v>
      </c>
      <c r="X1923">
        <v>11.3394075684</v>
      </c>
      <c r="Y1923">
        <v>10.744465243</v>
      </c>
      <c r="Z1923">
        <v>9.9778408078999998</v>
      </c>
      <c r="AA1923">
        <v>9.8870152858000004</v>
      </c>
      <c r="AB1923">
        <v>10.0817499419</v>
      </c>
    </row>
    <row r="1924" spans="1:28" hidden="1" x14ac:dyDescent="0.25">
      <c r="A1924" t="s">
        <v>339</v>
      </c>
      <c r="B1924" t="s">
        <v>348</v>
      </c>
      <c r="C1924">
        <v>34</v>
      </c>
      <c r="D1924" t="s">
        <v>4</v>
      </c>
      <c r="E1924">
        <v>0.48877584000000002</v>
      </c>
      <c r="F1924">
        <v>0.48294674999999998</v>
      </c>
      <c r="G1924">
        <v>0.46601156999999999</v>
      </c>
      <c r="H1924">
        <v>0.48045267000000003</v>
      </c>
      <c r="I1924">
        <v>0.4578294</v>
      </c>
      <c r="J1924">
        <v>0.4849098</v>
      </c>
      <c r="K1924">
        <v>0.56734563000000005</v>
      </c>
      <c r="L1924">
        <v>0.57827103000000002</v>
      </c>
      <c r="M1924">
        <v>0.53492019000000002</v>
      </c>
      <c r="N1924">
        <v>0.60648168000000002</v>
      </c>
      <c r="O1924">
        <v>0.62987051999999999</v>
      </c>
      <c r="P1924">
        <v>0.45064302000000001</v>
      </c>
      <c r="Q1924">
        <v>0.61361946000000001</v>
      </c>
      <c r="R1924">
        <v>0.44424764999999999</v>
      </c>
      <c r="S1924">
        <v>0.42241968000000002</v>
      </c>
      <c r="T1924">
        <v>0.75321711000000002</v>
      </c>
      <c r="U1924">
        <v>0.81277661999999995</v>
      </c>
      <c r="V1924">
        <v>0.73212348000000005</v>
      </c>
      <c r="W1924">
        <v>0.75918794999999994</v>
      </c>
      <c r="X1924">
        <v>0.83421098999999999</v>
      </c>
      <c r="Y1924">
        <v>0.82220181000000003</v>
      </c>
      <c r="Z1924">
        <v>0.71636361000000004</v>
      </c>
      <c r="AA1924">
        <v>0.63722714999999996</v>
      </c>
      <c r="AB1924">
        <v>0.61626798000000005</v>
      </c>
    </row>
    <row r="1925" spans="1:28" hidden="1" x14ac:dyDescent="0.25">
      <c r="A1925" t="s">
        <v>339</v>
      </c>
      <c r="B1925" t="s">
        <v>349</v>
      </c>
      <c r="C1925">
        <v>14</v>
      </c>
      <c r="D1925" t="s">
        <v>2</v>
      </c>
      <c r="E1925">
        <v>5.1451848</v>
      </c>
      <c r="F1925">
        <v>4.9078947499999996</v>
      </c>
      <c r="G1925">
        <v>4.7140519999999997</v>
      </c>
      <c r="H1925">
        <v>4.6559290999999998</v>
      </c>
      <c r="I1925">
        <v>4.6548337499999999</v>
      </c>
      <c r="J1925">
        <v>4.99578875</v>
      </c>
      <c r="K1925">
        <v>5.5566734999999996</v>
      </c>
      <c r="L1925">
        <v>5.2928062499999999</v>
      </c>
      <c r="M1925">
        <v>5.2209681999999997</v>
      </c>
      <c r="N1925">
        <v>5.5388476999999998</v>
      </c>
      <c r="O1925">
        <v>5.9842323999999998</v>
      </c>
      <c r="P1925">
        <v>5.9549856999999999</v>
      </c>
      <c r="Q1925">
        <v>5.6573811000000003</v>
      </c>
      <c r="R1925">
        <v>6.1525705000000004</v>
      </c>
      <c r="S1925">
        <v>6.3701622999999996</v>
      </c>
      <c r="T1925">
        <v>6.4408764999999999</v>
      </c>
      <c r="U1925">
        <v>6.7338488999999999</v>
      </c>
      <c r="V1925">
        <v>6.4186113499999999</v>
      </c>
      <c r="W1925">
        <v>6.9327902999999997</v>
      </c>
      <c r="X1925">
        <v>7.4464591000000002</v>
      </c>
      <c r="Y1925">
        <v>7.6431471000000002</v>
      </c>
      <c r="Z1925">
        <v>7.42096205</v>
      </c>
      <c r="AA1925">
        <v>6.8168342500000003</v>
      </c>
      <c r="AB1925">
        <v>6.1137363999999996</v>
      </c>
    </row>
    <row r="1926" spans="1:28" hidden="1" x14ac:dyDescent="0.25">
      <c r="A1926" t="s">
        <v>339</v>
      </c>
      <c r="B1926" t="s">
        <v>349</v>
      </c>
      <c r="C1926">
        <v>14</v>
      </c>
      <c r="D1926" t="s">
        <v>3</v>
      </c>
      <c r="E1926">
        <v>2.3075092601999998</v>
      </c>
      <c r="F1926">
        <v>2.1009497812000002</v>
      </c>
      <c r="G1926">
        <v>2.1185806046</v>
      </c>
      <c r="H1926">
        <v>2.1492863864</v>
      </c>
      <c r="I1926">
        <v>2.2047593569999999</v>
      </c>
      <c r="J1926">
        <v>2.3602476531000001</v>
      </c>
      <c r="K1926">
        <v>2.6666196041000001</v>
      </c>
      <c r="L1926">
        <v>2.6527199128999999</v>
      </c>
      <c r="M1926">
        <v>2.4872258035999999</v>
      </c>
      <c r="N1926">
        <v>2.5675928226</v>
      </c>
      <c r="O1926">
        <v>2.7303300286000001</v>
      </c>
      <c r="P1926">
        <v>2.7256457773</v>
      </c>
      <c r="Q1926">
        <v>2.5658669618999999</v>
      </c>
      <c r="R1926">
        <v>2.7321450262</v>
      </c>
      <c r="S1926">
        <v>2.8708928107</v>
      </c>
      <c r="T1926">
        <v>2.7815257282000001</v>
      </c>
      <c r="U1926">
        <v>2.8598715568999999</v>
      </c>
      <c r="V1926">
        <v>2.7308328978</v>
      </c>
      <c r="W1926">
        <v>2.7635069578000002</v>
      </c>
      <c r="X1926">
        <v>2.5719078621999998</v>
      </c>
      <c r="Y1926">
        <v>2.5478042990000001</v>
      </c>
      <c r="Z1926">
        <v>2.4690435685000001</v>
      </c>
      <c r="AA1926">
        <v>2.4024925118999998</v>
      </c>
      <c r="AB1926">
        <v>2.3706579414000002</v>
      </c>
    </row>
    <row r="1927" spans="1:28" hidden="1" x14ac:dyDescent="0.25">
      <c r="A1927" t="s">
        <v>339</v>
      </c>
      <c r="B1927" t="s">
        <v>349</v>
      </c>
      <c r="C1927">
        <v>14</v>
      </c>
      <c r="D1927" t="s">
        <v>4</v>
      </c>
      <c r="E1927">
        <v>0.27079920000000002</v>
      </c>
      <c r="F1927">
        <v>0.25831025000000002</v>
      </c>
      <c r="G1927">
        <v>0.248108</v>
      </c>
      <c r="H1927">
        <v>0.24504889999999999</v>
      </c>
      <c r="I1927">
        <v>0.24499124999999999</v>
      </c>
      <c r="J1927">
        <v>0.26293624999999998</v>
      </c>
      <c r="K1927">
        <v>0.29245650000000001</v>
      </c>
      <c r="L1927">
        <v>0.27856874999999998</v>
      </c>
      <c r="M1927">
        <v>0.27478780000000003</v>
      </c>
      <c r="N1927">
        <v>0.29151830000000001</v>
      </c>
      <c r="O1927">
        <v>0.31495960000000001</v>
      </c>
      <c r="P1927">
        <v>0.31342029999999999</v>
      </c>
      <c r="Q1927">
        <v>0.29775689999999999</v>
      </c>
      <c r="R1927">
        <v>0.32381949999999998</v>
      </c>
      <c r="S1927">
        <v>0.33527170000000001</v>
      </c>
      <c r="T1927">
        <v>0.3389935</v>
      </c>
      <c r="U1927">
        <v>0.35441309999999998</v>
      </c>
      <c r="V1927">
        <v>0.33782164999999997</v>
      </c>
      <c r="W1927">
        <v>0.36488369999999998</v>
      </c>
      <c r="X1927">
        <v>0.39191890000000001</v>
      </c>
      <c r="Y1927">
        <v>0.40227089999999999</v>
      </c>
      <c r="Z1927">
        <v>0.39057694999999998</v>
      </c>
      <c r="AA1927">
        <v>0.35878074999999998</v>
      </c>
      <c r="AB1927">
        <v>0.32177559999999999</v>
      </c>
    </row>
    <row r="1928" spans="1:28" hidden="1" x14ac:dyDescent="0.25">
      <c r="A1928" t="s">
        <v>339</v>
      </c>
      <c r="B1928" t="s">
        <v>350</v>
      </c>
      <c r="C1928">
        <v>115</v>
      </c>
      <c r="D1928" t="s">
        <v>2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0</v>
      </c>
      <c r="AA1928">
        <v>0</v>
      </c>
      <c r="AB1928">
        <v>0</v>
      </c>
    </row>
    <row r="1929" spans="1:28" hidden="1" x14ac:dyDescent="0.25">
      <c r="A1929" t="s">
        <v>339</v>
      </c>
      <c r="B1929" t="s">
        <v>350</v>
      </c>
      <c r="C1929">
        <v>115</v>
      </c>
      <c r="D1929" t="s">
        <v>3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0</v>
      </c>
      <c r="AA1929">
        <v>0</v>
      </c>
      <c r="AB1929">
        <v>0</v>
      </c>
    </row>
    <row r="1930" spans="1:28" hidden="1" x14ac:dyDescent="0.25">
      <c r="A1930" t="s">
        <v>339</v>
      </c>
      <c r="B1930" t="s">
        <v>350</v>
      </c>
      <c r="C1930">
        <v>115</v>
      </c>
      <c r="D1930" t="s">
        <v>4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</row>
    <row r="1931" spans="1:28" hidden="1" x14ac:dyDescent="0.25">
      <c r="A1931" t="s">
        <v>339</v>
      </c>
      <c r="B1931" t="s">
        <v>351</v>
      </c>
      <c r="C1931">
        <v>115</v>
      </c>
      <c r="D1931" t="s">
        <v>2</v>
      </c>
      <c r="E1931">
        <v>5.622337645</v>
      </c>
      <c r="F1931">
        <v>5.4503576300000001</v>
      </c>
      <c r="G1931">
        <v>5.4621362600000003</v>
      </c>
      <c r="H1931">
        <v>5.4016641549999997</v>
      </c>
      <c r="I1931">
        <v>5.4656320249999997</v>
      </c>
      <c r="J1931">
        <v>5.6771095550000004</v>
      </c>
      <c r="K1931">
        <v>5.9842453600000001</v>
      </c>
      <c r="L1931">
        <v>6.0286373400000004</v>
      </c>
      <c r="M1931">
        <v>6.7501931800000001</v>
      </c>
      <c r="N1931">
        <v>7.4034826100000002</v>
      </c>
      <c r="O1931">
        <v>7.5449010300000001</v>
      </c>
      <c r="P1931">
        <v>7.6113353400000001</v>
      </c>
      <c r="Q1931">
        <v>7.2461387100000003</v>
      </c>
      <c r="R1931">
        <v>7.2755596750000002</v>
      </c>
      <c r="S1931">
        <v>7.8424872600000004</v>
      </c>
      <c r="T1931">
        <v>7.6550250149999997</v>
      </c>
      <c r="U1931">
        <v>7.8880307050000003</v>
      </c>
      <c r="V1931">
        <v>7.3963246150000002</v>
      </c>
      <c r="W1931">
        <v>7.9211798949999999</v>
      </c>
      <c r="X1931">
        <v>8.1528735650000002</v>
      </c>
      <c r="Y1931">
        <v>7.8250202550000001</v>
      </c>
      <c r="Z1931">
        <v>7.5214590149999996</v>
      </c>
      <c r="AA1931">
        <v>6.9660037250000002</v>
      </c>
      <c r="AB1931">
        <v>6.3754499300000003</v>
      </c>
    </row>
    <row r="1932" spans="1:28" hidden="1" x14ac:dyDescent="0.25">
      <c r="A1932" t="s">
        <v>339</v>
      </c>
      <c r="B1932" t="s">
        <v>351</v>
      </c>
      <c r="C1932">
        <v>115</v>
      </c>
      <c r="D1932" t="s">
        <v>3</v>
      </c>
      <c r="E1932">
        <v>2.8249403915000002</v>
      </c>
      <c r="F1932">
        <v>2.6505251273999999</v>
      </c>
      <c r="G1932">
        <v>2.7775868737999998</v>
      </c>
      <c r="H1932">
        <v>2.9014001532</v>
      </c>
      <c r="I1932">
        <v>2.6901681338999999</v>
      </c>
      <c r="J1932">
        <v>2.6944779607</v>
      </c>
      <c r="K1932">
        <v>2.8896526842000001</v>
      </c>
      <c r="L1932">
        <v>3.2044553227999999</v>
      </c>
      <c r="M1932">
        <v>3.4996262524000001</v>
      </c>
      <c r="N1932">
        <v>3.7641769918999999</v>
      </c>
      <c r="O1932">
        <v>3.7947190700000002</v>
      </c>
      <c r="P1932">
        <v>3.9002457111000002</v>
      </c>
      <c r="Q1932">
        <v>3.4911789516999998</v>
      </c>
      <c r="R1932">
        <v>3.5961412608000001</v>
      </c>
      <c r="S1932">
        <v>4.0518631969000003</v>
      </c>
      <c r="T1932">
        <v>3.8971697964000001</v>
      </c>
      <c r="U1932">
        <v>3.9019721551000002</v>
      </c>
      <c r="V1932">
        <v>3.9300194497000001</v>
      </c>
      <c r="W1932">
        <v>4.1837631043999997</v>
      </c>
      <c r="X1932">
        <v>3.8951181216999999</v>
      </c>
      <c r="Y1932">
        <v>3.9978213872000001</v>
      </c>
      <c r="Z1932">
        <v>3.4744766739999999</v>
      </c>
      <c r="AA1932">
        <v>3.2446434470000001</v>
      </c>
      <c r="AB1932">
        <v>3.4296572860999999</v>
      </c>
    </row>
    <row r="1933" spans="1:28" hidden="1" x14ac:dyDescent="0.25">
      <c r="A1933" t="s">
        <v>339</v>
      </c>
      <c r="B1933" t="s">
        <v>351</v>
      </c>
      <c r="C1933">
        <v>115</v>
      </c>
      <c r="D1933" t="s">
        <v>4</v>
      </c>
      <c r="E1933">
        <v>8.5619354999999994E-2</v>
      </c>
      <c r="F1933">
        <v>8.3000370000000004E-2</v>
      </c>
      <c r="G1933">
        <v>8.3179740000000002E-2</v>
      </c>
      <c r="H1933">
        <v>8.2258844999999997E-2</v>
      </c>
      <c r="I1933">
        <v>8.3232975000000001E-2</v>
      </c>
      <c r="J1933">
        <v>8.6453445000000004E-2</v>
      </c>
      <c r="K1933">
        <v>9.1130639999999999E-2</v>
      </c>
      <c r="L1933">
        <v>9.1806659999999998E-2</v>
      </c>
      <c r="M1933">
        <v>0.10279482</v>
      </c>
      <c r="N1933">
        <v>0.11274339</v>
      </c>
      <c r="O1933">
        <v>0.11489697</v>
      </c>
      <c r="P1933">
        <v>0.11590866</v>
      </c>
      <c r="Q1933">
        <v>0.11034729</v>
      </c>
      <c r="R1933">
        <v>0.110795325</v>
      </c>
      <c r="S1933">
        <v>0.11942874000000001</v>
      </c>
      <c r="T1933">
        <v>0.116573985</v>
      </c>
      <c r="U1933">
        <v>0.120122295</v>
      </c>
      <c r="V1933">
        <v>0.112634385</v>
      </c>
      <c r="W1933">
        <v>0.120627105</v>
      </c>
      <c r="X1933">
        <v>0.12415543499999999</v>
      </c>
      <c r="Y1933">
        <v>0.119162745</v>
      </c>
      <c r="Z1933">
        <v>0.114539985</v>
      </c>
      <c r="AA1933">
        <v>0.106081275</v>
      </c>
      <c r="AB1933">
        <v>9.7088069999999999E-2</v>
      </c>
    </row>
    <row r="1934" spans="1:28" hidden="1" x14ac:dyDescent="0.25">
      <c r="A1934" t="s">
        <v>339</v>
      </c>
      <c r="B1934" t="s">
        <v>352</v>
      </c>
      <c r="C1934">
        <v>115</v>
      </c>
      <c r="D1934" t="s">
        <v>2</v>
      </c>
      <c r="E1934">
        <v>20.263246639999998</v>
      </c>
      <c r="F1934">
        <v>20.348428455000001</v>
      </c>
      <c r="G1934">
        <v>20.430408034999999</v>
      </c>
      <c r="H1934">
        <v>20.472869415000002</v>
      </c>
      <c r="I1934">
        <v>20.775290025</v>
      </c>
      <c r="J1934">
        <v>18.466416535</v>
      </c>
      <c r="K1934">
        <v>22.803055350000001</v>
      </c>
      <c r="L1934">
        <v>18.216153644999999</v>
      </c>
      <c r="M1934">
        <v>13.330156690000001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17.270578270000001</v>
      </c>
      <c r="W1934">
        <v>23.732409744999998</v>
      </c>
      <c r="X1934">
        <v>22.31520849</v>
      </c>
      <c r="Y1934">
        <v>21.979303789999999</v>
      </c>
      <c r="Z1934">
        <v>21.547892505</v>
      </c>
      <c r="AA1934">
        <v>20.885871049999999</v>
      </c>
      <c r="AB1934">
        <v>20.705964739999999</v>
      </c>
    </row>
    <row r="1935" spans="1:28" hidden="1" x14ac:dyDescent="0.25">
      <c r="A1935" t="s">
        <v>339</v>
      </c>
      <c r="B1935" t="s">
        <v>352</v>
      </c>
      <c r="C1935">
        <v>115</v>
      </c>
      <c r="D1935" t="s">
        <v>3</v>
      </c>
      <c r="E1935">
        <v>5.0125408245000003</v>
      </c>
      <c r="F1935">
        <v>5.1219972188999998</v>
      </c>
      <c r="G1935">
        <v>5.1194496656000004</v>
      </c>
      <c r="H1935">
        <v>5.1193382247999999</v>
      </c>
      <c r="I1935">
        <v>5.2004176842999996</v>
      </c>
      <c r="J1935">
        <v>4.6377999216000001</v>
      </c>
      <c r="K1935">
        <v>5.6870144637999998</v>
      </c>
      <c r="L1935">
        <v>4.5661947719000002</v>
      </c>
      <c r="M1935">
        <v>3.6633804086000001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4.6473310295000001</v>
      </c>
      <c r="W1935">
        <v>5.9156666809000003</v>
      </c>
      <c r="X1935">
        <v>5.5643675699999999</v>
      </c>
      <c r="Y1935">
        <v>5.4989169003000002</v>
      </c>
      <c r="Z1935">
        <v>5.3956991586000003</v>
      </c>
      <c r="AA1935">
        <v>5.2134568695999999</v>
      </c>
      <c r="AB1935">
        <v>5.1712732817999996</v>
      </c>
    </row>
    <row r="1936" spans="1:28" hidden="1" x14ac:dyDescent="0.25">
      <c r="A1936" t="s">
        <v>339</v>
      </c>
      <c r="B1936" t="s">
        <v>352</v>
      </c>
      <c r="C1936">
        <v>115</v>
      </c>
      <c r="D1936" t="s">
        <v>4</v>
      </c>
      <c r="E1936">
        <v>0.30857736000000002</v>
      </c>
      <c r="F1936">
        <v>0.309874545</v>
      </c>
      <c r="G1936">
        <v>0.31112296499999997</v>
      </c>
      <c r="H1936">
        <v>0.31176958500000002</v>
      </c>
      <c r="I1936">
        <v>0.316374975</v>
      </c>
      <c r="J1936">
        <v>0.28121446500000002</v>
      </c>
      <c r="K1936">
        <v>0.34725465</v>
      </c>
      <c r="L1936">
        <v>0.27740335500000002</v>
      </c>
      <c r="M1936">
        <v>0.20299730999999999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0.26300372999999999</v>
      </c>
      <c r="W1936">
        <v>0.36140725499999998</v>
      </c>
      <c r="X1936">
        <v>0.33982551</v>
      </c>
      <c r="Y1936">
        <v>0.33471021000000001</v>
      </c>
      <c r="Z1936">
        <v>0.32814049499999998</v>
      </c>
      <c r="AA1936">
        <v>0.31805895000000001</v>
      </c>
      <c r="AB1936">
        <v>0.31531925999999999</v>
      </c>
    </row>
    <row r="1937" spans="1:28" hidden="1" x14ac:dyDescent="0.25">
      <c r="A1937" t="s">
        <v>339</v>
      </c>
      <c r="B1937" t="s">
        <v>353</v>
      </c>
      <c r="C1937">
        <v>115</v>
      </c>
      <c r="D1937" t="s">
        <v>2</v>
      </c>
      <c r="E1937">
        <v>6.7024581100000002</v>
      </c>
      <c r="F1937">
        <v>5.3562014800000002</v>
      </c>
      <c r="G1937">
        <v>5.197024495</v>
      </c>
      <c r="H1937">
        <v>4.9443907100000004</v>
      </c>
      <c r="I1937">
        <v>5.091302475</v>
      </c>
      <c r="J1937">
        <v>5.4546482899999997</v>
      </c>
      <c r="K1937">
        <v>6.0388655800000004</v>
      </c>
      <c r="L1937">
        <v>7.16107608</v>
      </c>
      <c r="M1937">
        <v>10.17976421</v>
      </c>
      <c r="N1937">
        <v>9.3568213349999994</v>
      </c>
      <c r="O1937">
        <v>8.32888026</v>
      </c>
      <c r="P1937">
        <v>7.7185713050000002</v>
      </c>
      <c r="Q1937">
        <v>9.3506128799999999</v>
      </c>
      <c r="R1937">
        <v>9.1592224550000001</v>
      </c>
      <c r="S1937">
        <v>9.9432420700000002</v>
      </c>
      <c r="T1937">
        <v>6.6936364499999996</v>
      </c>
      <c r="U1937">
        <v>4.4327245800000004</v>
      </c>
      <c r="V1937">
        <v>5.1592310299999999</v>
      </c>
      <c r="W1937">
        <v>6.3873181949999998</v>
      </c>
      <c r="X1937">
        <v>7.1927152650000004</v>
      </c>
      <c r="Y1937">
        <v>7.4039918550000001</v>
      </c>
      <c r="Z1937">
        <v>7.1232481400000003</v>
      </c>
      <c r="AA1937">
        <v>6.6989209750000001</v>
      </c>
      <c r="AB1937">
        <v>6.1999367200000002</v>
      </c>
    </row>
    <row r="1938" spans="1:28" hidden="1" x14ac:dyDescent="0.25">
      <c r="A1938" t="s">
        <v>339</v>
      </c>
      <c r="B1938" t="s">
        <v>353</v>
      </c>
      <c r="C1938">
        <v>115</v>
      </c>
      <c r="D1938" t="s">
        <v>3</v>
      </c>
      <c r="E1938">
        <v>2.9141133905999999</v>
      </c>
      <c r="F1938">
        <v>2.0521139345999999</v>
      </c>
      <c r="G1938">
        <v>2.1566461508999999</v>
      </c>
      <c r="H1938">
        <v>2.1927158702999998</v>
      </c>
      <c r="I1938">
        <v>2.3279629643000002</v>
      </c>
      <c r="J1938">
        <v>2.5480644914999999</v>
      </c>
      <c r="K1938">
        <v>3.0492032976000001</v>
      </c>
      <c r="L1938">
        <v>4.0970809514999997</v>
      </c>
      <c r="M1938">
        <v>5.4944546629</v>
      </c>
      <c r="N1938">
        <v>4.9448502326000003</v>
      </c>
      <c r="O1938">
        <v>4.2309789238000004</v>
      </c>
      <c r="P1938">
        <v>4.0248481471000002</v>
      </c>
      <c r="Q1938">
        <v>4.4045443596</v>
      </c>
      <c r="R1938">
        <v>4.2212170928999999</v>
      </c>
      <c r="S1938">
        <v>4.5320124459000004</v>
      </c>
      <c r="T1938">
        <v>2.8607512388999998</v>
      </c>
      <c r="U1938">
        <v>1.8505769848</v>
      </c>
      <c r="V1938">
        <v>2.2246423509</v>
      </c>
      <c r="W1938">
        <v>2.3288651746000002</v>
      </c>
      <c r="X1938">
        <v>2.6320235889000001</v>
      </c>
      <c r="Y1938">
        <v>2.4675627569</v>
      </c>
      <c r="Z1938">
        <v>2.5619315475</v>
      </c>
      <c r="AA1938">
        <v>2.4720513515999998</v>
      </c>
      <c r="AB1938">
        <v>2.5251788717000001</v>
      </c>
    </row>
    <row r="1939" spans="1:28" hidden="1" x14ac:dyDescent="0.25">
      <c r="A1939" t="s">
        <v>339</v>
      </c>
      <c r="B1939" t="s">
        <v>353</v>
      </c>
      <c r="C1939">
        <v>115</v>
      </c>
      <c r="D1939" t="s">
        <v>4</v>
      </c>
      <c r="E1939">
        <v>0.10206788999999999</v>
      </c>
      <c r="F1939">
        <v>8.1566520000000003E-2</v>
      </c>
      <c r="G1939">
        <v>7.9142505000000002E-2</v>
      </c>
      <c r="H1939">
        <v>7.5295290000000001E-2</v>
      </c>
      <c r="I1939">
        <v>7.7532525000000005E-2</v>
      </c>
      <c r="J1939">
        <v>8.3065710000000001E-2</v>
      </c>
      <c r="K1939">
        <v>9.1962420000000003E-2</v>
      </c>
      <c r="L1939">
        <v>0.10905192</v>
      </c>
      <c r="M1939">
        <v>0.15502178999999999</v>
      </c>
      <c r="N1939">
        <v>0.14248966499999999</v>
      </c>
      <c r="O1939">
        <v>0.12683574</v>
      </c>
      <c r="P1939">
        <v>0.117541695</v>
      </c>
      <c r="Q1939">
        <v>0.14239511999999999</v>
      </c>
      <c r="R1939">
        <v>0.13948054500000001</v>
      </c>
      <c r="S1939">
        <v>0.15141993000000001</v>
      </c>
      <c r="T1939">
        <v>0.10193355</v>
      </c>
      <c r="U1939">
        <v>6.7503419999999995E-2</v>
      </c>
      <c r="V1939">
        <v>7.856697E-2</v>
      </c>
      <c r="W1939">
        <v>9.7268805E-2</v>
      </c>
      <c r="X1939">
        <v>0.10953373499999999</v>
      </c>
      <c r="Y1939">
        <v>0.112751145</v>
      </c>
      <c r="Z1939">
        <v>0.10847585999999999</v>
      </c>
      <c r="AA1939">
        <v>0.10201402499999999</v>
      </c>
      <c r="AB1939">
        <v>9.4415280000000004E-2</v>
      </c>
    </row>
    <row r="1940" spans="1:28" hidden="1" x14ac:dyDescent="0.25">
      <c r="A1940" t="s">
        <v>339</v>
      </c>
      <c r="B1940" t="s">
        <v>354</v>
      </c>
      <c r="C1940">
        <v>14</v>
      </c>
      <c r="D1940" t="s">
        <v>2</v>
      </c>
      <c r="E1940">
        <v>2.6297614999999999</v>
      </c>
      <c r="F1940">
        <v>2.64382435</v>
      </c>
      <c r="G1940">
        <v>2.4513885499999999</v>
      </c>
      <c r="H1940">
        <v>2.4608762</v>
      </c>
      <c r="I1940">
        <v>2.3466852500000002</v>
      </c>
      <c r="J1940">
        <v>2.4821181999999999</v>
      </c>
      <c r="K1940">
        <v>2.6550657000000002</v>
      </c>
      <c r="L1940">
        <v>2.6165964000000002</v>
      </c>
      <c r="M1940">
        <v>2.9640209</v>
      </c>
      <c r="N1940">
        <v>3.10374215</v>
      </c>
      <c r="O1940">
        <v>3.6557463000000001</v>
      </c>
      <c r="P1940">
        <v>3.4268171999999999</v>
      </c>
      <c r="Q1940">
        <v>3.3835788999999998</v>
      </c>
      <c r="R1940">
        <v>3.3385517500000002</v>
      </c>
      <c r="S1940">
        <v>3.7244997</v>
      </c>
      <c r="T1940">
        <v>3.8729780499999999</v>
      </c>
      <c r="U1940">
        <v>4.0866796000000001</v>
      </c>
      <c r="V1940">
        <v>3.4506166</v>
      </c>
      <c r="W1940">
        <v>3.5619261999999998</v>
      </c>
      <c r="X1940">
        <v>3.8539647499999998</v>
      </c>
      <c r="Y1940">
        <v>3.7988656999999999</v>
      </c>
      <c r="Z1940">
        <v>3.7243781</v>
      </c>
      <c r="AA1940">
        <v>3.5266755000000001</v>
      </c>
      <c r="AB1940">
        <v>3.2448313999999998</v>
      </c>
    </row>
    <row r="1941" spans="1:28" hidden="1" x14ac:dyDescent="0.25">
      <c r="A1941" t="s">
        <v>339</v>
      </c>
      <c r="B1941" t="s">
        <v>354</v>
      </c>
      <c r="C1941">
        <v>14</v>
      </c>
      <c r="D1941" t="s">
        <v>3</v>
      </c>
      <c r="E1941">
        <v>0.95264293410000001</v>
      </c>
      <c r="F1941">
        <v>0.84587219899999999</v>
      </c>
      <c r="G1941">
        <v>0.88443937289999996</v>
      </c>
      <c r="H1941">
        <v>0.97692975550000005</v>
      </c>
      <c r="I1941">
        <v>0.93159771599999996</v>
      </c>
      <c r="J1941">
        <v>1.0611903424</v>
      </c>
      <c r="K1941">
        <v>1.2357649998</v>
      </c>
      <c r="L1941">
        <v>1.4346416202000001</v>
      </c>
      <c r="M1941">
        <v>1.5033013902000001</v>
      </c>
      <c r="N1941">
        <v>1.4869980482</v>
      </c>
      <c r="O1941">
        <v>1.6285633462</v>
      </c>
      <c r="P1941">
        <v>1.4986960488000001</v>
      </c>
      <c r="Q1941">
        <v>1.2912421704999999</v>
      </c>
      <c r="R1941">
        <v>1.2563896004999999</v>
      </c>
      <c r="S1941">
        <v>1.3789413962999999</v>
      </c>
      <c r="T1941">
        <v>1.3807629157000001</v>
      </c>
      <c r="U1941">
        <v>1.4714419247999999</v>
      </c>
      <c r="V1941">
        <v>1.2424223156</v>
      </c>
      <c r="W1941">
        <v>1.2422919663000001</v>
      </c>
      <c r="X1941">
        <v>1.2901080576999999</v>
      </c>
      <c r="Y1941">
        <v>1.1624915735000001</v>
      </c>
      <c r="Z1941">
        <v>1.1396976097</v>
      </c>
      <c r="AA1941">
        <v>1.1650335328000001</v>
      </c>
      <c r="AB1941">
        <v>1.1845922456</v>
      </c>
    </row>
    <row r="1942" spans="1:28" hidden="1" x14ac:dyDescent="0.25">
      <c r="A1942" t="s">
        <v>339</v>
      </c>
      <c r="B1942" t="s">
        <v>354</v>
      </c>
      <c r="C1942">
        <v>14</v>
      </c>
      <c r="D1942" t="s">
        <v>4</v>
      </c>
      <c r="E1942">
        <v>0.13840849999999999</v>
      </c>
      <c r="F1942">
        <v>0.13914865000000001</v>
      </c>
      <c r="G1942">
        <v>0.12902045000000001</v>
      </c>
      <c r="H1942">
        <v>0.12951979999999999</v>
      </c>
      <c r="I1942">
        <v>0.12350975</v>
      </c>
      <c r="J1942">
        <v>0.1306378</v>
      </c>
      <c r="K1942">
        <v>0.13974030000000001</v>
      </c>
      <c r="L1942">
        <v>0.13771559999999999</v>
      </c>
      <c r="M1942">
        <v>0.1560011</v>
      </c>
      <c r="N1942">
        <v>0.16335485</v>
      </c>
      <c r="O1942">
        <v>0.19240769999999999</v>
      </c>
      <c r="P1942">
        <v>0.18035880000000001</v>
      </c>
      <c r="Q1942">
        <v>0.17808309999999999</v>
      </c>
      <c r="R1942">
        <v>0.17571324999999999</v>
      </c>
      <c r="S1942">
        <v>0.19602629999999999</v>
      </c>
      <c r="T1942">
        <v>0.20384094999999999</v>
      </c>
      <c r="U1942">
        <v>0.21508840000000001</v>
      </c>
      <c r="V1942">
        <v>0.18161140000000001</v>
      </c>
      <c r="W1942">
        <v>0.18746979999999999</v>
      </c>
      <c r="X1942">
        <v>0.20284025</v>
      </c>
      <c r="Y1942">
        <v>0.19994029999999999</v>
      </c>
      <c r="Z1942">
        <v>0.1960199</v>
      </c>
      <c r="AA1942">
        <v>0.18561449999999999</v>
      </c>
      <c r="AB1942">
        <v>0.1707806</v>
      </c>
    </row>
    <row r="1943" spans="1:28" hidden="1" x14ac:dyDescent="0.25">
      <c r="A1943" t="s">
        <v>339</v>
      </c>
      <c r="B1943" t="s">
        <v>355</v>
      </c>
      <c r="C1943">
        <v>115</v>
      </c>
      <c r="D1943" t="s">
        <v>2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</row>
    <row r="1944" spans="1:28" hidden="1" x14ac:dyDescent="0.25">
      <c r="A1944" t="s">
        <v>339</v>
      </c>
      <c r="B1944" t="s">
        <v>355</v>
      </c>
      <c r="C1944">
        <v>115</v>
      </c>
      <c r="D1944" t="s">
        <v>3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</row>
    <row r="1945" spans="1:28" hidden="1" x14ac:dyDescent="0.25">
      <c r="A1945" t="s">
        <v>339</v>
      </c>
      <c r="B1945" t="s">
        <v>355</v>
      </c>
      <c r="C1945">
        <v>115</v>
      </c>
      <c r="D1945" t="s">
        <v>4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0</v>
      </c>
      <c r="AA1945">
        <v>0</v>
      </c>
      <c r="AB1945">
        <v>0</v>
      </c>
    </row>
    <row r="1946" spans="1:28" hidden="1" x14ac:dyDescent="0.25">
      <c r="A1946" t="s">
        <v>339</v>
      </c>
      <c r="B1946" t="s">
        <v>598</v>
      </c>
      <c r="C1946">
        <v>115</v>
      </c>
      <c r="D1946" t="s">
        <v>2</v>
      </c>
      <c r="E1946">
        <v>13.977908449999999</v>
      </c>
      <c r="F1946">
        <v>13.4215312</v>
      </c>
      <c r="G1946">
        <v>13.045162700000001</v>
      </c>
      <c r="H1946">
        <v>12.960235015</v>
      </c>
      <c r="I1946">
        <v>12.857589150000001</v>
      </c>
      <c r="J1946">
        <v>14.23748353</v>
      </c>
      <c r="K1946">
        <v>15.783200689999999</v>
      </c>
      <c r="L1946">
        <v>15.505363709999999</v>
      </c>
      <c r="M1946">
        <v>15.9517007</v>
      </c>
      <c r="N1946">
        <v>18.170267419999998</v>
      </c>
      <c r="O1946">
        <v>17.84212058</v>
      </c>
      <c r="P1946">
        <v>17.62712857</v>
      </c>
      <c r="Q1946">
        <v>17.114668529999999</v>
      </c>
      <c r="R1946">
        <v>17.751245465</v>
      </c>
      <c r="S1946">
        <v>18.579402930000001</v>
      </c>
      <c r="T1946">
        <v>19.119520784999999</v>
      </c>
      <c r="U1946">
        <v>19.609127839999999</v>
      </c>
      <c r="V1946">
        <v>18.11885436</v>
      </c>
      <c r="W1946">
        <v>18.833673784999998</v>
      </c>
      <c r="X1946">
        <v>20.149204324999999</v>
      </c>
      <c r="Y1946">
        <v>20.115147950000001</v>
      </c>
      <c r="Z1946">
        <v>19.365594470000001</v>
      </c>
      <c r="AA1946">
        <v>17.5012042</v>
      </c>
      <c r="AB1946">
        <v>16.263437440000001</v>
      </c>
    </row>
    <row r="1947" spans="1:28" hidden="1" x14ac:dyDescent="0.25">
      <c r="A1947" t="s">
        <v>339</v>
      </c>
      <c r="B1947" t="s">
        <v>598</v>
      </c>
      <c r="C1947">
        <v>115</v>
      </c>
      <c r="D1947" t="s">
        <v>3</v>
      </c>
      <c r="E1947">
        <v>3.8781321496999999</v>
      </c>
      <c r="F1947">
        <v>3.1959831791000002</v>
      </c>
      <c r="G1947">
        <v>3.2258425899000001</v>
      </c>
      <c r="H1947">
        <v>3.2492741171000001</v>
      </c>
      <c r="I1947">
        <v>3.2083375571000001</v>
      </c>
      <c r="J1947">
        <v>3.5582791180000002</v>
      </c>
      <c r="K1947">
        <v>4.1185100588000001</v>
      </c>
      <c r="L1947">
        <v>4.3031693747000004</v>
      </c>
      <c r="M1947">
        <v>4.5010797815999997</v>
      </c>
      <c r="N1947">
        <v>5.0828781540000003</v>
      </c>
      <c r="O1947">
        <v>5.5421008297999999</v>
      </c>
      <c r="P1947">
        <v>5.5395488042999999</v>
      </c>
      <c r="Q1947">
        <v>5.5668005250999997</v>
      </c>
      <c r="R1947">
        <v>5.9253918144000002</v>
      </c>
      <c r="S1947">
        <v>6.026605601</v>
      </c>
      <c r="T1947">
        <v>5.9868010297999996</v>
      </c>
      <c r="U1947">
        <v>6.1458720266000002</v>
      </c>
      <c r="V1947">
        <v>5.5763139417999996</v>
      </c>
      <c r="W1947">
        <v>5.5809329559999998</v>
      </c>
      <c r="X1947">
        <v>5.1719819494000001</v>
      </c>
      <c r="Y1947">
        <v>4.8555807427</v>
      </c>
      <c r="Z1947">
        <v>4.5617093112999996</v>
      </c>
      <c r="AA1947">
        <v>4.0796503564000002</v>
      </c>
      <c r="AB1947">
        <v>4.0965783504999997</v>
      </c>
    </row>
    <row r="1948" spans="1:28" hidden="1" x14ac:dyDescent="0.25">
      <c r="A1948" t="s">
        <v>339</v>
      </c>
      <c r="B1948" t="s">
        <v>598</v>
      </c>
      <c r="C1948">
        <v>115</v>
      </c>
      <c r="D1948" t="s">
        <v>4</v>
      </c>
      <c r="E1948">
        <v>0.21286155000000001</v>
      </c>
      <c r="F1948">
        <v>0.20438880000000001</v>
      </c>
      <c r="G1948">
        <v>0.19865730000000001</v>
      </c>
      <c r="H1948">
        <v>0.19736398499999999</v>
      </c>
      <c r="I1948">
        <v>0.19580085</v>
      </c>
      <c r="J1948">
        <v>0.21681447000000001</v>
      </c>
      <c r="K1948">
        <v>0.24035330999999999</v>
      </c>
      <c r="L1948">
        <v>0.23612229000000001</v>
      </c>
      <c r="M1948">
        <v>0.2429193</v>
      </c>
      <c r="N1948">
        <v>0.27670457999999998</v>
      </c>
      <c r="O1948">
        <v>0.27170741999999998</v>
      </c>
      <c r="P1948">
        <v>0.26843342999999997</v>
      </c>
      <c r="Q1948">
        <v>0.26062946999999997</v>
      </c>
      <c r="R1948">
        <v>0.270323535</v>
      </c>
      <c r="S1948">
        <v>0.28293507000000001</v>
      </c>
      <c r="T1948">
        <v>0.291160215</v>
      </c>
      <c r="U1948">
        <v>0.29861616000000002</v>
      </c>
      <c r="V1948">
        <v>0.27592164000000002</v>
      </c>
      <c r="W1948">
        <v>0.286807215</v>
      </c>
      <c r="X1948">
        <v>0.30684067500000001</v>
      </c>
      <c r="Y1948">
        <v>0.30632205000000001</v>
      </c>
      <c r="Z1948">
        <v>0.29490752999999997</v>
      </c>
      <c r="AA1948">
        <v>0.26651580000000002</v>
      </c>
      <c r="AB1948">
        <v>0.24766656000000001</v>
      </c>
    </row>
    <row r="1949" spans="1:28" hidden="1" x14ac:dyDescent="0.25">
      <c r="A1949" t="s">
        <v>356</v>
      </c>
      <c r="B1949" t="s">
        <v>357</v>
      </c>
      <c r="C1949">
        <v>115</v>
      </c>
      <c r="D1949" t="s">
        <v>2</v>
      </c>
      <c r="E1949">
        <v>8.7837128750000009</v>
      </c>
      <c r="F1949">
        <v>7.8011537049999999</v>
      </c>
      <c r="G1949">
        <v>7.6225761600000004</v>
      </c>
      <c r="H1949">
        <v>7.5463519349999997</v>
      </c>
      <c r="I1949">
        <v>7.5310992099999998</v>
      </c>
      <c r="J1949">
        <v>7.5840104549999996</v>
      </c>
      <c r="K1949">
        <v>7.5220903999999997</v>
      </c>
      <c r="L1949">
        <v>8.3669485399999992</v>
      </c>
      <c r="M1949">
        <v>9.0496185499999999</v>
      </c>
      <c r="N1949">
        <v>9.5278153650000004</v>
      </c>
      <c r="O1949">
        <v>10.15309238</v>
      </c>
      <c r="P1949">
        <v>10.505350050000001</v>
      </c>
      <c r="Q1949">
        <v>9.7623369699999998</v>
      </c>
      <c r="R1949">
        <v>10.266316160000001</v>
      </c>
      <c r="S1949">
        <v>10.868261479999999</v>
      </c>
      <c r="T1949">
        <v>10.797601520000001</v>
      </c>
      <c r="U1949">
        <v>10.38389364</v>
      </c>
      <c r="V1949">
        <v>9.8877678549999999</v>
      </c>
      <c r="W1949">
        <v>11.053240539999999</v>
      </c>
      <c r="X1949">
        <v>11.108430090000001</v>
      </c>
      <c r="Y1949">
        <v>10.797685245</v>
      </c>
      <c r="Z1949">
        <v>10.258799625</v>
      </c>
      <c r="AA1949">
        <v>9.449340415</v>
      </c>
      <c r="AB1949">
        <v>8.85134987</v>
      </c>
    </row>
    <row r="1950" spans="1:28" hidden="1" x14ac:dyDescent="0.25">
      <c r="A1950" t="s">
        <v>356</v>
      </c>
      <c r="B1950" t="s">
        <v>357</v>
      </c>
      <c r="C1950">
        <v>115</v>
      </c>
      <c r="D1950" t="s">
        <v>3</v>
      </c>
      <c r="E1950">
        <v>3.2955806604000002</v>
      </c>
      <c r="F1950">
        <v>3.1879395299</v>
      </c>
      <c r="G1950">
        <v>3.1580635882000001</v>
      </c>
      <c r="H1950">
        <v>3.1562039791999998</v>
      </c>
      <c r="I1950">
        <v>3.1141672039000001</v>
      </c>
      <c r="J1950">
        <v>3.0891342335999998</v>
      </c>
      <c r="K1950">
        <v>3.2601483111</v>
      </c>
      <c r="L1950">
        <v>3.4774633440999998</v>
      </c>
      <c r="M1950">
        <v>3.6631321426999999</v>
      </c>
      <c r="N1950">
        <v>3.8407197415000001</v>
      </c>
      <c r="O1950">
        <v>4.0315759625999998</v>
      </c>
      <c r="P1950">
        <v>4.1125434475000002</v>
      </c>
      <c r="Q1950">
        <v>3.9764145254000001</v>
      </c>
      <c r="R1950">
        <v>4.1654957147999996</v>
      </c>
      <c r="S1950">
        <v>4.2861753129000002</v>
      </c>
      <c r="T1950">
        <v>4.2749536110999999</v>
      </c>
      <c r="U1950">
        <v>4.1774104953000002</v>
      </c>
      <c r="V1950">
        <v>3.8820291720000002</v>
      </c>
      <c r="W1950">
        <v>3.6915274779999998</v>
      </c>
      <c r="X1950">
        <v>3.5725113904999999</v>
      </c>
      <c r="Y1950">
        <v>3.5332931681000002</v>
      </c>
      <c r="Z1950">
        <v>3.4937747269999999</v>
      </c>
      <c r="AA1950">
        <v>3.451860999</v>
      </c>
      <c r="AB1950">
        <v>3.4223269112999999</v>
      </c>
    </row>
    <row r="1951" spans="1:28" hidden="1" x14ac:dyDescent="0.25">
      <c r="A1951" t="s">
        <v>356</v>
      </c>
      <c r="B1951" t="s">
        <v>357</v>
      </c>
      <c r="C1951">
        <v>115</v>
      </c>
      <c r="D1951" t="s">
        <v>4</v>
      </c>
      <c r="E1951">
        <v>0.13376212500000001</v>
      </c>
      <c r="F1951">
        <v>0.118799295</v>
      </c>
      <c r="G1951">
        <v>0.11607984</v>
      </c>
      <c r="H1951">
        <v>0.114919065</v>
      </c>
      <c r="I1951">
        <v>0.11468679</v>
      </c>
      <c r="J1951">
        <v>0.115492545</v>
      </c>
      <c r="K1951">
        <v>0.1145496</v>
      </c>
      <c r="L1951">
        <v>0.12741546000000001</v>
      </c>
      <c r="M1951">
        <v>0.13781145</v>
      </c>
      <c r="N1951">
        <v>0.145093635</v>
      </c>
      <c r="O1951">
        <v>0.15461562000000001</v>
      </c>
      <c r="P1951">
        <v>0.15997995000000001</v>
      </c>
      <c r="Q1951">
        <v>0.14866503</v>
      </c>
      <c r="R1951">
        <v>0.15633984000000001</v>
      </c>
      <c r="S1951">
        <v>0.16550651999999999</v>
      </c>
      <c r="T1951">
        <v>0.16443047999999999</v>
      </c>
      <c r="U1951">
        <v>0.15813036</v>
      </c>
      <c r="V1951">
        <v>0.15057514499999999</v>
      </c>
      <c r="W1951">
        <v>0.16832346000000001</v>
      </c>
      <c r="X1951">
        <v>0.16916391</v>
      </c>
      <c r="Y1951">
        <v>0.16443175500000001</v>
      </c>
      <c r="Z1951">
        <v>0.156225375</v>
      </c>
      <c r="AA1951">
        <v>0.143898585</v>
      </c>
      <c r="AB1951">
        <v>0.13479213000000001</v>
      </c>
    </row>
    <row r="1952" spans="1:28" hidden="1" x14ac:dyDescent="0.25">
      <c r="A1952" t="s">
        <v>356</v>
      </c>
      <c r="B1952" t="s">
        <v>358</v>
      </c>
      <c r="C1952">
        <v>34</v>
      </c>
      <c r="D1952" t="s">
        <v>2</v>
      </c>
      <c r="E1952">
        <v>21.354244449999999</v>
      </c>
      <c r="F1952">
        <v>20.773989480000001</v>
      </c>
      <c r="G1952">
        <v>19.931941210000002</v>
      </c>
      <c r="H1952">
        <v>19.411744760000001</v>
      </c>
      <c r="I1952">
        <v>18.83233757</v>
      </c>
      <c r="J1952">
        <v>17.939497190000001</v>
      </c>
      <c r="K1952">
        <v>17.616860639999999</v>
      </c>
      <c r="L1952">
        <v>19.256133479999999</v>
      </c>
      <c r="M1952">
        <v>21.400344669999999</v>
      </c>
      <c r="N1952">
        <v>22.913685319999999</v>
      </c>
      <c r="O1952">
        <v>24.179952419999999</v>
      </c>
      <c r="P1952">
        <v>24.962936419999998</v>
      </c>
      <c r="Q1952">
        <v>24.400191889999999</v>
      </c>
      <c r="R1952">
        <v>27.262166220000001</v>
      </c>
      <c r="S1952">
        <v>28.607662919999999</v>
      </c>
      <c r="T1952">
        <v>28.047673190000001</v>
      </c>
      <c r="U1952">
        <v>26.519552650000001</v>
      </c>
      <c r="V1952">
        <v>25.33187689</v>
      </c>
      <c r="W1952">
        <v>27.168980260000001</v>
      </c>
      <c r="X1952">
        <v>27.613865910000001</v>
      </c>
      <c r="Y1952">
        <v>27.998217740000001</v>
      </c>
      <c r="Z1952">
        <v>27.724942550000002</v>
      </c>
      <c r="AA1952">
        <v>26.130972589999999</v>
      </c>
      <c r="AB1952">
        <v>24.386596369999999</v>
      </c>
    </row>
    <row r="1953" spans="1:28" hidden="1" x14ac:dyDescent="0.25">
      <c r="A1953" t="s">
        <v>356</v>
      </c>
      <c r="B1953" t="s">
        <v>358</v>
      </c>
      <c r="C1953">
        <v>34</v>
      </c>
      <c r="D1953" t="s">
        <v>3</v>
      </c>
      <c r="E1953">
        <v>6.0568594875999997</v>
      </c>
      <c r="F1953">
        <v>6.1351950973999996</v>
      </c>
      <c r="G1953">
        <v>6.1654123235</v>
      </c>
      <c r="H1953">
        <v>6.2274822382000004</v>
      </c>
      <c r="I1953">
        <v>6.1664691128999998</v>
      </c>
      <c r="J1953">
        <v>6.0908914530000002</v>
      </c>
      <c r="K1953">
        <v>6.3501395769000002</v>
      </c>
      <c r="L1953">
        <v>6.9858489952999996</v>
      </c>
      <c r="M1953">
        <v>7.4272871145000003</v>
      </c>
      <c r="N1953">
        <v>7.4497397661000004</v>
      </c>
      <c r="O1953">
        <v>7.3785042670000003</v>
      </c>
      <c r="P1953">
        <v>7.2158195471999997</v>
      </c>
      <c r="Q1953">
        <v>7.0788226223999997</v>
      </c>
      <c r="R1953">
        <v>7.9059370661999999</v>
      </c>
      <c r="S1953">
        <v>8.2369484078999999</v>
      </c>
      <c r="T1953">
        <v>7.9030351564999997</v>
      </c>
      <c r="U1953">
        <v>7.2859241778000001</v>
      </c>
      <c r="V1953">
        <v>6.7462052144999998</v>
      </c>
      <c r="W1953">
        <v>6.8139381508000003</v>
      </c>
      <c r="X1953">
        <v>6.8868163683999999</v>
      </c>
      <c r="Y1953">
        <v>7.0949971785999999</v>
      </c>
      <c r="Z1953">
        <v>7.1296190019000001</v>
      </c>
      <c r="AA1953">
        <v>6.7932220364000004</v>
      </c>
      <c r="AB1953">
        <v>6.5571427376999996</v>
      </c>
    </row>
    <row r="1954" spans="1:28" hidden="1" x14ac:dyDescent="0.25">
      <c r="A1954" t="s">
        <v>356</v>
      </c>
      <c r="B1954" t="s">
        <v>358</v>
      </c>
      <c r="C1954">
        <v>34</v>
      </c>
      <c r="D1954" t="s">
        <v>4</v>
      </c>
      <c r="E1954">
        <v>0.66044055000000002</v>
      </c>
      <c r="F1954">
        <v>0.64249451999999996</v>
      </c>
      <c r="G1954">
        <v>0.61645179000000005</v>
      </c>
      <c r="H1954">
        <v>0.60036323999999996</v>
      </c>
      <c r="I1954">
        <v>0.58244342999999998</v>
      </c>
      <c r="J1954">
        <v>0.55482980999999998</v>
      </c>
      <c r="K1954">
        <v>0.54485136000000001</v>
      </c>
      <c r="L1954">
        <v>0.59555051999999997</v>
      </c>
      <c r="M1954">
        <v>0.66186632999999995</v>
      </c>
      <c r="N1954">
        <v>0.70867068</v>
      </c>
      <c r="O1954">
        <v>0.74783358</v>
      </c>
      <c r="P1954">
        <v>0.77204958000000001</v>
      </c>
      <c r="Q1954">
        <v>0.75464511000000001</v>
      </c>
      <c r="R1954">
        <v>0.84315978000000003</v>
      </c>
      <c r="S1954">
        <v>0.88477307999999999</v>
      </c>
      <c r="T1954">
        <v>0.86745380999999999</v>
      </c>
      <c r="U1954">
        <v>0.82019235000000001</v>
      </c>
      <c r="V1954">
        <v>0.78346011000000004</v>
      </c>
      <c r="W1954">
        <v>0.84027774</v>
      </c>
      <c r="X1954">
        <v>0.85403709000000005</v>
      </c>
      <c r="Y1954">
        <v>0.86592426</v>
      </c>
      <c r="Z1954">
        <v>0.85747245000000005</v>
      </c>
      <c r="AA1954">
        <v>0.80817441000000001</v>
      </c>
      <c r="AB1954">
        <v>0.75422462999999995</v>
      </c>
    </row>
    <row r="1955" spans="1:28" hidden="1" x14ac:dyDescent="0.25">
      <c r="A1955" t="s">
        <v>356</v>
      </c>
      <c r="B1955" t="s">
        <v>359</v>
      </c>
      <c r="C1955">
        <v>115</v>
      </c>
      <c r="D1955" t="s">
        <v>2</v>
      </c>
      <c r="E1955">
        <v>5.4790812149999999</v>
      </c>
      <c r="F1955">
        <v>5.4215483500000001</v>
      </c>
      <c r="G1955">
        <v>5.2716884799999999</v>
      </c>
      <c r="H1955">
        <v>5.2256968600000002</v>
      </c>
      <c r="I1955">
        <v>5.221659345</v>
      </c>
      <c r="J1955">
        <v>5.272172115</v>
      </c>
      <c r="K1955">
        <v>5.1811502349999996</v>
      </c>
      <c r="L1955">
        <v>5.8073167049999999</v>
      </c>
      <c r="M1955">
        <v>6.3945480950000002</v>
      </c>
      <c r="N1955">
        <v>6.83898896</v>
      </c>
      <c r="O1955">
        <v>7.2289051500000001</v>
      </c>
      <c r="P1955">
        <v>7.523960915</v>
      </c>
      <c r="Q1955">
        <v>6.9878697399999998</v>
      </c>
      <c r="R1955">
        <v>7.3158816350000002</v>
      </c>
      <c r="S1955">
        <v>7.75786788</v>
      </c>
      <c r="T1955">
        <v>7.7161304749999999</v>
      </c>
      <c r="U1955">
        <v>7.3829699849999999</v>
      </c>
      <c r="V1955">
        <v>6.9569397549999996</v>
      </c>
      <c r="W1955">
        <v>7.8995601300000002</v>
      </c>
      <c r="X1955">
        <v>8.0202393749999992</v>
      </c>
      <c r="Y1955">
        <v>7.7461857800000002</v>
      </c>
      <c r="Z1955">
        <v>7.27152216</v>
      </c>
      <c r="AA1955">
        <v>6.6936206900000004</v>
      </c>
      <c r="AB1955">
        <v>6.2056605549999997</v>
      </c>
    </row>
    <row r="1956" spans="1:28" hidden="1" x14ac:dyDescent="0.25">
      <c r="A1956" t="s">
        <v>356</v>
      </c>
      <c r="B1956" t="s">
        <v>359</v>
      </c>
      <c r="C1956">
        <v>115</v>
      </c>
      <c r="D1956" t="s">
        <v>3</v>
      </c>
      <c r="E1956">
        <v>0.25603011809999998</v>
      </c>
      <c r="F1956">
        <v>0.31371911499999999</v>
      </c>
      <c r="G1956">
        <v>0.36049779119999997</v>
      </c>
      <c r="H1956">
        <v>0.41906216880000002</v>
      </c>
      <c r="I1956">
        <v>0.43296487500000003</v>
      </c>
      <c r="J1956">
        <v>0.41271457459999999</v>
      </c>
      <c r="K1956">
        <v>0.43835732929999999</v>
      </c>
      <c r="L1956">
        <v>0.30318189499999998</v>
      </c>
      <c r="M1956">
        <v>0.22161338180000001</v>
      </c>
      <c r="N1956">
        <v>0.25233838409999998</v>
      </c>
      <c r="O1956">
        <v>0.29113436250000002</v>
      </c>
      <c r="P1956">
        <v>0.3299211769</v>
      </c>
      <c r="Q1956">
        <v>0.31117167369999998</v>
      </c>
      <c r="R1956">
        <v>0.33870592449999998</v>
      </c>
      <c r="S1956">
        <v>0.3540895979</v>
      </c>
      <c r="T1956">
        <v>0.40283510919999999</v>
      </c>
      <c r="U1956">
        <v>0.41551768220000002</v>
      </c>
      <c r="V1956">
        <v>0.2836237673</v>
      </c>
      <c r="W1956">
        <v>0.15801490509999999</v>
      </c>
      <c r="X1956">
        <v>6.2126370100000002E-2</v>
      </c>
      <c r="Y1956">
        <v>3.4642341700000003E-2</v>
      </c>
      <c r="Z1956">
        <v>7.9660313400000002E-2</v>
      </c>
      <c r="AA1956">
        <v>0.1845835324</v>
      </c>
      <c r="AB1956">
        <v>0.28187555530000002</v>
      </c>
    </row>
    <row r="1957" spans="1:28" hidden="1" x14ac:dyDescent="0.25">
      <c r="A1957" t="s">
        <v>356</v>
      </c>
      <c r="B1957" t="s">
        <v>359</v>
      </c>
      <c r="C1957">
        <v>115</v>
      </c>
      <c r="D1957" t="s">
        <v>4</v>
      </c>
      <c r="E1957">
        <v>8.3437785E-2</v>
      </c>
      <c r="F1957">
        <v>8.256165E-2</v>
      </c>
      <c r="G1957">
        <v>8.0279519999999993E-2</v>
      </c>
      <c r="H1957">
        <v>7.9579140000000007E-2</v>
      </c>
      <c r="I1957">
        <v>7.9517655000000007E-2</v>
      </c>
      <c r="J1957">
        <v>8.0286885000000002E-2</v>
      </c>
      <c r="K1957">
        <v>7.8900764999999998E-2</v>
      </c>
      <c r="L1957">
        <v>8.8436294999999998E-2</v>
      </c>
      <c r="M1957">
        <v>9.7378905000000002E-2</v>
      </c>
      <c r="N1957">
        <v>0.10414704</v>
      </c>
      <c r="O1957">
        <v>0.11008485</v>
      </c>
      <c r="P1957">
        <v>0.114578085</v>
      </c>
      <c r="Q1957">
        <v>0.10641426</v>
      </c>
      <c r="R1957">
        <v>0.111409365</v>
      </c>
      <c r="S1957">
        <v>0.11814012</v>
      </c>
      <c r="T1957">
        <v>0.117504525</v>
      </c>
      <c r="U1957">
        <v>0.112431015</v>
      </c>
      <c r="V1957">
        <v>0.10594324500000001</v>
      </c>
      <c r="W1957">
        <v>0.12029787</v>
      </c>
      <c r="X1957">
        <v>0.122135625</v>
      </c>
      <c r="Y1957">
        <v>0.11796222000000001</v>
      </c>
      <c r="Z1957">
        <v>0.11073384</v>
      </c>
      <c r="AA1957">
        <v>0.10193331</v>
      </c>
      <c r="AB1957">
        <v>9.4502445000000004E-2</v>
      </c>
    </row>
    <row r="1958" spans="1:28" hidden="1" x14ac:dyDescent="0.25">
      <c r="A1958" t="s">
        <v>360</v>
      </c>
      <c r="B1958" t="s">
        <v>361</v>
      </c>
      <c r="C1958">
        <v>115</v>
      </c>
      <c r="D1958" t="s">
        <v>2</v>
      </c>
      <c r="E1958">
        <v>12.082837400000001</v>
      </c>
      <c r="F1958">
        <v>11.86950807</v>
      </c>
      <c r="G1958">
        <v>11.20001736</v>
      </c>
      <c r="H1958">
        <v>10.7764319</v>
      </c>
      <c r="I1958">
        <v>10.75061702</v>
      </c>
      <c r="J1958">
        <v>10.623284099999999</v>
      </c>
      <c r="K1958">
        <v>10.080893850000001</v>
      </c>
      <c r="L1958">
        <v>11.208749385000001</v>
      </c>
      <c r="M1958">
        <v>11.454350270000001</v>
      </c>
      <c r="N1958">
        <v>12.13332456</v>
      </c>
      <c r="O1958">
        <v>12.660150825000001</v>
      </c>
      <c r="P1958">
        <v>12.9770795</v>
      </c>
      <c r="Q1958">
        <v>12.898289350000001</v>
      </c>
      <c r="R1958">
        <v>13.482396319999999</v>
      </c>
      <c r="S1958">
        <v>14.641318755</v>
      </c>
      <c r="T1958">
        <v>14.23861628</v>
      </c>
      <c r="U1958">
        <v>13.738161420000001</v>
      </c>
      <c r="V1958">
        <v>13.667539874999999</v>
      </c>
      <c r="W1958">
        <v>14.910708375</v>
      </c>
      <c r="X1958">
        <v>16.045668715000001</v>
      </c>
      <c r="Y1958">
        <v>16.110660984999999</v>
      </c>
      <c r="Z1958">
        <v>15.364345200000001</v>
      </c>
      <c r="AA1958">
        <v>14.305745999999999</v>
      </c>
      <c r="AB1958">
        <v>13.272595259999999</v>
      </c>
    </row>
    <row r="1959" spans="1:28" hidden="1" x14ac:dyDescent="0.25">
      <c r="A1959" t="s">
        <v>360</v>
      </c>
      <c r="B1959" t="s">
        <v>361</v>
      </c>
      <c r="C1959">
        <v>115</v>
      </c>
      <c r="D1959" t="s">
        <v>3</v>
      </c>
      <c r="E1959">
        <v>3.9752941197</v>
      </c>
      <c r="F1959">
        <v>3.9303050258000001</v>
      </c>
      <c r="G1959">
        <v>3.7014977613000002</v>
      </c>
      <c r="H1959">
        <v>3.5618877703999998</v>
      </c>
      <c r="I1959">
        <v>3.5213343041999998</v>
      </c>
      <c r="J1959">
        <v>3.4992383248999999</v>
      </c>
      <c r="K1959">
        <v>3.7694916065999999</v>
      </c>
      <c r="L1959">
        <v>4.4239848422000003</v>
      </c>
      <c r="M1959">
        <v>4.5766114031000003</v>
      </c>
      <c r="N1959">
        <v>4.9286589640000003</v>
      </c>
      <c r="O1959">
        <v>5.2144847364000002</v>
      </c>
      <c r="P1959">
        <v>5.3290662928000003</v>
      </c>
      <c r="Q1959">
        <v>5.3343318386999998</v>
      </c>
      <c r="R1959">
        <v>5.4720712085000001</v>
      </c>
      <c r="S1959">
        <v>5.8109986886999998</v>
      </c>
      <c r="T1959">
        <v>5.5437802284000002</v>
      </c>
      <c r="U1959">
        <v>5.2955687183000002</v>
      </c>
      <c r="V1959">
        <v>5.1266228050000002</v>
      </c>
      <c r="W1959">
        <v>4.8499297000999997</v>
      </c>
      <c r="X1959">
        <v>4.8438367454</v>
      </c>
      <c r="Y1959">
        <v>4.8804658984999998</v>
      </c>
      <c r="Z1959">
        <v>4.7085331016999996</v>
      </c>
      <c r="AA1959">
        <v>4.5281831693000001</v>
      </c>
      <c r="AB1959">
        <v>4.3634330009999998</v>
      </c>
    </row>
    <row r="1960" spans="1:28" hidden="1" x14ac:dyDescent="0.25">
      <c r="A1960" t="s">
        <v>360</v>
      </c>
      <c r="B1960" t="s">
        <v>361</v>
      </c>
      <c r="C1960">
        <v>115</v>
      </c>
      <c r="D1960" t="s">
        <v>4</v>
      </c>
      <c r="E1960">
        <v>0.18400259999999999</v>
      </c>
      <c r="F1960">
        <v>0.18075393000000001</v>
      </c>
      <c r="G1960">
        <v>0.17055864000000001</v>
      </c>
      <c r="H1960">
        <v>0.16410810000000001</v>
      </c>
      <c r="I1960">
        <v>0.16371498000000001</v>
      </c>
      <c r="J1960">
        <v>0.1617759</v>
      </c>
      <c r="K1960">
        <v>0.15351614999999999</v>
      </c>
      <c r="L1960">
        <v>0.17069161499999999</v>
      </c>
      <c r="M1960">
        <v>0.17443173000000001</v>
      </c>
      <c r="N1960">
        <v>0.18477144000000001</v>
      </c>
      <c r="O1960">
        <v>0.19279417500000001</v>
      </c>
      <c r="P1960">
        <v>0.1976205</v>
      </c>
      <c r="Q1960">
        <v>0.19642065</v>
      </c>
      <c r="R1960">
        <v>0.20531568</v>
      </c>
      <c r="S1960">
        <v>0.22296424500000001</v>
      </c>
      <c r="T1960">
        <v>0.21683172000000001</v>
      </c>
      <c r="U1960">
        <v>0.20921058000000001</v>
      </c>
      <c r="V1960">
        <v>0.208135125</v>
      </c>
      <c r="W1960">
        <v>0.22706662499999999</v>
      </c>
      <c r="X1960">
        <v>0.244350285</v>
      </c>
      <c r="Y1960">
        <v>0.24534001499999999</v>
      </c>
      <c r="Z1960">
        <v>0.23397480000000001</v>
      </c>
      <c r="AA1960">
        <v>0.21785399999999999</v>
      </c>
      <c r="AB1960">
        <v>0.20212073999999999</v>
      </c>
    </row>
    <row r="1961" spans="1:28" hidden="1" x14ac:dyDescent="0.25">
      <c r="A1961" t="s">
        <v>360</v>
      </c>
      <c r="B1961" t="s">
        <v>362</v>
      </c>
      <c r="C1961">
        <v>115</v>
      </c>
      <c r="D1961" t="s">
        <v>2</v>
      </c>
      <c r="E1961">
        <v>12.375746850000001</v>
      </c>
      <c r="F1961">
        <v>12.112462259999999</v>
      </c>
      <c r="G1961">
        <v>11.355375499999999</v>
      </c>
      <c r="H1961">
        <v>10.9706739</v>
      </c>
      <c r="I1961">
        <v>10.920206439999999</v>
      </c>
      <c r="J1961">
        <v>11.06782248</v>
      </c>
      <c r="K1961">
        <v>10.443191625000001</v>
      </c>
      <c r="L1961">
        <v>11.67575463</v>
      </c>
      <c r="M1961">
        <v>12.73810274</v>
      </c>
      <c r="N1961">
        <v>13.8255585</v>
      </c>
      <c r="O1961">
        <v>14.933810565</v>
      </c>
      <c r="P1961">
        <v>15.49091376</v>
      </c>
      <c r="Q1961">
        <v>15.476377129999999</v>
      </c>
      <c r="R1961">
        <v>15.655332915000001</v>
      </c>
      <c r="S1961">
        <v>16.900534454999999</v>
      </c>
      <c r="T1961">
        <v>16.15989227</v>
      </c>
      <c r="U1961">
        <v>15.202461435</v>
      </c>
      <c r="V1961">
        <v>14.927921250000001</v>
      </c>
      <c r="W1961">
        <v>16.760368955000001</v>
      </c>
      <c r="X1961">
        <v>12.922950795</v>
      </c>
      <c r="Y1961">
        <v>12.556457905</v>
      </c>
      <c r="Z1961">
        <v>12.15674392</v>
      </c>
      <c r="AA1961">
        <v>11.837611799999999</v>
      </c>
      <c r="AB1961">
        <v>11.691232919999999</v>
      </c>
    </row>
    <row r="1962" spans="1:28" hidden="1" x14ac:dyDescent="0.25">
      <c r="A1962" t="s">
        <v>360</v>
      </c>
      <c r="B1962" t="s">
        <v>362</v>
      </c>
      <c r="C1962">
        <v>115</v>
      </c>
      <c r="D1962" t="s">
        <v>3</v>
      </c>
      <c r="E1962">
        <v>4.6497113616999997</v>
      </c>
      <c r="F1962">
        <v>4.6359703268999999</v>
      </c>
      <c r="G1962">
        <v>4.3749141252000001</v>
      </c>
      <c r="H1962">
        <v>4.2431506989000001</v>
      </c>
      <c r="I1962">
        <v>4.1750869368999997</v>
      </c>
      <c r="J1962">
        <v>4.1601043647999996</v>
      </c>
      <c r="K1962">
        <v>4.4676486730000002</v>
      </c>
      <c r="L1962">
        <v>5.0033695472000002</v>
      </c>
      <c r="M1962">
        <v>5.3829223290000003</v>
      </c>
      <c r="N1962">
        <v>5.7744322198000004</v>
      </c>
      <c r="O1962">
        <v>6.2382188812999999</v>
      </c>
      <c r="P1962">
        <v>6.4094084547000003</v>
      </c>
      <c r="Q1962">
        <v>6.38631349</v>
      </c>
      <c r="R1962">
        <v>6.5162184942000003</v>
      </c>
      <c r="S1962">
        <v>6.9895360996000004</v>
      </c>
      <c r="T1962">
        <v>6.6688612408000001</v>
      </c>
      <c r="U1962">
        <v>6.2232637141999998</v>
      </c>
      <c r="V1962">
        <v>5.9462720412000003</v>
      </c>
      <c r="W1962">
        <v>5.7068126056999997</v>
      </c>
      <c r="X1962">
        <v>4.0350911629999997</v>
      </c>
      <c r="Y1962">
        <v>3.9556814937000002</v>
      </c>
      <c r="Z1962">
        <v>3.9641487219</v>
      </c>
      <c r="AA1962">
        <v>4.0755519777</v>
      </c>
      <c r="AB1962">
        <v>4.2758468587999996</v>
      </c>
    </row>
    <row r="1963" spans="1:28" hidden="1" x14ac:dyDescent="0.25">
      <c r="A1963" t="s">
        <v>360</v>
      </c>
      <c r="B1963" t="s">
        <v>362</v>
      </c>
      <c r="C1963">
        <v>115</v>
      </c>
      <c r="D1963" t="s">
        <v>4</v>
      </c>
      <c r="E1963">
        <v>0.18846315</v>
      </c>
      <c r="F1963">
        <v>0.18445374</v>
      </c>
      <c r="G1963">
        <v>0.17292450000000001</v>
      </c>
      <c r="H1963">
        <v>0.1670661</v>
      </c>
      <c r="I1963">
        <v>0.16629756000000001</v>
      </c>
      <c r="J1963">
        <v>0.16854552</v>
      </c>
      <c r="K1963">
        <v>0.159033375</v>
      </c>
      <c r="L1963">
        <v>0.17780336999999999</v>
      </c>
      <c r="M1963">
        <v>0.19398125999999999</v>
      </c>
      <c r="N1963">
        <v>0.21054149999999999</v>
      </c>
      <c r="O1963">
        <v>0.227418435</v>
      </c>
      <c r="P1963">
        <v>0.23590224000000001</v>
      </c>
      <c r="Q1963">
        <v>0.23568086999999999</v>
      </c>
      <c r="R1963">
        <v>0.23840608499999999</v>
      </c>
      <c r="S1963">
        <v>0.257368545</v>
      </c>
      <c r="T1963">
        <v>0.24608973000000001</v>
      </c>
      <c r="U1963">
        <v>0.231509565</v>
      </c>
      <c r="V1963">
        <v>0.22732875</v>
      </c>
      <c r="W1963">
        <v>0.25523404500000002</v>
      </c>
      <c r="X1963">
        <v>0.196796205</v>
      </c>
      <c r="Y1963">
        <v>0.191215095</v>
      </c>
      <c r="Z1963">
        <v>0.18512808</v>
      </c>
      <c r="AA1963">
        <v>0.18026819999999999</v>
      </c>
      <c r="AB1963">
        <v>0.17803907999999999</v>
      </c>
    </row>
    <row r="1964" spans="1:28" hidden="1" x14ac:dyDescent="0.25">
      <c r="A1964" t="s">
        <v>360</v>
      </c>
      <c r="B1964" t="s">
        <v>363</v>
      </c>
      <c r="C1964">
        <v>115</v>
      </c>
      <c r="D1964" t="s">
        <v>2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0</v>
      </c>
      <c r="AA1964">
        <v>0</v>
      </c>
      <c r="AB1964">
        <v>0</v>
      </c>
    </row>
    <row r="1965" spans="1:28" hidden="1" x14ac:dyDescent="0.25">
      <c r="A1965" t="s">
        <v>360</v>
      </c>
      <c r="B1965" t="s">
        <v>363</v>
      </c>
      <c r="C1965">
        <v>115</v>
      </c>
      <c r="D1965" t="s">
        <v>3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0</v>
      </c>
      <c r="AA1965">
        <v>0</v>
      </c>
      <c r="AB1965">
        <v>0</v>
      </c>
    </row>
    <row r="1966" spans="1:28" hidden="1" x14ac:dyDescent="0.25">
      <c r="A1966" t="s">
        <v>360</v>
      </c>
      <c r="B1966" t="s">
        <v>363</v>
      </c>
      <c r="C1966">
        <v>115</v>
      </c>
      <c r="D1966" t="s">
        <v>4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</row>
    <row r="1967" spans="1:28" hidden="1" x14ac:dyDescent="0.25">
      <c r="A1967" t="s">
        <v>360</v>
      </c>
      <c r="B1967" t="s">
        <v>364</v>
      </c>
      <c r="C1967">
        <v>115</v>
      </c>
      <c r="D1967" t="s">
        <v>2</v>
      </c>
      <c r="E1967">
        <v>5.2201109250000002</v>
      </c>
      <c r="F1967">
        <v>5.2392504600000001</v>
      </c>
      <c r="G1967">
        <v>4.9317314899999998</v>
      </c>
      <c r="H1967">
        <v>4.7326492</v>
      </c>
      <c r="I1967">
        <v>4.4324251400000003</v>
      </c>
      <c r="J1967">
        <v>3.9416863200000001</v>
      </c>
      <c r="K1967">
        <v>3.6424561249999998</v>
      </c>
      <c r="L1967">
        <v>4.1388261899999996</v>
      </c>
      <c r="M1967">
        <v>4.4457738600000001</v>
      </c>
      <c r="N1967">
        <v>4.3513557</v>
      </c>
      <c r="O1967">
        <v>4.35759075</v>
      </c>
      <c r="P1967">
        <v>4.4469991999999996</v>
      </c>
      <c r="Q1967">
        <v>4.1976356150000003</v>
      </c>
      <c r="R1967">
        <v>4.5989915950000002</v>
      </c>
      <c r="S1967">
        <v>5.1810753749999998</v>
      </c>
      <c r="T1967">
        <v>5.3854737100000003</v>
      </c>
      <c r="U1967">
        <v>5.3813652750000003</v>
      </c>
      <c r="V1967">
        <v>5.126851125</v>
      </c>
      <c r="W1967">
        <v>5.6859617499999997</v>
      </c>
      <c r="X1967">
        <v>6.30766223</v>
      </c>
      <c r="Y1967">
        <v>6.6405419950000004</v>
      </c>
      <c r="Z1967">
        <v>6.4127676400000002</v>
      </c>
      <c r="AA1967">
        <v>6.1602294000000004</v>
      </c>
      <c r="AB1967">
        <v>5.9026400800000003</v>
      </c>
    </row>
    <row r="1968" spans="1:28" hidden="1" x14ac:dyDescent="0.25">
      <c r="A1968" t="s">
        <v>360</v>
      </c>
      <c r="B1968" t="s">
        <v>364</v>
      </c>
      <c r="C1968">
        <v>115</v>
      </c>
      <c r="D1968" t="s">
        <v>3</v>
      </c>
      <c r="E1968">
        <v>1.7712666924</v>
      </c>
      <c r="F1968">
        <v>1.7870175774999999</v>
      </c>
      <c r="G1968">
        <v>1.642580983</v>
      </c>
      <c r="H1968">
        <v>1.5562182383000001</v>
      </c>
      <c r="I1968">
        <v>1.3178556223</v>
      </c>
      <c r="J1968">
        <v>1.0049905727999999</v>
      </c>
      <c r="K1968">
        <v>1.0666112342</v>
      </c>
      <c r="L1968">
        <v>1.6036827176999999</v>
      </c>
      <c r="M1968">
        <v>2.1356531311000002</v>
      </c>
      <c r="N1968">
        <v>2.4363616272000002</v>
      </c>
      <c r="O1968">
        <v>2.6323147261000002</v>
      </c>
      <c r="P1968">
        <v>2.7579887597999999</v>
      </c>
      <c r="Q1968">
        <v>2.5020696677999998</v>
      </c>
      <c r="R1968">
        <v>2.6978906729999999</v>
      </c>
      <c r="S1968">
        <v>2.8886631190999998</v>
      </c>
      <c r="T1968">
        <v>2.7186864794000001</v>
      </c>
      <c r="U1968">
        <v>2.2183035941</v>
      </c>
      <c r="V1968">
        <v>1.6419669712</v>
      </c>
      <c r="W1968">
        <v>1.5438282649999999</v>
      </c>
      <c r="X1968">
        <v>1.7563868937</v>
      </c>
      <c r="Y1968">
        <v>2.1413607585999999</v>
      </c>
      <c r="Z1968">
        <v>2.1394655221000001</v>
      </c>
      <c r="AA1968">
        <v>2.1360980439000001</v>
      </c>
      <c r="AB1968">
        <v>2.1102994868999998</v>
      </c>
    </row>
    <row r="1969" spans="1:28" hidden="1" x14ac:dyDescent="0.25">
      <c r="A1969" t="s">
        <v>360</v>
      </c>
      <c r="B1969" t="s">
        <v>364</v>
      </c>
      <c r="C1969">
        <v>115</v>
      </c>
      <c r="D1969" t="s">
        <v>4</v>
      </c>
      <c r="E1969">
        <v>7.9494074999999997E-2</v>
      </c>
      <c r="F1969">
        <v>7.9785540000000002E-2</v>
      </c>
      <c r="G1969">
        <v>7.5102509999999997E-2</v>
      </c>
      <c r="H1969">
        <v>7.2070800000000004E-2</v>
      </c>
      <c r="I1969">
        <v>6.7498859999999994E-2</v>
      </c>
      <c r="J1969">
        <v>6.0025679999999998E-2</v>
      </c>
      <c r="K1969">
        <v>5.5468875000000001E-2</v>
      </c>
      <c r="L1969">
        <v>6.3027810000000004E-2</v>
      </c>
      <c r="M1969">
        <v>6.7702139999999994E-2</v>
      </c>
      <c r="N1969">
        <v>6.6264299999999998E-2</v>
      </c>
      <c r="O1969">
        <v>6.6359249999999995E-2</v>
      </c>
      <c r="P1969">
        <v>6.7720799999999998E-2</v>
      </c>
      <c r="Q1969">
        <v>6.3923384999999999E-2</v>
      </c>
      <c r="R1969">
        <v>7.0035404999999995E-2</v>
      </c>
      <c r="S1969">
        <v>7.8899625000000001E-2</v>
      </c>
      <c r="T1969">
        <v>8.2012290000000002E-2</v>
      </c>
      <c r="U1969">
        <v>8.1949725000000001E-2</v>
      </c>
      <c r="V1969">
        <v>7.8073875000000001E-2</v>
      </c>
      <c r="W1969">
        <v>8.6588250000000005E-2</v>
      </c>
      <c r="X1969">
        <v>9.6055769999999999E-2</v>
      </c>
      <c r="Y1969">
        <v>0.101125005</v>
      </c>
      <c r="Z1969">
        <v>9.7656359999999998E-2</v>
      </c>
      <c r="AA1969">
        <v>9.3810599999999994E-2</v>
      </c>
      <c r="AB1969">
        <v>8.9887919999999996E-2</v>
      </c>
    </row>
    <row r="1970" spans="1:28" hidden="1" x14ac:dyDescent="0.25">
      <c r="A1970" t="s">
        <v>360</v>
      </c>
      <c r="B1970" t="s">
        <v>365</v>
      </c>
      <c r="C1970">
        <v>115</v>
      </c>
      <c r="D1970" t="s">
        <v>2</v>
      </c>
      <c r="E1970">
        <v>6.3569092749999996</v>
      </c>
      <c r="F1970">
        <v>6.2173613699999999</v>
      </c>
      <c r="G1970">
        <v>5.8318599500000001</v>
      </c>
      <c r="H1970">
        <v>5.5953122000000004</v>
      </c>
      <c r="I1970">
        <v>5.6403976199999999</v>
      </c>
      <c r="J1970">
        <v>5.7018104000000003</v>
      </c>
      <c r="K1970">
        <v>5.5724848250000001</v>
      </c>
      <c r="L1970">
        <v>6.3248347200000001</v>
      </c>
      <c r="M1970">
        <v>6.6303698999999998</v>
      </c>
      <c r="N1970">
        <v>6.9693793199999998</v>
      </c>
      <c r="O1970">
        <v>7.2143192699999998</v>
      </c>
      <c r="P1970">
        <v>7.40793284</v>
      </c>
      <c r="Q1970">
        <v>7.2255541799999996</v>
      </c>
      <c r="R1970">
        <v>7.26360867</v>
      </c>
      <c r="S1970">
        <v>7.88768694</v>
      </c>
      <c r="T1970">
        <v>7.7961804399999997</v>
      </c>
      <c r="U1970">
        <v>7.5732158399999996</v>
      </c>
      <c r="V1970">
        <v>7.6394876250000001</v>
      </c>
      <c r="W1970">
        <v>8.7666940449999995</v>
      </c>
      <c r="X1970">
        <v>9.3287143599999993</v>
      </c>
      <c r="Y1970">
        <v>8.9815767199999996</v>
      </c>
      <c r="Z1970">
        <v>8.39722744</v>
      </c>
      <c r="AA1970">
        <v>7.6102676000000002</v>
      </c>
      <c r="AB1970">
        <v>6.97913476</v>
      </c>
    </row>
    <row r="1971" spans="1:28" hidden="1" x14ac:dyDescent="0.25">
      <c r="A1971" t="s">
        <v>360</v>
      </c>
      <c r="B1971" t="s">
        <v>365</v>
      </c>
      <c r="C1971">
        <v>115</v>
      </c>
      <c r="D1971" t="s">
        <v>3</v>
      </c>
      <c r="E1971">
        <v>1.0063497288000001</v>
      </c>
      <c r="F1971">
        <v>0.97853634960000002</v>
      </c>
      <c r="G1971">
        <v>0.90937017799999997</v>
      </c>
      <c r="H1971">
        <v>0.85559287900000003</v>
      </c>
      <c r="I1971">
        <v>0.8210791368</v>
      </c>
      <c r="J1971">
        <v>0.83926723390000002</v>
      </c>
      <c r="K1971">
        <v>1.0240648862999999</v>
      </c>
      <c r="L1971">
        <v>1.3125014631</v>
      </c>
      <c r="M1971">
        <v>1.4630261187</v>
      </c>
      <c r="N1971">
        <v>1.6397629643</v>
      </c>
      <c r="O1971">
        <v>1.7355944056999999</v>
      </c>
      <c r="P1971">
        <v>1.8137686786</v>
      </c>
      <c r="Q1971">
        <v>1.7604018666000001</v>
      </c>
      <c r="R1971">
        <v>1.7336089089</v>
      </c>
      <c r="S1971">
        <v>1.8836350711000001</v>
      </c>
      <c r="T1971">
        <v>1.8031752714</v>
      </c>
      <c r="U1971">
        <v>1.6890475521999999</v>
      </c>
      <c r="V1971">
        <v>1.5279248261</v>
      </c>
      <c r="W1971">
        <v>1.4032761182</v>
      </c>
      <c r="X1971">
        <v>1.2777237640000001</v>
      </c>
      <c r="Y1971">
        <v>1.1973984515</v>
      </c>
      <c r="Z1971">
        <v>1.1639321009000001</v>
      </c>
      <c r="AA1971">
        <v>1.1265690411</v>
      </c>
      <c r="AB1971">
        <v>1.1112414664000001</v>
      </c>
    </row>
    <row r="1972" spans="1:28" hidden="1" x14ac:dyDescent="0.25">
      <c r="A1972" t="s">
        <v>360</v>
      </c>
      <c r="B1972" t="s">
        <v>365</v>
      </c>
      <c r="C1972">
        <v>115</v>
      </c>
      <c r="D1972" t="s">
        <v>4</v>
      </c>
      <c r="E1972">
        <v>9.6805724999999995E-2</v>
      </c>
      <c r="F1972">
        <v>9.4680630000000002E-2</v>
      </c>
      <c r="G1972">
        <v>8.8810050000000001E-2</v>
      </c>
      <c r="H1972">
        <v>8.52078E-2</v>
      </c>
      <c r="I1972">
        <v>8.5894380000000006E-2</v>
      </c>
      <c r="J1972">
        <v>8.6829600000000007E-2</v>
      </c>
      <c r="K1972">
        <v>8.4860174999999996E-2</v>
      </c>
      <c r="L1972">
        <v>9.6317280000000005E-2</v>
      </c>
      <c r="M1972">
        <v>0.10097009999999999</v>
      </c>
      <c r="N1972">
        <v>0.10613267999999999</v>
      </c>
      <c r="O1972">
        <v>0.10986273000000001</v>
      </c>
      <c r="P1972">
        <v>0.11281115999999999</v>
      </c>
      <c r="Q1972">
        <v>0.11003382</v>
      </c>
      <c r="R1972">
        <v>0.11061333</v>
      </c>
      <c r="S1972">
        <v>0.12011706</v>
      </c>
      <c r="T1972">
        <v>0.11872356000000001</v>
      </c>
      <c r="U1972">
        <v>0.11532816</v>
      </c>
      <c r="V1972">
        <v>0.11633737500000001</v>
      </c>
      <c r="W1972">
        <v>0.13350295500000001</v>
      </c>
      <c r="X1972">
        <v>0.14206163999999999</v>
      </c>
      <c r="Y1972">
        <v>0.13677528</v>
      </c>
      <c r="Z1972">
        <v>0.12787656</v>
      </c>
      <c r="AA1972">
        <v>0.11589240000000001</v>
      </c>
      <c r="AB1972">
        <v>0.10628124</v>
      </c>
    </row>
    <row r="1973" spans="1:28" hidden="1" x14ac:dyDescent="0.25">
      <c r="A1973" t="s">
        <v>360</v>
      </c>
      <c r="B1973" t="s">
        <v>366</v>
      </c>
      <c r="C1973">
        <v>115</v>
      </c>
      <c r="D1973" t="s">
        <v>2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</row>
    <row r="1974" spans="1:28" hidden="1" x14ac:dyDescent="0.25">
      <c r="A1974" t="s">
        <v>360</v>
      </c>
      <c r="B1974" t="s">
        <v>366</v>
      </c>
      <c r="C1974">
        <v>115</v>
      </c>
      <c r="D1974" t="s">
        <v>3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0</v>
      </c>
      <c r="AB1974">
        <v>0</v>
      </c>
    </row>
    <row r="1975" spans="1:28" hidden="1" x14ac:dyDescent="0.25">
      <c r="A1975" t="s">
        <v>360</v>
      </c>
      <c r="B1975" t="s">
        <v>366</v>
      </c>
      <c r="C1975">
        <v>115</v>
      </c>
      <c r="D1975" t="s">
        <v>4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0</v>
      </c>
      <c r="AA1975">
        <v>0</v>
      </c>
      <c r="AB1975">
        <v>0</v>
      </c>
    </row>
    <row r="1976" spans="1:28" hidden="1" x14ac:dyDescent="0.25">
      <c r="A1976" t="s">
        <v>360</v>
      </c>
      <c r="B1976" t="s">
        <v>367</v>
      </c>
      <c r="C1976">
        <v>115</v>
      </c>
      <c r="D1976" t="s">
        <v>2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</row>
    <row r="1977" spans="1:28" hidden="1" x14ac:dyDescent="0.25">
      <c r="A1977" t="s">
        <v>360</v>
      </c>
      <c r="B1977" t="s">
        <v>367</v>
      </c>
      <c r="C1977">
        <v>115</v>
      </c>
      <c r="D1977" t="s">
        <v>3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0</v>
      </c>
      <c r="AA1977">
        <v>0</v>
      </c>
      <c r="AB1977">
        <v>0</v>
      </c>
    </row>
    <row r="1978" spans="1:28" hidden="1" x14ac:dyDescent="0.25">
      <c r="A1978" t="s">
        <v>360</v>
      </c>
      <c r="B1978" t="s">
        <v>367</v>
      </c>
      <c r="C1978">
        <v>115</v>
      </c>
      <c r="D1978" t="s">
        <v>4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</row>
    <row r="1979" spans="1:28" hidden="1" x14ac:dyDescent="0.25">
      <c r="A1979" t="s">
        <v>360</v>
      </c>
      <c r="B1979" t="s">
        <v>368</v>
      </c>
      <c r="C1979">
        <v>115</v>
      </c>
      <c r="D1979" t="s">
        <v>2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</row>
    <row r="1980" spans="1:28" hidden="1" x14ac:dyDescent="0.25">
      <c r="A1980" t="s">
        <v>360</v>
      </c>
      <c r="B1980" t="s">
        <v>368</v>
      </c>
      <c r="C1980">
        <v>115</v>
      </c>
      <c r="D1980" t="s">
        <v>3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0</v>
      </c>
      <c r="AA1980">
        <v>0</v>
      </c>
      <c r="AB1980">
        <v>0</v>
      </c>
    </row>
    <row r="1981" spans="1:28" hidden="1" x14ac:dyDescent="0.25">
      <c r="A1981" t="s">
        <v>360</v>
      </c>
      <c r="B1981" t="s">
        <v>368</v>
      </c>
      <c r="C1981">
        <v>115</v>
      </c>
      <c r="D1981" t="s">
        <v>4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0</v>
      </c>
      <c r="AA1981">
        <v>0</v>
      </c>
      <c r="AB1981">
        <v>0</v>
      </c>
    </row>
    <row r="1982" spans="1:28" hidden="1" x14ac:dyDescent="0.25">
      <c r="A1982" t="s">
        <v>360</v>
      </c>
      <c r="B1982" t="s">
        <v>369</v>
      </c>
      <c r="C1982">
        <v>115</v>
      </c>
      <c r="D1982" t="s">
        <v>2</v>
      </c>
      <c r="E1982">
        <v>28.481895550000001</v>
      </c>
      <c r="F1982">
        <v>27.502917839999999</v>
      </c>
      <c r="G1982">
        <v>25.9780157</v>
      </c>
      <c r="H1982">
        <v>25.0549328</v>
      </c>
      <c r="I1982">
        <v>24.59835378</v>
      </c>
      <c r="J1982">
        <v>25.007396700000001</v>
      </c>
      <c r="K1982">
        <v>25.913473575000001</v>
      </c>
      <c r="L1982">
        <v>29.002335075000001</v>
      </c>
      <c r="M1982">
        <v>31.908403230000001</v>
      </c>
      <c r="N1982">
        <v>34.822381919999998</v>
      </c>
      <c r="O1982">
        <v>37.959628590000001</v>
      </c>
      <c r="P1982">
        <v>39.659074699999998</v>
      </c>
      <c r="Q1982">
        <v>38.706643724999999</v>
      </c>
      <c r="R1982">
        <v>39.868170499999998</v>
      </c>
      <c r="S1982">
        <v>44.334884475000003</v>
      </c>
      <c r="T1982">
        <v>43.198337299999999</v>
      </c>
      <c r="U1982">
        <v>41.731296030000003</v>
      </c>
      <c r="V1982">
        <v>39.900700125</v>
      </c>
      <c r="W1982">
        <v>41.124414874999999</v>
      </c>
      <c r="X1982">
        <v>43.037939899999998</v>
      </c>
      <c r="Y1982">
        <v>41.873242410000003</v>
      </c>
      <c r="Z1982">
        <v>38.832915800000002</v>
      </c>
      <c r="AA1982">
        <v>34.946145199999997</v>
      </c>
      <c r="AB1982">
        <v>31.695396980000002</v>
      </c>
    </row>
    <row r="1983" spans="1:28" hidden="1" x14ac:dyDescent="0.25">
      <c r="A1983" t="s">
        <v>360</v>
      </c>
      <c r="B1983" t="s">
        <v>369</v>
      </c>
      <c r="C1983">
        <v>115</v>
      </c>
      <c r="D1983" t="s">
        <v>3</v>
      </c>
      <c r="E1983">
        <v>11.7302975742</v>
      </c>
      <c r="F1983">
        <v>11.850922665200001</v>
      </c>
      <c r="G1983">
        <v>11.345089908</v>
      </c>
      <c r="H1983">
        <v>11.180658638900001</v>
      </c>
      <c r="I1983">
        <v>11.004400394299999</v>
      </c>
      <c r="J1983">
        <v>10.970992833</v>
      </c>
      <c r="K1983">
        <v>12.0603343749</v>
      </c>
      <c r="L1983">
        <v>13.9081762701</v>
      </c>
      <c r="M1983">
        <v>15.2409271424</v>
      </c>
      <c r="N1983">
        <v>16.465702849500001</v>
      </c>
      <c r="O1983">
        <v>17.890427217700001</v>
      </c>
      <c r="P1983">
        <v>18.307561718300001</v>
      </c>
      <c r="Q1983">
        <v>18.074594823999998</v>
      </c>
      <c r="R1983">
        <v>18.288519300400001</v>
      </c>
      <c r="S1983">
        <v>19.957388591000001</v>
      </c>
      <c r="T1983">
        <v>19.287244844899998</v>
      </c>
      <c r="U1983">
        <v>18.293065850400001</v>
      </c>
      <c r="V1983">
        <v>17.494171676099999</v>
      </c>
      <c r="W1983">
        <v>15.327850573899999</v>
      </c>
      <c r="X1983">
        <v>14.426467691299999</v>
      </c>
      <c r="Y1983">
        <v>13.9169954031</v>
      </c>
      <c r="Z1983">
        <v>12.9611212536</v>
      </c>
      <c r="AA1983">
        <v>12.5032363694</v>
      </c>
      <c r="AB1983">
        <v>12.597492646899999</v>
      </c>
    </row>
    <row r="1984" spans="1:28" hidden="1" x14ac:dyDescent="0.25">
      <c r="A1984" t="s">
        <v>360</v>
      </c>
      <c r="B1984" t="s">
        <v>369</v>
      </c>
      <c r="C1984">
        <v>115</v>
      </c>
      <c r="D1984" t="s">
        <v>4</v>
      </c>
      <c r="E1984">
        <v>0.43373444999999999</v>
      </c>
      <c r="F1984">
        <v>0.41882616</v>
      </c>
      <c r="G1984">
        <v>0.39560430000000002</v>
      </c>
      <c r="H1984">
        <v>0.38154719999999998</v>
      </c>
      <c r="I1984">
        <v>0.37459421999999998</v>
      </c>
      <c r="J1984">
        <v>0.38082329999999998</v>
      </c>
      <c r="K1984">
        <v>0.39462142500000003</v>
      </c>
      <c r="L1984">
        <v>0.44165992500000001</v>
      </c>
      <c r="M1984">
        <v>0.48591477</v>
      </c>
      <c r="N1984">
        <v>0.53029008</v>
      </c>
      <c r="O1984">
        <v>0.57806541</v>
      </c>
      <c r="P1984">
        <v>0.60394530000000002</v>
      </c>
      <c r="Q1984">
        <v>0.58944127499999999</v>
      </c>
      <c r="R1984">
        <v>0.60712949999999999</v>
      </c>
      <c r="S1984">
        <v>0.67515052499999995</v>
      </c>
      <c r="T1984">
        <v>0.6578427</v>
      </c>
      <c r="U1984">
        <v>0.63550196999999997</v>
      </c>
      <c r="V1984">
        <v>0.60762487499999995</v>
      </c>
      <c r="W1984">
        <v>0.62626012499999995</v>
      </c>
      <c r="X1984">
        <v>0.65540010000000004</v>
      </c>
      <c r="Y1984">
        <v>0.63766358999999995</v>
      </c>
      <c r="Z1984">
        <v>0.59136420000000001</v>
      </c>
      <c r="AA1984">
        <v>0.53217479999999995</v>
      </c>
      <c r="AB1984">
        <v>0.48267102000000001</v>
      </c>
    </row>
    <row r="1985" spans="1:28" hidden="1" x14ac:dyDescent="0.25">
      <c r="A1985" t="s">
        <v>370</v>
      </c>
      <c r="B1985" t="s">
        <v>371</v>
      </c>
      <c r="C1985">
        <v>110</v>
      </c>
      <c r="D1985" t="s">
        <v>2</v>
      </c>
      <c r="E1985">
        <v>35.270037825000003</v>
      </c>
      <c r="F1985">
        <v>33.874684854999998</v>
      </c>
      <c r="G1985">
        <v>32.737381200000002</v>
      </c>
      <c r="H1985">
        <v>31.869917310000002</v>
      </c>
      <c r="I1985">
        <v>31.122454000000001</v>
      </c>
      <c r="J1985">
        <v>29.381566970000002</v>
      </c>
      <c r="K1985">
        <v>26.741887139999999</v>
      </c>
      <c r="L1985">
        <v>25.868915130000001</v>
      </c>
      <c r="M1985">
        <v>26.45393421</v>
      </c>
      <c r="N1985">
        <v>26.926777550000001</v>
      </c>
      <c r="O1985">
        <v>27.926597860000001</v>
      </c>
      <c r="P1985">
        <v>29.4161976</v>
      </c>
      <c r="Q1985">
        <v>31.26488106</v>
      </c>
      <c r="R1985">
        <v>34.003011639999997</v>
      </c>
      <c r="S1985">
        <v>35.478250080000002</v>
      </c>
      <c r="T1985">
        <v>35.440179829999998</v>
      </c>
      <c r="U1985">
        <v>34.924716525000001</v>
      </c>
      <c r="V1985">
        <v>34.444591080000002</v>
      </c>
      <c r="W1985">
        <v>39.641975100000003</v>
      </c>
      <c r="X1985">
        <v>40.708710400000001</v>
      </c>
      <c r="Y1985">
        <v>41.402678360000003</v>
      </c>
      <c r="Z1985">
        <v>39.27978075</v>
      </c>
      <c r="AA1985">
        <v>38.671913609999997</v>
      </c>
      <c r="AB1985">
        <v>37.143553134999998</v>
      </c>
    </row>
    <row r="1986" spans="1:28" hidden="1" x14ac:dyDescent="0.25">
      <c r="A1986" t="s">
        <v>370</v>
      </c>
      <c r="B1986" t="s">
        <v>371</v>
      </c>
      <c r="C1986">
        <v>110</v>
      </c>
      <c r="D1986" t="s">
        <v>3</v>
      </c>
      <c r="E1986">
        <v>13.6953541249</v>
      </c>
      <c r="F1986">
        <v>13.3379944649</v>
      </c>
      <c r="G1986">
        <v>13.0331772315</v>
      </c>
      <c r="H1986">
        <v>12.7894060708</v>
      </c>
      <c r="I1986">
        <v>12.538873726</v>
      </c>
      <c r="J1986">
        <v>11.981375308600001</v>
      </c>
      <c r="K1986">
        <v>11.2990826423</v>
      </c>
      <c r="L1986">
        <v>10.8996585734</v>
      </c>
      <c r="M1986">
        <v>10.7907974977</v>
      </c>
      <c r="N1986">
        <v>10.7780006156</v>
      </c>
      <c r="O1986">
        <v>10.990680429399999</v>
      </c>
      <c r="P1986">
        <v>11.4475418186</v>
      </c>
      <c r="Q1986">
        <v>12.042503037099999</v>
      </c>
      <c r="R1986">
        <v>13.0111710483</v>
      </c>
      <c r="S1986">
        <v>13.600691162</v>
      </c>
      <c r="T1986">
        <v>13.5508658223</v>
      </c>
      <c r="U1986">
        <v>13.3448048403</v>
      </c>
      <c r="V1986">
        <v>13.0671367373</v>
      </c>
      <c r="W1986">
        <v>14.193954361299999</v>
      </c>
      <c r="X1986">
        <v>14.3361659776</v>
      </c>
      <c r="Y1986">
        <v>14.614155609899999</v>
      </c>
      <c r="Z1986">
        <v>14.0734696742</v>
      </c>
      <c r="AA1986">
        <v>14.3379631504</v>
      </c>
      <c r="AB1986">
        <v>14.2128917374</v>
      </c>
    </row>
    <row r="1987" spans="1:28" hidden="1" x14ac:dyDescent="0.25">
      <c r="A1987" t="s">
        <v>370</v>
      </c>
      <c r="B1987" t="s">
        <v>371</v>
      </c>
      <c r="C1987">
        <v>110</v>
      </c>
      <c r="D1987" t="s">
        <v>4</v>
      </c>
      <c r="E1987">
        <v>0.53710717500000005</v>
      </c>
      <c r="F1987">
        <v>0.51585814500000005</v>
      </c>
      <c r="G1987">
        <v>0.4985388</v>
      </c>
      <c r="H1987">
        <v>0.48532869000000001</v>
      </c>
      <c r="I1987">
        <v>0.47394599999999998</v>
      </c>
      <c r="J1987">
        <v>0.44743503000000001</v>
      </c>
      <c r="K1987">
        <v>0.40723685999999998</v>
      </c>
      <c r="L1987">
        <v>0.39394287</v>
      </c>
      <c r="M1987">
        <v>0.40285178999999999</v>
      </c>
      <c r="N1987">
        <v>0.41005245000000001</v>
      </c>
      <c r="O1987">
        <v>0.42527814000000003</v>
      </c>
      <c r="P1987">
        <v>0.44796239999999998</v>
      </c>
      <c r="Q1987">
        <v>0.47611493999999999</v>
      </c>
      <c r="R1987">
        <v>0.51781235999999997</v>
      </c>
      <c r="S1987">
        <v>0.54027791999999997</v>
      </c>
      <c r="T1987">
        <v>0.53969816999999998</v>
      </c>
      <c r="U1987">
        <v>0.53184847499999999</v>
      </c>
      <c r="V1987">
        <v>0.52453691999999996</v>
      </c>
      <c r="W1987">
        <v>0.60368489999999997</v>
      </c>
      <c r="X1987">
        <v>0.61992959999999997</v>
      </c>
      <c r="Y1987">
        <v>0.63049763999999997</v>
      </c>
      <c r="Z1987">
        <v>0.59816924999999999</v>
      </c>
      <c r="AA1987">
        <v>0.58891238999999995</v>
      </c>
      <c r="AB1987">
        <v>0.56563786500000002</v>
      </c>
    </row>
    <row r="1988" spans="1:28" hidden="1" x14ac:dyDescent="0.25">
      <c r="A1988" t="s">
        <v>370</v>
      </c>
      <c r="B1988" t="s">
        <v>372</v>
      </c>
      <c r="C1988">
        <v>110</v>
      </c>
      <c r="D1988" t="s">
        <v>2</v>
      </c>
      <c r="E1988">
        <v>19.875507299999999</v>
      </c>
      <c r="F1988">
        <v>19.284910164999999</v>
      </c>
      <c r="G1988">
        <v>18.626304690000001</v>
      </c>
      <c r="H1988">
        <v>18.038779770000001</v>
      </c>
      <c r="I1988">
        <v>17.2571212</v>
      </c>
      <c r="J1988">
        <v>15.549176510000001</v>
      </c>
      <c r="K1988">
        <v>13.4730861</v>
      </c>
      <c r="L1988">
        <v>13.7228624</v>
      </c>
      <c r="M1988">
        <v>14.510362020000001</v>
      </c>
      <c r="N1988">
        <v>15.20380005</v>
      </c>
      <c r="O1988">
        <v>16.38718102</v>
      </c>
      <c r="P1988">
        <v>17.709025409999999</v>
      </c>
      <c r="Q1988">
        <v>19.009280570000001</v>
      </c>
      <c r="R1988">
        <v>20.23519581</v>
      </c>
      <c r="S1988">
        <v>20.9199816</v>
      </c>
      <c r="T1988">
        <v>20.458192915000001</v>
      </c>
      <c r="U1988">
        <v>19.153398875000001</v>
      </c>
      <c r="V1988">
        <v>17.88355756</v>
      </c>
      <c r="W1988">
        <v>21.388762799999999</v>
      </c>
      <c r="X1988">
        <v>22.943373524999998</v>
      </c>
      <c r="Y1988">
        <v>23.956523839999999</v>
      </c>
      <c r="Z1988">
        <v>22.1373234</v>
      </c>
      <c r="AA1988">
        <v>21.53145975</v>
      </c>
      <c r="AB1988">
        <v>20.860703314999999</v>
      </c>
    </row>
    <row r="1989" spans="1:28" hidden="1" x14ac:dyDescent="0.25">
      <c r="A1989" t="s">
        <v>370</v>
      </c>
      <c r="B1989" t="s">
        <v>372</v>
      </c>
      <c r="C1989">
        <v>110</v>
      </c>
      <c r="D1989" t="s">
        <v>3</v>
      </c>
      <c r="E1989">
        <v>9.5522805444000003</v>
      </c>
      <c r="F1989">
        <v>9.2437604310000001</v>
      </c>
      <c r="G1989">
        <v>8.8585324671999999</v>
      </c>
      <c r="H1989">
        <v>8.5471530535000007</v>
      </c>
      <c r="I1989">
        <v>8.2186870007999993</v>
      </c>
      <c r="J1989">
        <v>7.6541339421999997</v>
      </c>
      <c r="K1989">
        <v>7.0636771010999997</v>
      </c>
      <c r="L1989">
        <v>7.1705022110999996</v>
      </c>
      <c r="M1989">
        <v>7.4274496152999996</v>
      </c>
      <c r="N1989">
        <v>7.6658427471000001</v>
      </c>
      <c r="O1989">
        <v>8.1952939622999992</v>
      </c>
      <c r="P1989">
        <v>8.8281238609999999</v>
      </c>
      <c r="Q1989">
        <v>9.3985175335999998</v>
      </c>
      <c r="R1989">
        <v>10.139487663900001</v>
      </c>
      <c r="S1989">
        <v>10.706616799800001</v>
      </c>
      <c r="T1989">
        <v>10.435122700200001</v>
      </c>
      <c r="U1989">
        <v>9.5786904389000007</v>
      </c>
      <c r="V1989">
        <v>8.7008718420999998</v>
      </c>
      <c r="W1989">
        <v>9.9551150313000001</v>
      </c>
      <c r="X1989">
        <v>10.741445480599999</v>
      </c>
      <c r="Y1989">
        <v>11.4482028369</v>
      </c>
      <c r="Z1989">
        <v>10.717832918499999</v>
      </c>
      <c r="AA1989">
        <v>10.426332358</v>
      </c>
      <c r="AB1989">
        <v>10.072556094099999</v>
      </c>
    </row>
    <row r="1990" spans="1:28" hidden="1" x14ac:dyDescent="0.25">
      <c r="A1990" t="s">
        <v>370</v>
      </c>
      <c r="B1990" t="s">
        <v>372</v>
      </c>
      <c r="C1990">
        <v>110</v>
      </c>
      <c r="D1990" t="s">
        <v>4</v>
      </c>
      <c r="E1990">
        <v>0.30267270000000002</v>
      </c>
      <c r="F1990">
        <v>0.29367883500000003</v>
      </c>
      <c r="G1990">
        <v>0.28364930999999999</v>
      </c>
      <c r="H1990">
        <v>0.27470222999999999</v>
      </c>
      <c r="I1990">
        <v>0.2627988</v>
      </c>
      <c r="J1990">
        <v>0.23678948999999999</v>
      </c>
      <c r="K1990">
        <v>0.20517389999999999</v>
      </c>
      <c r="L1990">
        <v>0.20897760000000001</v>
      </c>
      <c r="M1990">
        <v>0.22096998000000001</v>
      </c>
      <c r="N1990">
        <v>0.23152995000000001</v>
      </c>
      <c r="O1990">
        <v>0.24955098000000001</v>
      </c>
      <c r="P1990">
        <v>0.26968059</v>
      </c>
      <c r="Q1990">
        <v>0.28948142999999998</v>
      </c>
      <c r="R1990">
        <v>0.30815018999999999</v>
      </c>
      <c r="S1990">
        <v>0.31857839999999998</v>
      </c>
      <c r="T1990">
        <v>0.31154608499999997</v>
      </c>
      <c r="U1990">
        <v>0.29167612500000001</v>
      </c>
      <c r="V1990">
        <v>0.27233844000000001</v>
      </c>
      <c r="W1990">
        <v>0.32571719999999998</v>
      </c>
      <c r="X1990">
        <v>0.34939147500000001</v>
      </c>
      <c r="Y1990">
        <v>0.36482016</v>
      </c>
      <c r="Z1990">
        <v>0.33711659999999999</v>
      </c>
      <c r="AA1990">
        <v>0.32789024999999999</v>
      </c>
      <c r="AB1990">
        <v>0.31767568499999999</v>
      </c>
    </row>
    <row r="1991" spans="1:28" hidden="1" x14ac:dyDescent="0.25">
      <c r="A1991" t="s">
        <v>370</v>
      </c>
      <c r="B1991" t="s">
        <v>373</v>
      </c>
      <c r="C1991">
        <v>110</v>
      </c>
      <c r="D1991" t="s">
        <v>2</v>
      </c>
      <c r="E1991">
        <v>26.132611449999999</v>
      </c>
      <c r="F1991">
        <v>25.140502704999999</v>
      </c>
      <c r="G1991">
        <v>24.27231681</v>
      </c>
      <c r="H1991">
        <v>23.673261480000001</v>
      </c>
      <c r="I1991">
        <v>23.015706999999999</v>
      </c>
      <c r="J1991">
        <v>21.340701695</v>
      </c>
      <c r="K1991">
        <v>19.468690479999999</v>
      </c>
      <c r="L1991">
        <v>20.679957784999999</v>
      </c>
      <c r="M1991">
        <v>21.556860929999999</v>
      </c>
      <c r="N1991">
        <v>22.266443110000001</v>
      </c>
      <c r="O1991">
        <v>23.339547419999999</v>
      </c>
      <c r="P1991">
        <v>24.438375990000001</v>
      </c>
      <c r="Q1991">
        <v>25.51759912</v>
      </c>
      <c r="R1991">
        <v>28.176099345000001</v>
      </c>
      <c r="S1991">
        <v>29.172138239999999</v>
      </c>
      <c r="T1991">
        <v>27.577260715000001</v>
      </c>
      <c r="U1991">
        <v>25.2270714</v>
      </c>
      <c r="V1991">
        <v>23.940212240000001</v>
      </c>
      <c r="W1991">
        <v>28.483245</v>
      </c>
      <c r="X1991">
        <v>29.676808900000001</v>
      </c>
      <c r="Y1991">
        <v>31.325403399999999</v>
      </c>
      <c r="Z1991">
        <v>29.574231000000001</v>
      </c>
      <c r="AA1991">
        <v>28.812152260000001</v>
      </c>
      <c r="AB1991">
        <v>27.883701110000001</v>
      </c>
    </row>
    <row r="1992" spans="1:28" hidden="1" x14ac:dyDescent="0.25">
      <c r="A1992" t="s">
        <v>370</v>
      </c>
      <c r="B1992" t="s">
        <v>373</v>
      </c>
      <c r="C1992">
        <v>110</v>
      </c>
      <c r="D1992" t="s">
        <v>3</v>
      </c>
      <c r="E1992">
        <v>9.8750316861999998</v>
      </c>
      <c r="F1992">
        <v>9.6022007078999998</v>
      </c>
      <c r="G1992">
        <v>9.3785703389999995</v>
      </c>
      <c r="H1992">
        <v>9.1810328082999995</v>
      </c>
      <c r="I1992">
        <v>8.9450447162</v>
      </c>
      <c r="J1992">
        <v>8.6038924320000003</v>
      </c>
      <c r="K1992">
        <v>8.5866965175000001</v>
      </c>
      <c r="L1992">
        <v>9.5241960521000006</v>
      </c>
      <c r="M1992">
        <v>9.9966522674</v>
      </c>
      <c r="N1992">
        <v>10.2664653898</v>
      </c>
      <c r="O1992">
        <v>10.624972875999999</v>
      </c>
      <c r="P1992">
        <v>10.783647304800001</v>
      </c>
      <c r="Q1992">
        <v>10.8350350016</v>
      </c>
      <c r="R1992">
        <v>11.715689423100001</v>
      </c>
      <c r="S1992">
        <v>11.9876784408</v>
      </c>
      <c r="T1992">
        <v>11.2106513986</v>
      </c>
      <c r="U1992">
        <v>10.086627634399999</v>
      </c>
      <c r="V1992">
        <v>9.3772079771999994</v>
      </c>
      <c r="W1992">
        <v>10.2461212938</v>
      </c>
      <c r="X1992">
        <v>10.368555536800001</v>
      </c>
      <c r="Y1992">
        <v>10.8847574069</v>
      </c>
      <c r="Z1992">
        <v>10.5067967553</v>
      </c>
      <c r="AA1992">
        <v>10.5726493574</v>
      </c>
      <c r="AB1992">
        <v>10.4771339168</v>
      </c>
    </row>
    <row r="1993" spans="1:28" hidden="1" x14ac:dyDescent="0.25">
      <c r="A1993" t="s">
        <v>370</v>
      </c>
      <c r="B1993" t="s">
        <v>373</v>
      </c>
      <c r="C1993">
        <v>110</v>
      </c>
      <c r="D1993" t="s">
        <v>4</v>
      </c>
      <c r="E1993">
        <v>0.39795855000000002</v>
      </c>
      <c r="F1993">
        <v>0.38285029500000001</v>
      </c>
      <c r="G1993">
        <v>0.36962919</v>
      </c>
      <c r="H1993">
        <v>0.36050652</v>
      </c>
      <c r="I1993">
        <v>0.350493</v>
      </c>
      <c r="J1993">
        <v>0.324985305</v>
      </c>
      <c r="K1993">
        <v>0.29647751999999999</v>
      </c>
      <c r="L1993">
        <v>0.31492321499999998</v>
      </c>
      <c r="M1993">
        <v>0.32827707</v>
      </c>
      <c r="N1993">
        <v>0.33908289000000003</v>
      </c>
      <c r="O1993">
        <v>0.35542457999999999</v>
      </c>
      <c r="P1993">
        <v>0.37215800999999998</v>
      </c>
      <c r="Q1993">
        <v>0.38859287999999997</v>
      </c>
      <c r="R1993">
        <v>0.429077655</v>
      </c>
      <c r="S1993">
        <v>0.44424575999999999</v>
      </c>
      <c r="T1993">
        <v>0.41995828499999999</v>
      </c>
      <c r="U1993">
        <v>0.38416860000000003</v>
      </c>
      <c r="V1993">
        <v>0.36457176000000002</v>
      </c>
      <c r="W1993">
        <v>0.433755</v>
      </c>
      <c r="X1993">
        <v>0.45193109999999997</v>
      </c>
      <c r="Y1993">
        <v>0.47703659999999998</v>
      </c>
      <c r="Z1993">
        <v>0.45036900000000002</v>
      </c>
      <c r="AA1993">
        <v>0.43876374000000001</v>
      </c>
      <c r="AB1993">
        <v>0.42462488999999998</v>
      </c>
    </row>
    <row r="1994" spans="1:28" hidden="1" x14ac:dyDescent="0.25">
      <c r="A1994" t="s">
        <v>370</v>
      </c>
      <c r="B1994" t="s">
        <v>374</v>
      </c>
      <c r="C1994">
        <v>110</v>
      </c>
      <c r="D1994" t="s">
        <v>2</v>
      </c>
      <c r="E1994">
        <v>26.111212325</v>
      </c>
      <c r="F1994">
        <v>24.861664964999999</v>
      </c>
      <c r="G1994">
        <v>23.908568129999999</v>
      </c>
      <c r="H1994">
        <v>23.113265340000002</v>
      </c>
      <c r="I1994">
        <v>22.751072959999998</v>
      </c>
      <c r="J1994">
        <v>22.304204070000001</v>
      </c>
      <c r="K1994">
        <v>22.00441932</v>
      </c>
      <c r="L1994">
        <v>23.625754929999999</v>
      </c>
      <c r="M1994">
        <v>25.052286105</v>
      </c>
      <c r="N1994">
        <v>26.08993731</v>
      </c>
      <c r="O1994">
        <v>27.269145819999999</v>
      </c>
      <c r="P1994">
        <v>27.94934151</v>
      </c>
      <c r="Q1994">
        <v>28.5284762</v>
      </c>
      <c r="R1994">
        <v>30.406539254999998</v>
      </c>
      <c r="S1994">
        <v>31.637128319999999</v>
      </c>
      <c r="T1994">
        <v>31.739177274999999</v>
      </c>
      <c r="U1994">
        <v>31.322734050000001</v>
      </c>
      <c r="V1994">
        <v>30.2411548</v>
      </c>
      <c r="W1994">
        <v>34.323506999999999</v>
      </c>
      <c r="X1994">
        <v>35.242452900000004</v>
      </c>
      <c r="Y1994">
        <v>35.045614440000001</v>
      </c>
      <c r="Z1994">
        <v>32.233021800000003</v>
      </c>
      <c r="AA1994">
        <v>30.548788030000001</v>
      </c>
      <c r="AB1994">
        <v>28.698749209999999</v>
      </c>
    </row>
    <row r="1995" spans="1:28" hidden="1" x14ac:dyDescent="0.25">
      <c r="A1995" t="s">
        <v>370</v>
      </c>
      <c r="B1995" t="s">
        <v>374</v>
      </c>
      <c r="C1995">
        <v>110</v>
      </c>
      <c r="D1995" t="s">
        <v>3</v>
      </c>
      <c r="E1995">
        <v>7.6420442441</v>
      </c>
      <c r="F1995">
        <v>7.5305057379000004</v>
      </c>
      <c r="G1995">
        <v>7.4449960660999999</v>
      </c>
      <c r="H1995">
        <v>7.4208068881000004</v>
      </c>
      <c r="I1995">
        <v>7.5318699182</v>
      </c>
      <c r="J1995">
        <v>7.7615451054999998</v>
      </c>
      <c r="K1995">
        <v>7.9719305686000004</v>
      </c>
      <c r="L1995">
        <v>8.3353348333999993</v>
      </c>
      <c r="M1995">
        <v>8.5119364653999998</v>
      </c>
      <c r="N1995">
        <v>8.7664222913999996</v>
      </c>
      <c r="O1995">
        <v>9.0708549630000004</v>
      </c>
      <c r="P1995">
        <v>9.1477665149000007</v>
      </c>
      <c r="Q1995">
        <v>9.1800015224999996</v>
      </c>
      <c r="R1995">
        <v>9.5612115500999995</v>
      </c>
      <c r="S1995">
        <v>9.9516413793999998</v>
      </c>
      <c r="T1995">
        <v>9.9744391619999995</v>
      </c>
      <c r="U1995">
        <v>9.7155340299000006</v>
      </c>
      <c r="V1995">
        <v>9.1826899028</v>
      </c>
      <c r="W1995">
        <v>9.6042682263000003</v>
      </c>
      <c r="X1995">
        <v>9.6867258232999998</v>
      </c>
      <c r="Y1995">
        <v>9.4693941386000002</v>
      </c>
      <c r="Z1995">
        <v>8.6695756727000006</v>
      </c>
      <c r="AA1995">
        <v>8.4102553443999994</v>
      </c>
      <c r="AB1995">
        <v>8.1161441595999992</v>
      </c>
    </row>
    <row r="1996" spans="1:28" hidden="1" x14ac:dyDescent="0.25">
      <c r="A1996" t="s">
        <v>370</v>
      </c>
      <c r="B1996" t="s">
        <v>374</v>
      </c>
      <c r="C1996">
        <v>110</v>
      </c>
      <c r="D1996" t="s">
        <v>4</v>
      </c>
      <c r="E1996">
        <v>0.39763267499999999</v>
      </c>
      <c r="F1996">
        <v>0.37860403500000001</v>
      </c>
      <c r="G1996">
        <v>0.36408986999999998</v>
      </c>
      <c r="H1996">
        <v>0.35197866</v>
      </c>
      <c r="I1996">
        <v>0.34646304</v>
      </c>
      <c r="J1996">
        <v>0.33965793</v>
      </c>
      <c r="K1996">
        <v>0.33509267999999998</v>
      </c>
      <c r="L1996">
        <v>0.35978306999999998</v>
      </c>
      <c r="M1996">
        <v>0.38150689500000001</v>
      </c>
      <c r="N1996">
        <v>0.39730869000000002</v>
      </c>
      <c r="O1996">
        <v>0.41526617999999998</v>
      </c>
      <c r="P1996">
        <v>0.42562449000000002</v>
      </c>
      <c r="Q1996">
        <v>0.43444379999999999</v>
      </c>
      <c r="R1996">
        <v>0.46304374500000001</v>
      </c>
      <c r="S1996">
        <v>0.48178367999999999</v>
      </c>
      <c r="T1996">
        <v>0.483337725</v>
      </c>
      <c r="U1996">
        <v>0.47699595</v>
      </c>
      <c r="V1996">
        <v>0.46052520000000002</v>
      </c>
      <c r="W1996">
        <v>0.52269299999999996</v>
      </c>
      <c r="X1996">
        <v>0.53668709999999997</v>
      </c>
      <c r="Y1996">
        <v>0.53368956000000001</v>
      </c>
      <c r="Z1996">
        <v>0.49085820000000002</v>
      </c>
      <c r="AA1996">
        <v>0.46520996999999997</v>
      </c>
      <c r="AB1996">
        <v>0.43703679000000001</v>
      </c>
    </row>
    <row r="1997" spans="1:28" hidden="1" x14ac:dyDescent="0.25">
      <c r="A1997" t="s">
        <v>370</v>
      </c>
      <c r="B1997" t="s">
        <v>375</v>
      </c>
      <c r="C1997">
        <v>220</v>
      </c>
      <c r="D1997" t="s">
        <v>2</v>
      </c>
      <c r="E1997">
        <v>5.4008349999999998</v>
      </c>
      <c r="F1997">
        <v>5.2245650000000001</v>
      </c>
      <c r="G1997">
        <v>5.0977800000000002</v>
      </c>
      <c r="H1997">
        <v>4.9726379999999999</v>
      </c>
      <c r="I1997">
        <v>4.8700080000000003</v>
      </c>
      <c r="J1997">
        <v>4.5849729999999997</v>
      </c>
      <c r="K1997">
        <v>4.1940080000000002</v>
      </c>
      <c r="L1997">
        <v>4.3403039999999997</v>
      </c>
      <c r="M1997">
        <v>4.5867690000000003</v>
      </c>
      <c r="N1997">
        <v>4.7203179999999998</v>
      </c>
      <c r="O1997">
        <v>4.8640480000000004</v>
      </c>
      <c r="P1997">
        <v>4.9613040000000002</v>
      </c>
      <c r="Q1997">
        <v>4.9819599999999999</v>
      </c>
      <c r="R1997">
        <v>5.2517849999999999</v>
      </c>
      <c r="S1997">
        <v>5.2872960000000004</v>
      </c>
      <c r="T1997">
        <v>5.1518959999999998</v>
      </c>
      <c r="U1997">
        <v>5.02759</v>
      </c>
      <c r="V1997">
        <v>5.037128</v>
      </c>
      <c r="W1997">
        <v>6.0895799999999998</v>
      </c>
      <c r="X1997">
        <v>6.3163400000000003</v>
      </c>
      <c r="Y1997">
        <v>6.313796</v>
      </c>
      <c r="Z1997">
        <v>5.8924500000000002</v>
      </c>
      <c r="AA1997">
        <v>5.8100480000000001</v>
      </c>
      <c r="AB1997">
        <v>5.5393850000000002</v>
      </c>
    </row>
    <row r="1998" spans="1:28" hidden="1" x14ac:dyDescent="0.25">
      <c r="A1998" t="s">
        <v>370</v>
      </c>
      <c r="B1998" t="s">
        <v>375</v>
      </c>
      <c r="C1998">
        <v>220</v>
      </c>
      <c r="D1998" t="s">
        <v>3</v>
      </c>
      <c r="E1998">
        <v>1.8453044075</v>
      </c>
      <c r="F1998">
        <v>1.807180746</v>
      </c>
      <c r="G1998">
        <v>1.7935320110999999</v>
      </c>
      <c r="H1998">
        <v>1.7734723129000001</v>
      </c>
      <c r="I1998">
        <v>1.7534856282</v>
      </c>
      <c r="J1998">
        <v>1.6590990191999999</v>
      </c>
      <c r="K1998">
        <v>1.5806314648999999</v>
      </c>
      <c r="L1998">
        <v>1.6986926689999999</v>
      </c>
      <c r="M1998">
        <v>1.8164120512999999</v>
      </c>
      <c r="N1998">
        <v>1.8707816891</v>
      </c>
      <c r="O1998">
        <v>1.9108989497</v>
      </c>
      <c r="P1998">
        <v>1.9150971046</v>
      </c>
      <c r="Q1998">
        <v>1.8704865519</v>
      </c>
      <c r="R1998">
        <v>1.9670159658999999</v>
      </c>
      <c r="S1998">
        <v>1.9993387539</v>
      </c>
      <c r="T1998">
        <v>1.9381333428</v>
      </c>
      <c r="U1998">
        <v>1.8217679852999999</v>
      </c>
      <c r="V1998">
        <v>1.7044532242999999</v>
      </c>
      <c r="W1998">
        <v>1.9639123719</v>
      </c>
      <c r="X1998">
        <v>2.003216605</v>
      </c>
      <c r="Y1998">
        <v>1.9862722322999999</v>
      </c>
      <c r="Z1998">
        <v>1.8901442925</v>
      </c>
      <c r="AA1998">
        <v>1.9187268734</v>
      </c>
      <c r="AB1998">
        <v>1.8678492336000001</v>
      </c>
    </row>
    <row r="1999" spans="1:28" hidden="1" x14ac:dyDescent="0.25">
      <c r="A1999" t="s">
        <v>370</v>
      </c>
      <c r="B1999" t="s">
        <v>375</v>
      </c>
      <c r="C1999">
        <v>220</v>
      </c>
      <c r="D1999" t="s">
        <v>4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</row>
    <row r="2000" spans="1:28" hidden="1" x14ac:dyDescent="0.25">
      <c r="A2000" t="s">
        <v>370</v>
      </c>
      <c r="B2000" t="s">
        <v>376</v>
      </c>
      <c r="C2000">
        <v>110</v>
      </c>
      <c r="D2000" t="s">
        <v>2</v>
      </c>
      <c r="E2000">
        <v>53.835918675000002</v>
      </c>
      <c r="F2000">
        <v>51.146222514999998</v>
      </c>
      <c r="G2000">
        <v>48.940012619999997</v>
      </c>
      <c r="H2000">
        <v>46.847896259999999</v>
      </c>
      <c r="I2000">
        <v>44.950514400000003</v>
      </c>
      <c r="J2000">
        <v>42.187389445000001</v>
      </c>
      <c r="K2000">
        <v>39.880983380000004</v>
      </c>
      <c r="L2000">
        <v>41.053130424999999</v>
      </c>
      <c r="M2000">
        <v>42.981556529999999</v>
      </c>
      <c r="N2000">
        <v>44.244320620000003</v>
      </c>
      <c r="O2000">
        <v>46.467501079999998</v>
      </c>
      <c r="P2000">
        <v>48.643478369999997</v>
      </c>
      <c r="Q2000">
        <v>51.480175930000001</v>
      </c>
      <c r="R2000">
        <v>55.819222085</v>
      </c>
      <c r="S2000">
        <v>57.093247679999998</v>
      </c>
      <c r="T2000">
        <v>55.496784304999998</v>
      </c>
      <c r="U2000">
        <v>53.172122250000001</v>
      </c>
      <c r="V2000">
        <v>50.731853700000002</v>
      </c>
      <c r="W2000">
        <v>57.607961400000001</v>
      </c>
      <c r="X2000">
        <v>60.635703650000004</v>
      </c>
      <c r="Y2000">
        <v>63.5910799201</v>
      </c>
      <c r="Z2000">
        <v>60.993238949999999</v>
      </c>
      <c r="AA2000">
        <v>60.255142990099998</v>
      </c>
      <c r="AB2000">
        <v>57.397498419999998</v>
      </c>
    </row>
    <row r="2001" spans="1:28" hidden="1" x14ac:dyDescent="0.25">
      <c r="A2001" t="s">
        <v>370</v>
      </c>
      <c r="B2001" t="s">
        <v>376</v>
      </c>
      <c r="C2001">
        <v>110</v>
      </c>
      <c r="D2001" t="s">
        <v>3</v>
      </c>
      <c r="E2001">
        <v>22.0962434564</v>
      </c>
      <c r="F2001">
        <v>21.0740473579</v>
      </c>
      <c r="G2001">
        <v>20.1800354031</v>
      </c>
      <c r="H2001">
        <v>19.307300936099999</v>
      </c>
      <c r="I2001">
        <v>18.543273874499999</v>
      </c>
      <c r="J2001">
        <v>17.190370242299998</v>
      </c>
      <c r="K2001">
        <v>16.389480247600002</v>
      </c>
      <c r="L2001">
        <v>16.877496918999999</v>
      </c>
      <c r="M2001">
        <v>17.6782264496</v>
      </c>
      <c r="N2001">
        <v>18.186717439500001</v>
      </c>
      <c r="O2001">
        <v>19.089128513399999</v>
      </c>
      <c r="P2001">
        <v>19.956091871600002</v>
      </c>
      <c r="Q2001">
        <v>21.115099080299998</v>
      </c>
      <c r="R2001">
        <v>23.013197544299999</v>
      </c>
      <c r="S2001">
        <v>23.6364789571</v>
      </c>
      <c r="T2001">
        <v>22.8393583774</v>
      </c>
      <c r="U2001">
        <v>21.750093720399999</v>
      </c>
      <c r="V2001">
        <v>20.459778654899999</v>
      </c>
      <c r="W2001">
        <v>22.595580867599999</v>
      </c>
      <c r="X2001">
        <v>23.639186005999999</v>
      </c>
      <c r="Y2001">
        <v>24.9222411919</v>
      </c>
      <c r="Z2001">
        <v>24.232502156100001</v>
      </c>
      <c r="AA2001">
        <v>24.4014729672</v>
      </c>
      <c r="AB2001">
        <v>23.568643465000001</v>
      </c>
    </row>
    <row r="2002" spans="1:28" hidden="1" x14ac:dyDescent="0.25">
      <c r="A2002" t="s">
        <v>370</v>
      </c>
      <c r="B2002" t="s">
        <v>376</v>
      </c>
      <c r="C2002">
        <v>110</v>
      </c>
      <c r="D2002" t="s">
        <v>4</v>
      </c>
      <c r="E2002">
        <v>0.81983632500000003</v>
      </c>
      <c r="F2002">
        <v>0.77887648499999995</v>
      </c>
      <c r="G2002">
        <v>0.74527938000000005</v>
      </c>
      <c r="H2002">
        <v>0.71341973999999997</v>
      </c>
      <c r="I2002">
        <v>0.68452559999999996</v>
      </c>
      <c r="J2002">
        <v>0.64244755499999995</v>
      </c>
      <c r="K2002">
        <v>0.60732461999999998</v>
      </c>
      <c r="L2002">
        <v>0.62517457499999995</v>
      </c>
      <c r="M2002">
        <v>0.65454146999999996</v>
      </c>
      <c r="N2002">
        <v>0.67377138000000003</v>
      </c>
      <c r="O2002">
        <v>0.70762692000000005</v>
      </c>
      <c r="P2002">
        <v>0.74076363000000001</v>
      </c>
      <c r="Q2002">
        <v>0.78396206999999996</v>
      </c>
      <c r="R2002">
        <v>0.85003891499999995</v>
      </c>
      <c r="S2002">
        <v>0.86944032000000004</v>
      </c>
      <c r="T2002">
        <v>0.84512869499999999</v>
      </c>
      <c r="U2002">
        <v>0.80972774999999997</v>
      </c>
      <c r="V2002">
        <v>0.77256630000000004</v>
      </c>
      <c r="W2002">
        <v>0.87727860000000002</v>
      </c>
      <c r="X2002">
        <v>0.92338635000000002</v>
      </c>
      <c r="Y2002">
        <v>0.96839207989999998</v>
      </c>
      <c r="Z2002">
        <v>0.92883104999999999</v>
      </c>
      <c r="AA2002">
        <v>0.91759100989999998</v>
      </c>
      <c r="AB2002">
        <v>0.87407358000000002</v>
      </c>
    </row>
    <row r="2003" spans="1:28" hidden="1" x14ac:dyDescent="0.25">
      <c r="A2003" t="s">
        <v>370</v>
      </c>
      <c r="B2003" t="s">
        <v>377</v>
      </c>
      <c r="C2003">
        <v>110</v>
      </c>
      <c r="D2003" t="s">
        <v>2</v>
      </c>
      <c r="E2003">
        <v>39.592661075000002</v>
      </c>
      <c r="F2003">
        <v>38.19256927</v>
      </c>
      <c r="G2003">
        <v>37.039104719999997</v>
      </c>
      <c r="H2003">
        <v>35.962491839999998</v>
      </c>
      <c r="I2003">
        <v>34.983874640000003</v>
      </c>
      <c r="J2003">
        <v>32.836160939999999</v>
      </c>
      <c r="K2003">
        <v>29.164124279999999</v>
      </c>
      <c r="L2003">
        <v>28.788322154999999</v>
      </c>
      <c r="M2003">
        <v>29.977183664999998</v>
      </c>
      <c r="N2003">
        <v>31.16869187</v>
      </c>
      <c r="O2003">
        <v>32.370066819999998</v>
      </c>
      <c r="P2003">
        <v>33.733736280000002</v>
      </c>
      <c r="Q2003">
        <v>35.29047362</v>
      </c>
      <c r="R2003">
        <v>37.841338954999998</v>
      </c>
      <c r="S2003">
        <v>39.75028176</v>
      </c>
      <c r="T2003">
        <v>39.392175160000001</v>
      </c>
      <c r="U2003">
        <v>38.416748374999997</v>
      </c>
      <c r="V2003">
        <v>36.660029440000002</v>
      </c>
      <c r="W2003">
        <v>41.542453799999997</v>
      </c>
      <c r="X2003">
        <v>44.013311524999999</v>
      </c>
      <c r="Y2003">
        <v>45.531703800000003</v>
      </c>
      <c r="Z2003">
        <v>43.292050199999998</v>
      </c>
      <c r="AA2003">
        <v>42.305200370000001</v>
      </c>
      <c r="AB2003">
        <v>40.897302439999997</v>
      </c>
    </row>
    <row r="2004" spans="1:28" hidden="1" x14ac:dyDescent="0.25">
      <c r="A2004" t="s">
        <v>370</v>
      </c>
      <c r="B2004" t="s">
        <v>377</v>
      </c>
      <c r="C2004">
        <v>110</v>
      </c>
      <c r="D2004" t="s">
        <v>3</v>
      </c>
      <c r="E2004">
        <v>7.2692136818000002</v>
      </c>
      <c r="F2004">
        <v>7.1163989556000002</v>
      </c>
      <c r="G2004">
        <v>6.8910062744999996</v>
      </c>
      <c r="H2004">
        <v>6.6907059118000003</v>
      </c>
      <c r="I2004">
        <v>6.6186192398000001</v>
      </c>
      <c r="J2004">
        <v>6.5166797392999998</v>
      </c>
      <c r="K2004">
        <v>6.3524334927000004</v>
      </c>
      <c r="L2004">
        <v>6.4053467397999997</v>
      </c>
      <c r="M2004">
        <v>6.5545708238999998</v>
      </c>
      <c r="N2004">
        <v>6.6980280526999998</v>
      </c>
      <c r="O2004">
        <v>6.9497484411999997</v>
      </c>
      <c r="P2004">
        <v>7.1614362850999997</v>
      </c>
      <c r="Q2004">
        <v>7.2760852745999998</v>
      </c>
      <c r="R2004">
        <v>7.4451048774000004</v>
      </c>
      <c r="S2004">
        <v>7.7863929461000003</v>
      </c>
      <c r="T2004">
        <v>7.7459852600000003</v>
      </c>
      <c r="U2004">
        <v>7.6118903816000003</v>
      </c>
      <c r="V2004">
        <v>7.2481169442000004</v>
      </c>
      <c r="W2004">
        <v>7.3957261797999996</v>
      </c>
      <c r="X2004">
        <v>7.3476291704000003</v>
      </c>
      <c r="Y2004">
        <v>7.4113436604</v>
      </c>
      <c r="Z2004">
        <v>7.0964156082000001</v>
      </c>
      <c r="AA2004">
        <v>7.2167376910999996</v>
      </c>
      <c r="AB2004">
        <v>7.3025082364999996</v>
      </c>
    </row>
    <row r="2005" spans="1:28" hidden="1" x14ac:dyDescent="0.25">
      <c r="A2005" t="s">
        <v>370</v>
      </c>
      <c r="B2005" t="s">
        <v>377</v>
      </c>
      <c r="C2005">
        <v>110</v>
      </c>
      <c r="D2005" t="s">
        <v>4</v>
      </c>
      <c r="E2005">
        <v>0.60293392499999998</v>
      </c>
      <c r="F2005">
        <v>0.58161273000000002</v>
      </c>
      <c r="G2005">
        <v>0.56404728000000004</v>
      </c>
      <c r="H2005">
        <v>0.54765216000000005</v>
      </c>
      <c r="I2005">
        <v>0.53274935999999995</v>
      </c>
      <c r="J2005">
        <v>0.50004305999999998</v>
      </c>
      <c r="K2005">
        <v>0.44412372</v>
      </c>
      <c r="L2005">
        <v>0.43840084499999998</v>
      </c>
      <c r="M2005">
        <v>0.45650533500000001</v>
      </c>
      <c r="N2005">
        <v>0.47465013</v>
      </c>
      <c r="O2005">
        <v>0.49294517999999998</v>
      </c>
      <c r="P2005">
        <v>0.51371171999999998</v>
      </c>
      <c r="Q2005">
        <v>0.53741837999999997</v>
      </c>
      <c r="R2005">
        <v>0.57626404499999995</v>
      </c>
      <c r="S2005">
        <v>0.60533424000000002</v>
      </c>
      <c r="T2005">
        <v>0.59988083999999997</v>
      </c>
      <c r="U2005">
        <v>0.58502662500000002</v>
      </c>
      <c r="V2005">
        <v>0.55827455999999998</v>
      </c>
      <c r="W2005">
        <v>0.63262620000000003</v>
      </c>
      <c r="X2005">
        <v>0.67025347499999999</v>
      </c>
      <c r="Y2005">
        <v>0.6933762</v>
      </c>
      <c r="Z2005">
        <v>0.65926980000000002</v>
      </c>
      <c r="AA2005">
        <v>0.64424163000000001</v>
      </c>
      <c r="AB2005">
        <v>0.62280155999999998</v>
      </c>
    </row>
    <row r="2006" spans="1:28" hidden="1" x14ac:dyDescent="0.25">
      <c r="A2006" t="s">
        <v>370</v>
      </c>
      <c r="B2006" t="s">
        <v>378</v>
      </c>
      <c r="C2006">
        <v>110</v>
      </c>
      <c r="D2006" t="s">
        <v>2</v>
      </c>
      <c r="E2006">
        <v>31.850457649999999</v>
      </c>
      <c r="F2006">
        <v>30.257995345000001</v>
      </c>
      <c r="G2006">
        <v>29.001049649999999</v>
      </c>
      <c r="H2006">
        <v>27.900081660000001</v>
      </c>
      <c r="I2006">
        <v>26.996399319999998</v>
      </c>
      <c r="J2006">
        <v>25.969016740000001</v>
      </c>
      <c r="K2006">
        <v>26.19064174</v>
      </c>
      <c r="L2006">
        <v>30.437704655000001</v>
      </c>
      <c r="M2006">
        <v>37.441046774999997</v>
      </c>
      <c r="N2006">
        <v>40.684142530000003</v>
      </c>
      <c r="O2006">
        <v>42.265853559999996</v>
      </c>
      <c r="P2006">
        <v>43.34539977</v>
      </c>
      <c r="Q2006">
        <v>43.35413475</v>
      </c>
      <c r="R2006">
        <v>45.526951175000001</v>
      </c>
      <c r="S2006">
        <v>47.363023679999998</v>
      </c>
      <c r="T2006">
        <v>46.634457595000001</v>
      </c>
      <c r="U2006">
        <v>45.361229850000001</v>
      </c>
      <c r="V2006">
        <v>41.503668439999998</v>
      </c>
      <c r="W2006">
        <v>42.097757399999999</v>
      </c>
      <c r="X2006">
        <v>40.594415925</v>
      </c>
      <c r="Y2006">
        <v>40.431744160000001</v>
      </c>
      <c r="Z2006">
        <v>37.69028625</v>
      </c>
      <c r="AA2006">
        <v>36.732905649999999</v>
      </c>
      <c r="AB2006">
        <v>34.933867175000003</v>
      </c>
    </row>
    <row r="2007" spans="1:28" hidden="1" x14ac:dyDescent="0.25">
      <c r="A2007" t="s">
        <v>370</v>
      </c>
      <c r="B2007" t="s">
        <v>378</v>
      </c>
      <c r="C2007">
        <v>110</v>
      </c>
      <c r="D2007" t="s">
        <v>3</v>
      </c>
      <c r="E2007">
        <v>9.0679772768000007</v>
      </c>
      <c r="F2007">
        <v>8.8088209057999993</v>
      </c>
      <c r="G2007">
        <v>8.6037934709999995</v>
      </c>
      <c r="H2007">
        <v>8.3844385365999994</v>
      </c>
      <c r="I2007">
        <v>8.2803270739000006</v>
      </c>
      <c r="J2007">
        <v>8.2426458171999997</v>
      </c>
      <c r="K2007">
        <v>8.6890381509000001</v>
      </c>
      <c r="L2007">
        <v>9.7173827307000007</v>
      </c>
      <c r="M2007">
        <v>11.5396831946</v>
      </c>
      <c r="N2007">
        <v>12.4497617462</v>
      </c>
      <c r="O2007">
        <v>12.911651498599999</v>
      </c>
      <c r="P2007">
        <v>13.2138419382</v>
      </c>
      <c r="Q2007">
        <v>13.0253539536</v>
      </c>
      <c r="R2007">
        <v>13.520489939899999</v>
      </c>
      <c r="S2007">
        <v>14.157865280499999</v>
      </c>
      <c r="T2007">
        <v>13.920558284</v>
      </c>
      <c r="U2007">
        <v>13.533584943599999</v>
      </c>
      <c r="V2007">
        <v>12.1678395886</v>
      </c>
      <c r="W2007">
        <v>11.6323470256</v>
      </c>
      <c r="X2007">
        <v>11.0286758985</v>
      </c>
      <c r="Y2007">
        <v>10.8947669851</v>
      </c>
      <c r="Z2007">
        <v>10.1467255778</v>
      </c>
      <c r="AA2007">
        <v>10.123195923899999</v>
      </c>
      <c r="AB2007">
        <v>9.9596234637999999</v>
      </c>
    </row>
    <row r="2008" spans="1:28" hidden="1" x14ac:dyDescent="0.25">
      <c r="A2008" t="s">
        <v>370</v>
      </c>
      <c r="B2008" t="s">
        <v>378</v>
      </c>
      <c r="C2008">
        <v>110</v>
      </c>
      <c r="D2008" t="s">
        <v>4</v>
      </c>
      <c r="E2008">
        <v>0.48503235</v>
      </c>
      <c r="F2008">
        <v>0.46078165500000001</v>
      </c>
      <c r="G2008">
        <v>0.44164035000000001</v>
      </c>
      <c r="H2008">
        <v>0.42487434000000002</v>
      </c>
      <c r="I2008">
        <v>0.41111268000000001</v>
      </c>
      <c r="J2008">
        <v>0.39546725999999999</v>
      </c>
      <c r="K2008">
        <v>0.39884226</v>
      </c>
      <c r="L2008">
        <v>0.463518345</v>
      </c>
      <c r="M2008">
        <v>0.57016822499999997</v>
      </c>
      <c r="N2008">
        <v>0.61955547</v>
      </c>
      <c r="O2008">
        <v>0.64364244000000004</v>
      </c>
      <c r="P2008">
        <v>0.66008222999999999</v>
      </c>
      <c r="Q2008">
        <v>0.66021525000000003</v>
      </c>
      <c r="R2008">
        <v>0.69330382499999998</v>
      </c>
      <c r="S2008">
        <v>0.72126431999999996</v>
      </c>
      <c r="T2008">
        <v>0.71016940500000003</v>
      </c>
      <c r="U2008">
        <v>0.69078015000000004</v>
      </c>
      <c r="V2008">
        <v>0.63203556000000005</v>
      </c>
      <c r="W2008">
        <v>0.64108259999999995</v>
      </c>
      <c r="X2008">
        <v>0.61818907499999998</v>
      </c>
      <c r="Y2008">
        <v>0.61571184000000001</v>
      </c>
      <c r="Z2008">
        <v>0.57396374999999999</v>
      </c>
      <c r="AA2008">
        <v>0.55938434999999997</v>
      </c>
      <c r="AB2008">
        <v>0.53198782499999997</v>
      </c>
    </row>
    <row r="2009" spans="1:28" hidden="1" x14ac:dyDescent="0.25">
      <c r="A2009" t="s">
        <v>370</v>
      </c>
      <c r="B2009" t="s">
        <v>379</v>
      </c>
      <c r="C2009">
        <v>34</v>
      </c>
      <c r="D2009" t="s">
        <v>2</v>
      </c>
      <c r="E2009">
        <v>16.184256000000001</v>
      </c>
      <c r="F2009">
        <v>15.86573419</v>
      </c>
      <c r="G2009">
        <v>15.6521916</v>
      </c>
      <c r="H2009">
        <v>15.342905160000001</v>
      </c>
      <c r="I2009">
        <v>15.19945768</v>
      </c>
      <c r="J2009">
        <v>14.542972349999999</v>
      </c>
      <c r="K2009">
        <v>12.53666024</v>
      </c>
      <c r="L2009">
        <v>11.88637127</v>
      </c>
      <c r="M2009">
        <v>11.98431993</v>
      </c>
      <c r="N2009">
        <v>12.247778719999999</v>
      </c>
      <c r="O2009">
        <v>12.69205812</v>
      </c>
      <c r="P2009">
        <v>13.47957396</v>
      </c>
      <c r="Q2009">
        <v>14.522075640000001</v>
      </c>
      <c r="R2009">
        <v>15.075396619999999</v>
      </c>
      <c r="S2009">
        <v>15.18982752</v>
      </c>
      <c r="T2009">
        <v>15.02347543</v>
      </c>
      <c r="U2009">
        <v>14.92046725</v>
      </c>
      <c r="V2009">
        <v>14.786621800000001</v>
      </c>
      <c r="W2009">
        <v>17.074832399999998</v>
      </c>
      <c r="X2009">
        <v>17.50458605</v>
      </c>
      <c r="Y2009">
        <v>17.170412320000001</v>
      </c>
      <c r="Z2009">
        <v>15.667119899999999</v>
      </c>
      <c r="AA2009">
        <v>15.702228079999999</v>
      </c>
      <c r="AB2009">
        <v>16.101773990000002</v>
      </c>
    </row>
    <row r="2010" spans="1:28" hidden="1" x14ac:dyDescent="0.25">
      <c r="A2010" t="s">
        <v>370</v>
      </c>
      <c r="B2010" t="s">
        <v>379</v>
      </c>
      <c r="C2010">
        <v>34</v>
      </c>
      <c r="D2010" t="s">
        <v>3</v>
      </c>
      <c r="E2010">
        <v>6.1021182781999999</v>
      </c>
      <c r="F2010">
        <v>6.1070548968000002</v>
      </c>
      <c r="G2010">
        <v>6.1422290409000002</v>
      </c>
      <c r="H2010">
        <v>6.0985945971</v>
      </c>
      <c r="I2010">
        <v>6.1666172878000003</v>
      </c>
      <c r="J2010">
        <v>6.1961570751000004</v>
      </c>
      <c r="K2010">
        <v>6.0365851600999996</v>
      </c>
      <c r="L2010">
        <v>5.9234773848</v>
      </c>
      <c r="M2010">
        <v>5.8946011339000002</v>
      </c>
      <c r="N2010">
        <v>5.8814777764999997</v>
      </c>
      <c r="O2010">
        <v>5.8795073537000002</v>
      </c>
      <c r="P2010">
        <v>5.8899923089000001</v>
      </c>
      <c r="Q2010">
        <v>6.0045445249</v>
      </c>
      <c r="R2010">
        <v>6.0788580251999997</v>
      </c>
      <c r="S2010">
        <v>6.1278329837000003</v>
      </c>
      <c r="T2010">
        <v>6.0691248443000001</v>
      </c>
      <c r="U2010">
        <v>6.0857318686999999</v>
      </c>
      <c r="V2010">
        <v>6.0325090051999997</v>
      </c>
      <c r="W2010">
        <v>6.1524850657999997</v>
      </c>
      <c r="X2010">
        <v>6.0799941403000002</v>
      </c>
      <c r="Y2010">
        <v>5.9867651975999996</v>
      </c>
      <c r="Z2010">
        <v>5.6018008468999998</v>
      </c>
      <c r="AA2010">
        <v>5.7815804542000002</v>
      </c>
      <c r="AB2010">
        <v>5.9877749474000002</v>
      </c>
    </row>
    <row r="2011" spans="1:28" hidden="1" x14ac:dyDescent="0.25">
      <c r="A2011" t="s">
        <v>370</v>
      </c>
      <c r="B2011" t="s">
        <v>379</v>
      </c>
      <c r="C2011">
        <v>34</v>
      </c>
      <c r="D2011" t="s">
        <v>4</v>
      </c>
      <c r="E2011">
        <v>0.50054399999999999</v>
      </c>
      <c r="F2011">
        <v>0.49069280999999998</v>
      </c>
      <c r="G2011">
        <v>0.48408839999999997</v>
      </c>
      <c r="H2011">
        <v>0.47452284</v>
      </c>
      <c r="I2011">
        <v>0.47008632</v>
      </c>
      <c r="J2011">
        <v>0.44978265000000001</v>
      </c>
      <c r="K2011">
        <v>0.38773175999999998</v>
      </c>
      <c r="L2011">
        <v>0.36761972999999998</v>
      </c>
      <c r="M2011">
        <v>0.37064907000000002</v>
      </c>
      <c r="N2011">
        <v>0.37879728000000001</v>
      </c>
      <c r="O2011">
        <v>0.39253788000000001</v>
      </c>
      <c r="P2011">
        <v>0.41689404000000002</v>
      </c>
      <c r="Q2011">
        <v>0.44913636000000001</v>
      </c>
      <c r="R2011">
        <v>0.46624937999999999</v>
      </c>
      <c r="S2011">
        <v>0.46978848000000001</v>
      </c>
      <c r="T2011">
        <v>0.46464357000000001</v>
      </c>
      <c r="U2011">
        <v>0.46145775</v>
      </c>
      <c r="V2011">
        <v>0.45731820000000001</v>
      </c>
      <c r="W2011">
        <v>0.52808759999999999</v>
      </c>
      <c r="X2011">
        <v>0.54137895000000003</v>
      </c>
      <c r="Y2011">
        <v>0.53104368000000002</v>
      </c>
      <c r="Z2011">
        <v>0.48455009999999998</v>
      </c>
      <c r="AA2011">
        <v>0.48563592</v>
      </c>
      <c r="AB2011">
        <v>0.49799301000000001</v>
      </c>
    </row>
    <row r="2012" spans="1:28" hidden="1" x14ac:dyDescent="0.25">
      <c r="A2012" t="s">
        <v>370</v>
      </c>
      <c r="B2012" t="s">
        <v>380</v>
      </c>
      <c r="C2012">
        <v>110</v>
      </c>
      <c r="D2012" t="s">
        <v>2</v>
      </c>
      <c r="E2012">
        <v>1.279667675</v>
      </c>
      <c r="F2012">
        <v>1.24656872</v>
      </c>
      <c r="G2012">
        <v>1.2810279600000001</v>
      </c>
      <c r="H2012">
        <v>1.3002650099999999</v>
      </c>
      <c r="I2012">
        <v>0.93553724000000005</v>
      </c>
      <c r="J2012">
        <v>0.88291854000000003</v>
      </c>
      <c r="K2012">
        <v>0.65825186000000002</v>
      </c>
      <c r="L2012">
        <v>0.557491285</v>
      </c>
      <c r="M2012">
        <v>0.72343128000000001</v>
      </c>
      <c r="N2012">
        <v>0.74305642000000005</v>
      </c>
      <c r="O2012">
        <v>0.75191353999999999</v>
      </c>
      <c r="P2012">
        <v>0.81448074000000004</v>
      </c>
      <c r="Q2012">
        <v>0.84836867999999999</v>
      </c>
      <c r="R2012">
        <v>0.89575899999999997</v>
      </c>
      <c r="S2012">
        <v>0.72281664000000001</v>
      </c>
      <c r="T2012">
        <v>0.74385131500000001</v>
      </c>
      <c r="U2012">
        <v>0.70808202499999995</v>
      </c>
      <c r="V2012">
        <v>0.63177899999999998</v>
      </c>
      <c r="W2012">
        <v>0.89040059999999999</v>
      </c>
      <c r="X2012">
        <v>0.790122675</v>
      </c>
      <c r="Y2012">
        <v>0.92494257999999996</v>
      </c>
      <c r="Z2012">
        <v>1.155996</v>
      </c>
      <c r="AA2012">
        <v>1.0871622299999999</v>
      </c>
      <c r="AB2012">
        <v>1.2452123749999999</v>
      </c>
    </row>
    <row r="2013" spans="1:28" hidden="1" x14ac:dyDescent="0.25">
      <c r="A2013" t="s">
        <v>370</v>
      </c>
      <c r="B2013" t="s">
        <v>380</v>
      </c>
      <c r="C2013">
        <v>110</v>
      </c>
      <c r="D2013" t="s">
        <v>3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  <c r="AA2013">
        <v>0</v>
      </c>
      <c r="AB2013">
        <v>0</v>
      </c>
    </row>
    <row r="2014" spans="1:28" hidden="1" x14ac:dyDescent="0.25">
      <c r="A2014" t="s">
        <v>370</v>
      </c>
      <c r="B2014" t="s">
        <v>380</v>
      </c>
      <c r="C2014">
        <v>110</v>
      </c>
      <c r="D2014" t="s">
        <v>4</v>
      </c>
      <c r="E2014">
        <v>1.9487325E-2</v>
      </c>
      <c r="F2014">
        <v>1.8983280000000002E-2</v>
      </c>
      <c r="G2014">
        <v>1.9508040000000001E-2</v>
      </c>
      <c r="H2014">
        <v>1.9800990000000001E-2</v>
      </c>
      <c r="I2014">
        <v>1.4246760000000001E-2</v>
      </c>
      <c r="J2014">
        <v>1.3445459999999999E-2</v>
      </c>
      <c r="K2014">
        <v>1.0024140000000001E-2</v>
      </c>
      <c r="L2014">
        <v>8.4897150000000001E-3</v>
      </c>
      <c r="M2014">
        <v>1.1016720000000001E-2</v>
      </c>
      <c r="N2014">
        <v>1.131558E-2</v>
      </c>
      <c r="O2014">
        <v>1.1450460000000001E-2</v>
      </c>
      <c r="P2014">
        <v>1.2403259999999999E-2</v>
      </c>
      <c r="Q2014">
        <v>1.291932E-2</v>
      </c>
      <c r="R2014">
        <v>1.3641E-2</v>
      </c>
      <c r="S2014">
        <v>1.1007360000000001E-2</v>
      </c>
      <c r="T2014">
        <v>1.1327685000000001E-2</v>
      </c>
      <c r="U2014">
        <v>1.0782975E-2</v>
      </c>
      <c r="V2014">
        <v>9.6209999999999993E-3</v>
      </c>
      <c r="W2014">
        <v>1.3559399999999999E-2</v>
      </c>
      <c r="X2014">
        <v>1.2032325E-2</v>
      </c>
      <c r="Y2014">
        <v>1.408542E-2</v>
      </c>
      <c r="Z2014">
        <v>1.7604000000000002E-2</v>
      </c>
      <c r="AA2014">
        <v>1.6555770000000001E-2</v>
      </c>
      <c r="AB2014">
        <v>1.8962625E-2</v>
      </c>
    </row>
    <row r="2015" spans="1:28" hidden="1" x14ac:dyDescent="0.25">
      <c r="A2015" t="s">
        <v>370</v>
      </c>
      <c r="B2015" t="s">
        <v>381</v>
      </c>
      <c r="C2015">
        <v>34</v>
      </c>
      <c r="D2015" t="s">
        <v>2</v>
      </c>
      <c r="E2015">
        <v>8.5346662500000008</v>
      </c>
      <c r="F2015">
        <v>8.1569821999999998</v>
      </c>
      <c r="G2015">
        <v>7.8572444399999997</v>
      </c>
      <c r="H2015">
        <v>7.8149854200000002</v>
      </c>
      <c r="I2015">
        <v>8.1154312799999992</v>
      </c>
      <c r="J2015">
        <v>7.7804039500000002</v>
      </c>
      <c r="K2015">
        <v>7.8681433600000004</v>
      </c>
      <c r="L2015">
        <v>6.0552599200000001</v>
      </c>
      <c r="M2015">
        <v>4.4799915600000002</v>
      </c>
      <c r="N2015">
        <v>3.6764649</v>
      </c>
      <c r="O2015">
        <v>3.3078978800000001</v>
      </c>
      <c r="P2015">
        <v>3.84296346</v>
      </c>
      <c r="Q2015">
        <v>4.88574062</v>
      </c>
      <c r="R2015">
        <v>6.7217391600000003</v>
      </c>
      <c r="S2015">
        <v>8.2086211200000001</v>
      </c>
      <c r="T2015">
        <v>9.5812293200000003</v>
      </c>
      <c r="U2015">
        <v>8.5148443</v>
      </c>
      <c r="V2015">
        <v>8.6272576000000001</v>
      </c>
      <c r="W2015">
        <v>10.715376600000001</v>
      </c>
      <c r="X2015">
        <v>10.96666965</v>
      </c>
      <c r="Y2015">
        <v>10.89002704</v>
      </c>
      <c r="Z2015">
        <v>10.055796000000001</v>
      </c>
      <c r="AA2015">
        <v>9.7003433799999996</v>
      </c>
      <c r="AB2015">
        <v>9.1991026700000003</v>
      </c>
    </row>
    <row r="2016" spans="1:28" hidden="1" x14ac:dyDescent="0.25">
      <c r="A2016" t="s">
        <v>370</v>
      </c>
      <c r="B2016" t="s">
        <v>381</v>
      </c>
      <c r="C2016">
        <v>34</v>
      </c>
      <c r="D2016" t="s">
        <v>3</v>
      </c>
      <c r="E2016">
        <v>3.8093123728</v>
      </c>
      <c r="F2016">
        <v>3.6876294535</v>
      </c>
      <c r="G2016">
        <v>3.5908429649000002</v>
      </c>
      <c r="H2016">
        <v>3.5437493503000002</v>
      </c>
      <c r="I2016">
        <v>3.5927633540000001</v>
      </c>
      <c r="J2016">
        <v>3.6053419213</v>
      </c>
      <c r="K2016">
        <v>4.1645815749999997</v>
      </c>
      <c r="L2016">
        <v>4.6522648493999998</v>
      </c>
      <c r="M2016">
        <v>4.7060097822999998</v>
      </c>
      <c r="N2016">
        <v>4.8410276963000003</v>
      </c>
      <c r="O2016">
        <v>4.8826827582999996</v>
      </c>
      <c r="P2016">
        <v>5.0027790514000001</v>
      </c>
      <c r="Q2016">
        <v>4.8805844848</v>
      </c>
      <c r="R2016">
        <v>4.9381026821000003</v>
      </c>
      <c r="S2016">
        <v>5.1583392714</v>
      </c>
      <c r="T2016">
        <v>5.0082499268999996</v>
      </c>
      <c r="U2016">
        <v>4.7214556700000001</v>
      </c>
      <c r="V2016">
        <v>4.3402947731000001</v>
      </c>
      <c r="W2016">
        <v>4.6993514975000004</v>
      </c>
      <c r="X2016">
        <v>4.6389899296000001</v>
      </c>
      <c r="Y2016">
        <v>4.5609684462000004</v>
      </c>
      <c r="Z2016">
        <v>4.2354034865000001</v>
      </c>
      <c r="AA2016">
        <v>4.2065423844999996</v>
      </c>
      <c r="AB2016">
        <v>4.1061436076</v>
      </c>
    </row>
    <row r="2017" spans="1:28" hidden="1" x14ac:dyDescent="0.25">
      <c r="A2017" t="s">
        <v>370</v>
      </c>
      <c r="B2017" t="s">
        <v>381</v>
      </c>
      <c r="C2017">
        <v>34</v>
      </c>
      <c r="D2017" t="s">
        <v>4</v>
      </c>
      <c r="E2017">
        <v>0.26395875000000002</v>
      </c>
      <c r="F2017">
        <v>0.2522778</v>
      </c>
      <c r="G2017">
        <v>0.24300756000000001</v>
      </c>
      <c r="H2017">
        <v>0.24170058</v>
      </c>
      <c r="I2017">
        <v>0.25099272</v>
      </c>
      <c r="J2017">
        <v>0.24063105000000001</v>
      </c>
      <c r="K2017">
        <v>0.24334464</v>
      </c>
      <c r="L2017">
        <v>0.18727608000000001</v>
      </c>
      <c r="M2017">
        <v>0.13855644</v>
      </c>
      <c r="N2017">
        <v>0.1137051</v>
      </c>
      <c r="O2017">
        <v>0.10230612</v>
      </c>
      <c r="P2017">
        <v>0.11885453999999999</v>
      </c>
      <c r="Q2017">
        <v>0.15110538000000001</v>
      </c>
      <c r="R2017">
        <v>0.20788883999999999</v>
      </c>
      <c r="S2017">
        <v>0.25387488000000002</v>
      </c>
      <c r="T2017">
        <v>0.29632668000000001</v>
      </c>
      <c r="U2017">
        <v>0.26334570000000002</v>
      </c>
      <c r="V2017">
        <v>0.26682240000000002</v>
      </c>
      <c r="W2017">
        <v>0.33140340000000001</v>
      </c>
      <c r="X2017">
        <v>0.33917534999999999</v>
      </c>
      <c r="Y2017">
        <v>0.33680495999999999</v>
      </c>
      <c r="Z2017">
        <v>0.311004</v>
      </c>
      <c r="AA2017">
        <v>0.30001062000000001</v>
      </c>
      <c r="AB2017">
        <v>0.28450832999999998</v>
      </c>
    </row>
    <row r="2018" spans="1:28" hidden="1" x14ac:dyDescent="0.25">
      <c r="A2018" t="s">
        <v>370</v>
      </c>
      <c r="B2018" t="s">
        <v>382</v>
      </c>
      <c r="C2018">
        <v>14</v>
      </c>
      <c r="D2018" t="s">
        <v>2</v>
      </c>
      <c r="E2018">
        <v>0.47881899999999999</v>
      </c>
      <c r="F2018">
        <v>0.45480775000000001</v>
      </c>
      <c r="G2018">
        <v>0.4461561</v>
      </c>
      <c r="H2018">
        <v>0.70656629999999998</v>
      </c>
      <c r="I2018">
        <v>0.80523520000000004</v>
      </c>
      <c r="J2018">
        <v>0.78396279999999996</v>
      </c>
      <c r="K2018">
        <v>0.18764400000000001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8.6393000000000008E-3</v>
      </c>
      <c r="S2018">
        <v>0</v>
      </c>
      <c r="T2018">
        <v>2.64081E-2</v>
      </c>
      <c r="U2018">
        <v>8.4834999999999994E-2</v>
      </c>
      <c r="V2018">
        <v>0.51996160000000002</v>
      </c>
      <c r="W2018">
        <v>0.84029399999999999</v>
      </c>
      <c r="X2018">
        <v>0.76683999999999997</v>
      </c>
      <c r="Y2018">
        <v>0.72450420000000004</v>
      </c>
      <c r="Z2018">
        <v>0.60391499999999998</v>
      </c>
      <c r="AA2018">
        <v>0.52653559999999999</v>
      </c>
      <c r="AB2018">
        <v>0.50222224999999998</v>
      </c>
    </row>
    <row r="2019" spans="1:28" hidden="1" x14ac:dyDescent="0.25">
      <c r="A2019" t="s">
        <v>370</v>
      </c>
      <c r="B2019" t="s">
        <v>382</v>
      </c>
      <c r="C2019">
        <v>14</v>
      </c>
      <c r="D2019" t="s">
        <v>3</v>
      </c>
      <c r="E2019">
        <v>9.0374373300000005E-2</v>
      </c>
      <c r="F2019">
        <v>8.7653767800000004E-2</v>
      </c>
      <c r="G2019">
        <v>9.05024408E-2</v>
      </c>
      <c r="H2019">
        <v>0.23095589250000001</v>
      </c>
      <c r="I2019">
        <v>0.28141719990000003</v>
      </c>
      <c r="J2019">
        <v>0.26058556370000002</v>
      </c>
      <c r="K2019">
        <v>0.25706094550000003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1.4642626492999999</v>
      </c>
      <c r="S2019">
        <v>0</v>
      </c>
      <c r="T2019">
        <v>0.84302627370000005</v>
      </c>
      <c r="U2019">
        <v>0.5965622531</v>
      </c>
      <c r="V2019">
        <v>0.36417836040000001</v>
      </c>
      <c r="W2019">
        <v>0.25242681030000003</v>
      </c>
      <c r="X2019">
        <v>0.2052385072</v>
      </c>
      <c r="Y2019">
        <v>0.17934940739999999</v>
      </c>
      <c r="Z2019">
        <v>0.12965859330000001</v>
      </c>
      <c r="AA2019">
        <v>8.9659132899999994E-2</v>
      </c>
      <c r="AB2019">
        <v>9.0380457799999994E-2</v>
      </c>
    </row>
    <row r="2020" spans="1:28" hidden="1" x14ac:dyDescent="0.25">
      <c r="A2020" t="s">
        <v>370</v>
      </c>
      <c r="B2020" t="s">
        <v>382</v>
      </c>
      <c r="C2020">
        <v>14</v>
      </c>
      <c r="D2020" t="s">
        <v>4</v>
      </c>
      <c r="E2020">
        <v>2.5201000000000001E-2</v>
      </c>
      <c r="F2020">
        <v>2.393725E-2</v>
      </c>
      <c r="G2020">
        <v>2.34819E-2</v>
      </c>
      <c r="H2020">
        <v>3.7187699999999997E-2</v>
      </c>
      <c r="I2020">
        <v>4.2380800000000003E-2</v>
      </c>
      <c r="J2020">
        <v>4.1261199999999998E-2</v>
      </c>
      <c r="K2020">
        <v>9.8759999999999994E-3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4.5469999999999999E-4</v>
      </c>
      <c r="S2020">
        <v>0</v>
      </c>
      <c r="T2020">
        <v>1.3898999999999999E-3</v>
      </c>
      <c r="U2020">
        <v>4.4650000000000002E-3</v>
      </c>
      <c r="V2020">
        <v>2.7366399999999999E-2</v>
      </c>
      <c r="W2020">
        <v>4.4226000000000001E-2</v>
      </c>
      <c r="X2020">
        <v>4.036E-2</v>
      </c>
      <c r="Y2020">
        <v>3.81318E-2</v>
      </c>
      <c r="Z2020">
        <v>3.1785000000000001E-2</v>
      </c>
      <c r="AA2020">
        <v>2.7712400000000002E-2</v>
      </c>
      <c r="AB2020">
        <v>2.6432750000000001E-2</v>
      </c>
    </row>
    <row r="2021" spans="1:28" hidden="1" x14ac:dyDescent="0.25">
      <c r="A2021" t="s">
        <v>370</v>
      </c>
      <c r="B2021" t="s">
        <v>383</v>
      </c>
      <c r="C2021">
        <v>110</v>
      </c>
      <c r="D2021" t="s">
        <v>2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</row>
    <row r="2022" spans="1:28" hidden="1" x14ac:dyDescent="0.25">
      <c r="A2022" t="s">
        <v>370</v>
      </c>
      <c r="B2022" t="s">
        <v>383</v>
      </c>
      <c r="C2022">
        <v>110</v>
      </c>
      <c r="D2022" t="s">
        <v>3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</row>
    <row r="2023" spans="1:28" hidden="1" x14ac:dyDescent="0.25">
      <c r="A2023" t="s">
        <v>370</v>
      </c>
      <c r="B2023" t="s">
        <v>383</v>
      </c>
      <c r="C2023">
        <v>110</v>
      </c>
      <c r="D2023" t="s">
        <v>4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0</v>
      </c>
      <c r="AA2023">
        <v>0</v>
      </c>
      <c r="AB2023">
        <v>0</v>
      </c>
    </row>
    <row r="2024" spans="1:28" hidden="1" x14ac:dyDescent="0.25">
      <c r="A2024" t="s">
        <v>370</v>
      </c>
      <c r="B2024" t="s">
        <v>384</v>
      </c>
      <c r="C2024">
        <v>110</v>
      </c>
      <c r="D2024" t="s">
        <v>2</v>
      </c>
      <c r="E2024">
        <v>65.348647924999995</v>
      </c>
      <c r="F2024">
        <v>62.644178734999997</v>
      </c>
      <c r="G2024">
        <v>60.477171839999997</v>
      </c>
      <c r="H2024">
        <v>59.16781134</v>
      </c>
      <c r="I2024">
        <v>57.708856920000002</v>
      </c>
      <c r="J2024">
        <v>54.026205900000001</v>
      </c>
      <c r="K2024">
        <v>51.32743198</v>
      </c>
      <c r="L2024">
        <v>52.724160994999998</v>
      </c>
      <c r="M2024">
        <v>54.883392299999997</v>
      </c>
      <c r="N2024">
        <v>56.382111170100004</v>
      </c>
      <c r="O2024">
        <v>58.671926880000001</v>
      </c>
      <c r="P2024">
        <v>60.330881609999999</v>
      </c>
      <c r="Q2024">
        <v>62.849979709999999</v>
      </c>
      <c r="R2024">
        <v>68.167259900000005</v>
      </c>
      <c r="S2024">
        <v>70.798963200000003</v>
      </c>
      <c r="T2024">
        <v>69.456546099999997</v>
      </c>
      <c r="U2024">
        <v>66.889562225000006</v>
      </c>
      <c r="V2024">
        <v>64.049755020099994</v>
      </c>
      <c r="W2024">
        <v>71.519273999999996</v>
      </c>
      <c r="X2024">
        <v>74.609445550000004</v>
      </c>
      <c r="Y2024">
        <v>77.332353940000004</v>
      </c>
      <c r="Z2024">
        <v>73.087847100000005</v>
      </c>
      <c r="AA2024">
        <v>71.606810949999996</v>
      </c>
      <c r="AB2024">
        <v>69.007405800000001</v>
      </c>
    </row>
    <row r="2025" spans="1:28" hidden="1" x14ac:dyDescent="0.25">
      <c r="A2025" t="s">
        <v>370</v>
      </c>
      <c r="B2025" t="s">
        <v>384</v>
      </c>
      <c r="C2025">
        <v>110</v>
      </c>
      <c r="D2025" t="s">
        <v>3</v>
      </c>
      <c r="E2025">
        <v>23.882769377300001</v>
      </c>
      <c r="F2025">
        <v>22.966707403400001</v>
      </c>
      <c r="G2025">
        <v>22.1064001672</v>
      </c>
      <c r="H2025">
        <v>21.6863452435</v>
      </c>
      <c r="I2025">
        <v>21.2655404291</v>
      </c>
      <c r="J2025">
        <v>20.0642761294</v>
      </c>
      <c r="K2025">
        <v>19.5661390247</v>
      </c>
      <c r="L2025">
        <v>20.294638856900001</v>
      </c>
      <c r="M2025">
        <v>21.1766062584</v>
      </c>
      <c r="N2025">
        <v>21.758481684900001</v>
      </c>
      <c r="O2025">
        <v>22.705751272699999</v>
      </c>
      <c r="P2025">
        <v>23.2245534702</v>
      </c>
      <c r="Q2025">
        <v>24.025192643899999</v>
      </c>
      <c r="R2025">
        <v>26.132118894400001</v>
      </c>
      <c r="S2025">
        <v>27.308546307299999</v>
      </c>
      <c r="T2025">
        <v>26.673082142399998</v>
      </c>
      <c r="U2025">
        <v>25.373526621700002</v>
      </c>
      <c r="V2025">
        <v>23.8182152312</v>
      </c>
      <c r="W2025">
        <v>25.024055439600001</v>
      </c>
      <c r="X2025">
        <v>25.812570517499999</v>
      </c>
      <c r="Y2025">
        <v>26.868327618199999</v>
      </c>
      <c r="Z2025">
        <v>25.677071421600001</v>
      </c>
      <c r="AA2025">
        <v>25.679800871099999</v>
      </c>
      <c r="AB2025">
        <v>25.087525728300001</v>
      </c>
    </row>
    <row r="2026" spans="1:28" hidden="1" x14ac:dyDescent="0.25">
      <c r="A2026" t="s">
        <v>370</v>
      </c>
      <c r="B2026" t="s">
        <v>384</v>
      </c>
      <c r="C2026">
        <v>110</v>
      </c>
      <c r="D2026" t="s">
        <v>4</v>
      </c>
      <c r="E2026">
        <v>0.99515707499999995</v>
      </c>
      <c r="F2026">
        <v>0.95397226499999999</v>
      </c>
      <c r="G2026">
        <v>0.92097216000000004</v>
      </c>
      <c r="H2026">
        <v>0.90103266000000004</v>
      </c>
      <c r="I2026">
        <v>0.87881507999999997</v>
      </c>
      <c r="J2026">
        <v>0.82273410000000002</v>
      </c>
      <c r="K2026">
        <v>0.78163601999999999</v>
      </c>
      <c r="L2026">
        <v>0.80290600499999998</v>
      </c>
      <c r="M2026">
        <v>0.83578770000000002</v>
      </c>
      <c r="N2026">
        <v>0.85861082990000004</v>
      </c>
      <c r="O2026">
        <v>0.89348112000000002</v>
      </c>
      <c r="P2026">
        <v>0.91874438999999997</v>
      </c>
      <c r="Q2026">
        <v>0.95710629000000003</v>
      </c>
      <c r="R2026">
        <v>1.0380801</v>
      </c>
      <c r="S2026">
        <v>1.0781567999999999</v>
      </c>
      <c r="T2026">
        <v>1.0577139</v>
      </c>
      <c r="U2026">
        <v>1.0186227750000001</v>
      </c>
      <c r="V2026">
        <v>0.97537697990000005</v>
      </c>
      <c r="W2026">
        <v>1.089126</v>
      </c>
      <c r="X2026">
        <v>1.13618445</v>
      </c>
      <c r="Y2026">
        <v>1.1776500599999999</v>
      </c>
      <c r="Z2026">
        <v>1.1130129</v>
      </c>
      <c r="AA2026">
        <v>1.09045905</v>
      </c>
      <c r="AB2026">
        <v>1.0508742</v>
      </c>
    </row>
    <row r="2027" spans="1:28" hidden="1" x14ac:dyDescent="0.25">
      <c r="A2027" t="s">
        <v>370</v>
      </c>
      <c r="B2027" t="s">
        <v>385</v>
      </c>
      <c r="C2027">
        <v>110</v>
      </c>
      <c r="D2027" t="s">
        <v>2</v>
      </c>
      <c r="E2027">
        <v>37.623941575000003</v>
      </c>
      <c r="F2027">
        <v>36.072582335</v>
      </c>
      <c r="G2027">
        <v>34.698461039999998</v>
      </c>
      <c r="H2027">
        <v>33.465522749999998</v>
      </c>
      <c r="I2027">
        <v>32.259262200000002</v>
      </c>
      <c r="J2027">
        <v>29.017187889999999</v>
      </c>
      <c r="K2027">
        <v>24.94547566</v>
      </c>
      <c r="L2027">
        <v>24.790218974999998</v>
      </c>
      <c r="M2027">
        <v>26.085262499999999</v>
      </c>
      <c r="N2027">
        <v>27.345197670000001</v>
      </c>
      <c r="O2027">
        <v>29.52488644</v>
      </c>
      <c r="P2027">
        <v>32.326187040000001</v>
      </c>
      <c r="Q2027">
        <v>35.452661749999997</v>
      </c>
      <c r="R2027">
        <v>37.92643606</v>
      </c>
      <c r="S2027">
        <v>39.273037440000003</v>
      </c>
      <c r="T2027">
        <v>38.004869640000003</v>
      </c>
      <c r="U2027">
        <v>36.235327974999997</v>
      </c>
      <c r="V2027">
        <v>34.229786220000001</v>
      </c>
      <c r="W2027">
        <v>40.336104599999999</v>
      </c>
      <c r="X2027">
        <v>42.72625635</v>
      </c>
      <c r="Y2027">
        <v>45.29152534</v>
      </c>
      <c r="Z2027">
        <v>42.954884700000001</v>
      </c>
      <c r="AA2027">
        <v>41.509830600000001</v>
      </c>
      <c r="AB2027">
        <v>39.724538785</v>
      </c>
    </row>
    <row r="2028" spans="1:28" hidden="1" x14ac:dyDescent="0.25">
      <c r="A2028" t="s">
        <v>370</v>
      </c>
      <c r="B2028" t="s">
        <v>385</v>
      </c>
      <c r="C2028">
        <v>110</v>
      </c>
      <c r="D2028" t="s">
        <v>3</v>
      </c>
      <c r="E2028">
        <v>10.692392013799999</v>
      </c>
      <c r="F2028">
        <v>10.1369200629</v>
      </c>
      <c r="G2028">
        <v>9.6325824161</v>
      </c>
      <c r="H2028">
        <v>9.2538694706999998</v>
      </c>
      <c r="I2028">
        <v>8.9684222399000006</v>
      </c>
      <c r="J2028">
        <v>8.2303558053000003</v>
      </c>
      <c r="K2028">
        <v>7.8275405613000002</v>
      </c>
      <c r="L2028">
        <v>8.1499102064999995</v>
      </c>
      <c r="M2028">
        <v>8.5088412107</v>
      </c>
      <c r="N2028">
        <v>8.8660498953999998</v>
      </c>
      <c r="O2028">
        <v>9.5748794290999992</v>
      </c>
      <c r="P2028">
        <v>10.3448645612</v>
      </c>
      <c r="Q2028">
        <v>11.4412653055</v>
      </c>
      <c r="R2028">
        <v>12.268210399000001</v>
      </c>
      <c r="S2028">
        <v>12.6317666371</v>
      </c>
      <c r="T2028">
        <v>12.0614799018</v>
      </c>
      <c r="U2028">
        <v>11.1032689844</v>
      </c>
      <c r="V2028">
        <v>9.8851544464999996</v>
      </c>
      <c r="W2028">
        <v>11.0112633944</v>
      </c>
      <c r="X2028">
        <v>11.7298434854</v>
      </c>
      <c r="Y2028">
        <v>12.8338064346</v>
      </c>
      <c r="Z2028">
        <v>12.424974773700001</v>
      </c>
      <c r="AA2028">
        <v>12.058701797299999</v>
      </c>
      <c r="AB2028">
        <v>11.4890266993</v>
      </c>
    </row>
    <row r="2029" spans="1:28" hidden="1" x14ac:dyDescent="0.25">
      <c r="A2029" t="s">
        <v>370</v>
      </c>
      <c r="B2029" t="s">
        <v>385</v>
      </c>
      <c r="C2029">
        <v>110</v>
      </c>
      <c r="D2029" t="s">
        <v>4</v>
      </c>
      <c r="E2029">
        <v>0.57295342500000002</v>
      </c>
      <c r="F2029">
        <v>0.54932866499999999</v>
      </c>
      <c r="G2029">
        <v>0.52840295999999998</v>
      </c>
      <c r="H2029">
        <v>0.50962724999999998</v>
      </c>
      <c r="I2029">
        <v>0.49125780000000002</v>
      </c>
      <c r="J2029">
        <v>0.44188611</v>
      </c>
      <c r="K2029">
        <v>0.37988033999999998</v>
      </c>
      <c r="L2029">
        <v>0.37751602499999998</v>
      </c>
      <c r="M2029">
        <v>0.39723750000000002</v>
      </c>
      <c r="N2029">
        <v>0.41642433000000001</v>
      </c>
      <c r="O2029">
        <v>0.44961756000000003</v>
      </c>
      <c r="P2029">
        <v>0.49227695999999999</v>
      </c>
      <c r="Q2029">
        <v>0.53988824999999996</v>
      </c>
      <c r="R2029">
        <v>0.57755993999999999</v>
      </c>
      <c r="S2029">
        <v>0.59806656000000002</v>
      </c>
      <c r="T2029">
        <v>0.57875436000000002</v>
      </c>
      <c r="U2029">
        <v>0.55180702500000001</v>
      </c>
      <c r="V2029">
        <v>0.52126578000000001</v>
      </c>
      <c r="W2029">
        <v>0.61425540000000001</v>
      </c>
      <c r="X2029">
        <v>0.65065364999999997</v>
      </c>
      <c r="Y2029">
        <v>0.68971866000000004</v>
      </c>
      <c r="Z2029">
        <v>0.65413529999999998</v>
      </c>
      <c r="AA2029">
        <v>0.63212939999999995</v>
      </c>
      <c r="AB2029">
        <v>0.60494221500000001</v>
      </c>
    </row>
    <row r="2030" spans="1:28" hidden="1" x14ac:dyDescent="0.25">
      <c r="A2030" t="s">
        <v>370</v>
      </c>
      <c r="B2030" t="s">
        <v>386</v>
      </c>
      <c r="C2030">
        <v>110</v>
      </c>
      <c r="D2030" t="s">
        <v>2</v>
      </c>
      <c r="E2030">
        <v>60.144380724999998</v>
      </c>
      <c r="F2030">
        <v>57.321658345000003</v>
      </c>
      <c r="G2030">
        <v>55.040710590000003</v>
      </c>
      <c r="H2030">
        <v>53.073058830000001</v>
      </c>
      <c r="I2030">
        <v>51.435912000000002</v>
      </c>
      <c r="J2030">
        <v>48.872344105000003</v>
      </c>
      <c r="K2030">
        <v>45.361011179999998</v>
      </c>
      <c r="L2030">
        <v>45.133702730000003</v>
      </c>
      <c r="M2030">
        <v>46.901301975000003</v>
      </c>
      <c r="N2030">
        <v>48.832513659999996</v>
      </c>
      <c r="O2030">
        <v>51.832914279999997</v>
      </c>
      <c r="P2030">
        <v>54.194599529999998</v>
      </c>
      <c r="Q2030">
        <v>57.655800880000001</v>
      </c>
      <c r="R2030">
        <v>61.565516070000001</v>
      </c>
      <c r="S2030">
        <v>62.166864480000001</v>
      </c>
      <c r="T2030">
        <v>61.319816684999999</v>
      </c>
      <c r="U2030">
        <v>59.553656525000001</v>
      </c>
      <c r="V2030">
        <v>57.592973639999997</v>
      </c>
      <c r="W2030">
        <v>65.789115300000006</v>
      </c>
      <c r="X2030">
        <v>69.063678850000002</v>
      </c>
      <c r="Y2030">
        <v>70.719781019999999</v>
      </c>
      <c r="Z2030">
        <v>66.715419150000002</v>
      </c>
      <c r="AA2030">
        <v>65.507407270000002</v>
      </c>
      <c r="AB2030">
        <v>63.342821505000003</v>
      </c>
    </row>
    <row r="2031" spans="1:28" hidden="1" x14ac:dyDescent="0.25">
      <c r="A2031" t="s">
        <v>370</v>
      </c>
      <c r="B2031" t="s">
        <v>386</v>
      </c>
      <c r="C2031">
        <v>110</v>
      </c>
      <c r="D2031" t="s">
        <v>3</v>
      </c>
      <c r="E2031">
        <v>22.0403155602</v>
      </c>
      <c r="F2031">
        <v>21.246898079200001</v>
      </c>
      <c r="G2031">
        <v>20.572104798200002</v>
      </c>
      <c r="H2031">
        <v>20.053613717299999</v>
      </c>
      <c r="I2031">
        <v>19.617413802000002</v>
      </c>
      <c r="J2031">
        <v>18.788553469</v>
      </c>
      <c r="K2031">
        <v>18.184996103900001</v>
      </c>
      <c r="L2031">
        <v>18.1796303506</v>
      </c>
      <c r="M2031">
        <v>18.483423067</v>
      </c>
      <c r="N2031">
        <v>18.915053711700001</v>
      </c>
      <c r="O2031">
        <v>19.650314902400002</v>
      </c>
      <c r="P2031">
        <v>20.181678268100001</v>
      </c>
      <c r="Q2031">
        <v>21.1302593586</v>
      </c>
      <c r="R2031">
        <v>22.255322498200002</v>
      </c>
      <c r="S2031">
        <v>22.6829598514</v>
      </c>
      <c r="T2031">
        <v>22.5800503175</v>
      </c>
      <c r="U2031">
        <v>21.882686246799999</v>
      </c>
      <c r="V2031">
        <v>21.017882237599999</v>
      </c>
      <c r="W2031">
        <v>23.181950776099999</v>
      </c>
      <c r="X2031">
        <v>23.969509833499998</v>
      </c>
      <c r="Y2031">
        <v>24.279894129199999</v>
      </c>
      <c r="Z2031">
        <v>23.0243139299</v>
      </c>
      <c r="AA2031">
        <v>23.1026237773</v>
      </c>
      <c r="AB2031">
        <v>22.899907546600001</v>
      </c>
    </row>
    <row r="2032" spans="1:28" hidden="1" x14ac:dyDescent="0.25">
      <c r="A2032" t="s">
        <v>370</v>
      </c>
      <c r="B2032" t="s">
        <v>386</v>
      </c>
      <c r="C2032">
        <v>110</v>
      </c>
      <c r="D2032" t="s">
        <v>4</v>
      </c>
      <c r="E2032">
        <v>0.91590427500000005</v>
      </c>
      <c r="F2032">
        <v>0.87291865499999999</v>
      </c>
      <c r="G2032">
        <v>0.83818340999999996</v>
      </c>
      <c r="H2032">
        <v>0.80821916999999999</v>
      </c>
      <c r="I2032">
        <v>0.78328799999999998</v>
      </c>
      <c r="J2032">
        <v>0.74424889500000002</v>
      </c>
      <c r="K2032">
        <v>0.69077681999999996</v>
      </c>
      <c r="L2032">
        <v>0.68731527000000003</v>
      </c>
      <c r="M2032">
        <v>0.71423302499999997</v>
      </c>
      <c r="N2032">
        <v>0.74364233999999996</v>
      </c>
      <c r="O2032">
        <v>0.78933372000000002</v>
      </c>
      <c r="P2032">
        <v>0.82529847000000001</v>
      </c>
      <c r="Q2032">
        <v>0.87800712000000003</v>
      </c>
      <c r="R2032">
        <v>0.93754592999999997</v>
      </c>
      <c r="S2032">
        <v>0.94670352000000002</v>
      </c>
      <c r="T2032">
        <v>0.93380431500000005</v>
      </c>
      <c r="U2032">
        <v>0.90690847500000005</v>
      </c>
      <c r="V2032">
        <v>0.87705036000000003</v>
      </c>
      <c r="W2032">
        <v>1.0018647000000001</v>
      </c>
      <c r="X2032">
        <v>1.0517311499999999</v>
      </c>
      <c r="Y2032">
        <v>1.0769509799999999</v>
      </c>
      <c r="Z2032">
        <v>1.01597085</v>
      </c>
      <c r="AA2032">
        <v>0.99757472999999997</v>
      </c>
      <c r="AB2032">
        <v>0.96461149499999999</v>
      </c>
    </row>
    <row r="2033" spans="1:28" hidden="1" x14ac:dyDescent="0.25">
      <c r="A2033" t="s">
        <v>370</v>
      </c>
      <c r="B2033" t="s">
        <v>387</v>
      </c>
      <c r="C2033">
        <v>14</v>
      </c>
      <c r="D2033" t="s">
        <v>2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</row>
    <row r="2034" spans="1:28" hidden="1" x14ac:dyDescent="0.25">
      <c r="A2034" t="s">
        <v>370</v>
      </c>
      <c r="B2034" t="s">
        <v>387</v>
      </c>
      <c r="C2034">
        <v>14</v>
      </c>
      <c r="D2034" t="s">
        <v>3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0</v>
      </c>
      <c r="AA2034">
        <v>0</v>
      </c>
      <c r="AB2034">
        <v>0</v>
      </c>
    </row>
    <row r="2035" spans="1:28" hidden="1" x14ac:dyDescent="0.25">
      <c r="A2035" t="s">
        <v>370</v>
      </c>
      <c r="B2035" t="s">
        <v>387</v>
      </c>
      <c r="C2035">
        <v>14</v>
      </c>
      <c r="D2035" t="s">
        <v>4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</row>
    <row r="2036" spans="1:28" hidden="1" x14ac:dyDescent="0.25">
      <c r="A2036" t="s">
        <v>370</v>
      </c>
      <c r="B2036" t="s">
        <v>388</v>
      </c>
      <c r="C2036">
        <v>110</v>
      </c>
      <c r="D2036" t="s">
        <v>2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</row>
    <row r="2037" spans="1:28" hidden="1" x14ac:dyDescent="0.25">
      <c r="A2037" t="s">
        <v>370</v>
      </c>
      <c r="B2037" t="s">
        <v>388</v>
      </c>
      <c r="C2037">
        <v>110</v>
      </c>
      <c r="D2037" t="s">
        <v>3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</row>
    <row r="2038" spans="1:28" hidden="1" x14ac:dyDescent="0.25">
      <c r="A2038" t="s">
        <v>370</v>
      </c>
      <c r="B2038" t="s">
        <v>388</v>
      </c>
      <c r="C2038">
        <v>110</v>
      </c>
      <c r="D2038" t="s">
        <v>4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</row>
    <row r="2039" spans="1:28" hidden="1" x14ac:dyDescent="0.25">
      <c r="A2039" t="s">
        <v>389</v>
      </c>
      <c r="B2039" t="s">
        <v>390</v>
      </c>
      <c r="C2039">
        <v>110</v>
      </c>
      <c r="D2039" t="s">
        <v>2</v>
      </c>
      <c r="E2039">
        <v>8.2739999999999991</v>
      </c>
      <c r="F2039">
        <v>7.9706200000000003</v>
      </c>
      <c r="G2039">
        <v>7.4071999999999996</v>
      </c>
      <c r="H2039">
        <v>7.5372199999999996</v>
      </c>
      <c r="I2039">
        <v>7.4229599999999998</v>
      </c>
      <c r="J2039">
        <v>7.5214600000000003</v>
      </c>
      <c r="K2039">
        <v>7.9233399999999996</v>
      </c>
      <c r="L2039">
        <v>8.3685600000000004</v>
      </c>
      <c r="M2039">
        <v>9.0462399999999992</v>
      </c>
      <c r="N2039">
        <v>9.8460599999999996</v>
      </c>
      <c r="O2039">
        <v>10.5001</v>
      </c>
      <c r="P2039">
        <v>10.86652</v>
      </c>
      <c r="Q2039">
        <v>10.53556</v>
      </c>
      <c r="R2039">
        <v>11.17384</v>
      </c>
      <c r="S2039">
        <v>11.737259999999999</v>
      </c>
      <c r="T2039">
        <v>11.622999999999999</v>
      </c>
      <c r="U2039">
        <v>11.5245</v>
      </c>
      <c r="V2039">
        <v>11.213240000000001</v>
      </c>
      <c r="W2039">
        <v>12.2286962</v>
      </c>
      <c r="X2039">
        <v>11.926261800000001</v>
      </c>
      <c r="Y2039">
        <v>10.923453</v>
      </c>
      <c r="Z2039">
        <v>10.48828</v>
      </c>
      <c r="AA2039">
        <v>9.4244800000000009</v>
      </c>
      <c r="AB2039">
        <v>8.5694999999999997</v>
      </c>
    </row>
    <row r="2040" spans="1:28" hidden="1" x14ac:dyDescent="0.25">
      <c r="A2040" t="s">
        <v>389</v>
      </c>
      <c r="B2040" t="s">
        <v>390</v>
      </c>
      <c r="C2040">
        <v>110</v>
      </c>
      <c r="D2040" t="s">
        <v>3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</row>
    <row r="2041" spans="1:28" hidden="1" x14ac:dyDescent="0.25">
      <c r="A2041" t="s">
        <v>389</v>
      </c>
      <c r="B2041" t="s">
        <v>390</v>
      </c>
      <c r="C2041">
        <v>110</v>
      </c>
      <c r="D2041" t="s">
        <v>4</v>
      </c>
      <c r="E2041">
        <v>0.126</v>
      </c>
      <c r="F2041">
        <v>0.12138</v>
      </c>
      <c r="G2041">
        <v>0.1128</v>
      </c>
      <c r="H2041">
        <v>0.11477999999999999</v>
      </c>
      <c r="I2041">
        <v>0.11304</v>
      </c>
      <c r="J2041">
        <v>0.11454</v>
      </c>
      <c r="K2041">
        <v>0.12066</v>
      </c>
      <c r="L2041">
        <v>0.12744</v>
      </c>
      <c r="M2041">
        <v>0.13775999999999999</v>
      </c>
      <c r="N2041">
        <v>0.14993999999999999</v>
      </c>
      <c r="O2041">
        <v>0.15989999999999999</v>
      </c>
      <c r="P2041">
        <v>0.16547999999999999</v>
      </c>
      <c r="Q2041">
        <v>0.16044</v>
      </c>
      <c r="R2041">
        <v>0.17016000000000001</v>
      </c>
      <c r="S2041">
        <v>0.17874000000000001</v>
      </c>
      <c r="T2041">
        <v>0.17699999999999999</v>
      </c>
      <c r="U2041">
        <v>0.17549999999999999</v>
      </c>
      <c r="V2041">
        <v>0.17076</v>
      </c>
      <c r="W2041">
        <v>0.18622379999999999</v>
      </c>
      <c r="X2041">
        <v>0.18161820000000001</v>
      </c>
      <c r="Y2041">
        <v>0.16634699999999999</v>
      </c>
      <c r="Z2041">
        <v>0.15972</v>
      </c>
      <c r="AA2041">
        <v>0.14352000000000001</v>
      </c>
      <c r="AB2041">
        <v>0.1305</v>
      </c>
    </row>
    <row r="2042" spans="1:28" hidden="1" x14ac:dyDescent="0.25">
      <c r="A2042" t="s">
        <v>391</v>
      </c>
      <c r="B2042" t="s">
        <v>392</v>
      </c>
      <c r="C2042">
        <v>110</v>
      </c>
      <c r="D2042" t="s">
        <v>2</v>
      </c>
      <c r="E2042">
        <v>19.017613669999999</v>
      </c>
      <c r="F2042">
        <v>19.788238270000001</v>
      </c>
      <c r="G2042">
        <v>21.014743525</v>
      </c>
      <c r="H2042">
        <v>20.542426174999999</v>
      </c>
      <c r="I2042">
        <v>18.702214699999999</v>
      </c>
      <c r="J2042">
        <v>17.62523934</v>
      </c>
      <c r="K2042">
        <v>18.329088819999999</v>
      </c>
      <c r="L2042">
        <v>19.621289635</v>
      </c>
      <c r="M2042">
        <v>17.709908955</v>
      </c>
      <c r="N2042">
        <v>15.794044554999999</v>
      </c>
      <c r="O2042">
        <v>17.64827455</v>
      </c>
      <c r="P2042">
        <v>19.06743891</v>
      </c>
      <c r="Q2042">
        <v>18.967180684999999</v>
      </c>
      <c r="R2042">
        <v>18.900177045</v>
      </c>
      <c r="S2042">
        <v>20.952984024999999</v>
      </c>
      <c r="T2042">
        <v>21.29405702</v>
      </c>
      <c r="U2042">
        <v>19.037964755000001</v>
      </c>
      <c r="V2042">
        <v>17.878714315</v>
      </c>
      <c r="W2042">
        <v>20.215948910000002</v>
      </c>
      <c r="X2042">
        <v>20.644383524999999</v>
      </c>
      <c r="Y2042">
        <v>20.600833720000001</v>
      </c>
      <c r="Z2042">
        <v>20.83827191</v>
      </c>
      <c r="AA2042">
        <v>21.895442859999999</v>
      </c>
      <c r="AB2042">
        <v>23.52102382</v>
      </c>
    </row>
    <row r="2043" spans="1:28" hidden="1" x14ac:dyDescent="0.25">
      <c r="A2043" t="s">
        <v>391</v>
      </c>
      <c r="B2043" t="s">
        <v>392</v>
      </c>
      <c r="C2043">
        <v>110</v>
      </c>
      <c r="D2043" t="s">
        <v>3</v>
      </c>
      <c r="E2043">
        <v>6.2291657562999996</v>
      </c>
      <c r="F2043">
        <v>6.5963088077999998</v>
      </c>
      <c r="G2043">
        <v>7.1444843363999997</v>
      </c>
      <c r="H2043">
        <v>7.2364000449999999</v>
      </c>
      <c r="I2043">
        <v>6.3951558863000004</v>
      </c>
      <c r="J2043">
        <v>6.1453486099000001</v>
      </c>
      <c r="K2043">
        <v>5.9971185344000002</v>
      </c>
      <c r="L2043">
        <v>6.6339530339000001</v>
      </c>
      <c r="M2043">
        <v>6.0301257055999997</v>
      </c>
      <c r="N2043">
        <v>5.3190534526000004</v>
      </c>
      <c r="O2043">
        <v>5.9975226847999998</v>
      </c>
      <c r="P2043">
        <v>6.3767784573000004</v>
      </c>
      <c r="Q2043">
        <v>6.4134586275999999</v>
      </c>
      <c r="R2043">
        <v>6.4517502797999997</v>
      </c>
      <c r="S2043">
        <v>7.3490795000000002</v>
      </c>
      <c r="T2043">
        <v>7.3291008989000002</v>
      </c>
      <c r="U2043">
        <v>6.3669213309000003</v>
      </c>
      <c r="V2043">
        <v>6.2013898111000003</v>
      </c>
      <c r="W2043">
        <v>6.6245530481000001</v>
      </c>
      <c r="X2043">
        <v>6.8286058710999997</v>
      </c>
      <c r="Y2043">
        <v>6.7901544786999999</v>
      </c>
      <c r="Z2043">
        <v>6.9412057219000003</v>
      </c>
      <c r="AA2043">
        <v>7.2509276852999998</v>
      </c>
      <c r="AB2043">
        <v>7.5211235243000001</v>
      </c>
    </row>
    <row r="2044" spans="1:28" hidden="1" x14ac:dyDescent="0.25">
      <c r="A2044" t="s">
        <v>391</v>
      </c>
      <c r="B2044" t="s">
        <v>392</v>
      </c>
      <c r="C2044">
        <v>110</v>
      </c>
      <c r="D2044" t="s">
        <v>4</v>
      </c>
      <c r="E2044">
        <v>0.28960833000000002</v>
      </c>
      <c r="F2044">
        <v>0.30134372999999998</v>
      </c>
      <c r="G2044">
        <v>0.320021475</v>
      </c>
      <c r="H2044">
        <v>0.31282882499999998</v>
      </c>
      <c r="I2044">
        <v>0.28480529999999998</v>
      </c>
      <c r="J2044">
        <v>0.26840466000000002</v>
      </c>
      <c r="K2044">
        <v>0.27912318000000003</v>
      </c>
      <c r="L2044">
        <v>0.29880136499999999</v>
      </c>
      <c r="M2044">
        <v>0.26969404499999999</v>
      </c>
      <c r="N2044">
        <v>0.240518445</v>
      </c>
      <c r="O2044">
        <v>0.26875545000000001</v>
      </c>
      <c r="P2044">
        <v>0.29036708999999999</v>
      </c>
      <c r="Q2044">
        <v>0.28884031500000001</v>
      </c>
      <c r="R2044">
        <v>0.28781995500000002</v>
      </c>
      <c r="S2044">
        <v>0.31908097499999999</v>
      </c>
      <c r="T2044">
        <v>0.32427497999999999</v>
      </c>
      <c r="U2044">
        <v>0.28991824500000002</v>
      </c>
      <c r="V2044">
        <v>0.27226468500000001</v>
      </c>
      <c r="W2044">
        <v>0.30785709</v>
      </c>
      <c r="X2044">
        <v>0.31438147500000002</v>
      </c>
      <c r="Y2044">
        <v>0.31371828000000002</v>
      </c>
      <c r="Z2044">
        <v>0.31733409000000001</v>
      </c>
      <c r="AA2044">
        <v>0.33343314000000002</v>
      </c>
      <c r="AB2044">
        <v>0.35818818000000002</v>
      </c>
    </row>
    <row r="2045" spans="1:28" hidden="1" x14ac:dyDescent="0.25">
      <c r="A2045" t="s">
        <v>393</v>
      </c>
      <c r="B2045" t="s">
        <v>394</v>
      </c>
      <c r="C2045">
        <v>230</v>
      </c>
      <c r="D2045" t="s">
        <v>2</v>
      </c>
      <c r="E2045">
        <v>37.023040000000002</v>
      </c>
      <c r="F2045">
        <v>36.199657000000002</v>
      </c>
      <c r="G2045">
        <v>33.572671999999997</v>
      </c>
      <c r="H2045">
        <v>35.493899999999996</v>
      </c>
      <c r="I2045">
        <v>36.983831000000002</v>
      </c>
      <c r="J2045">
        <v>36.003613000000001</v>
      </c>
      <c r="K2045">
        <v>35.650734</v>
      </c>
      <c r="L2045">
        <v>36.082031000000001</v>
      </c>
      <c r="M2045">
        <v>36.474117999999997</v>
      </c>
      <c r="N2045">
        <v>36.944623</v>
      </c>
      <c r="O2045">
        <v>35.807569000000001</v>
      </c>
      <c r="P2045">
        <v>39.101103000000002</v>
      </c>
      <c r="Q2045">
        <v>38.434553999999999</v>
      </c>
      <c r="R2045">
        <v>37.571961999999999</v>
      </c>
      <c r="S2045">
        <v>37.493544999999997</v>
      </c>
      <c r="T2045">
        <v>38.042467000000002</v>
      </c>
      <c r="U2045">
        <v>35.964404000000002</v>
      </c>
      <c r="V2045">
        <v>35.729151999999999</v>
      </c>
      <c r="W2045">
        <v>39.55509</v>
      </c>
      <c r="X2045">
        <v>39.515881999999998</v>
      </c>
      <c r="Y2045">
        <v>39.006168000000002</v>
      </c>
      <c r="Z2045">
        <v>37.611170999999999</v>
      </c>
      <c r="AA2045">
        <v>37.493544999999997</v>
      </c>
      <c r="AB2045">
        <v>36.317283000000003</v>
      </c>
    </row>
    <row r="2046" spans="1:28" hidden="1" x14ac:dyDescent="0.25">
      <c r="A2046" t="s">
        <v>393</v>
      </c>
      <c r="B2046" t="s">
        <v>394</v>
      </c>
      <c r="C2046">
        <v>230</v>
      </c>
      <c r="D2046" t="s">
        <v>3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</row>
    <row r="2047" spans="1:28" hidden="1" x14ac:dyDescent="0.25">
      <c r="A2047" t="s">
        <v>393</v>
      </c>
      <c r="B2047" t="s">
        <v>394</v>
      </c>
      <c r="C2047">
        <v>230</v>
      </c>
      <c r="D2047" t="s">
        <v>4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  <c r="AA2047">
        <v>0</v>
      </c>
      <c r="AB2047">
        <v>0</v>
      </c>
    </row>
    <row r="2048" spans="1:28" hidden="1" x14ac:dyDescent="0.25">
      <c r="A2048" t="s">
        <v>395</v>
      </c>
      <c r="B2048" t="s">
        <v>396</v>
      </c>
      <c r="C2048">
        <v>34</v>
      </c>
      <c r="D2048" t="s">
        <v>2</v>
      </c>
      <c r="E2048">
        <v>92.635000000000005</v>
      </c>
      <c r="F2048">
        <v>92.635000000000005</v>
      </c>
      <c r="G2048">
        <v>92.635000000000005</v>
      </c>
      <c r="H2048">
        <v>92.635000000000005</v>
      </c>
      <c r="I2048">
        <v>92.635000000000005</v>
      </c>
      <c r="J2048">
        <v>92.635000000000005</v>
      </c>
      <c r="K2048">
        <v>92.635000000000005</v>
      </c>
      <c r="L2048">
        <v>92.635000000000005</v>
      </c>
      <c r="M2048">
        <v>92.635000000000005</v>
      </c>
      <c r="N2048">
        <v>92.635000000000005</v>
      </c>
      <c r="O2048">
        <v>92.635000000000005</v>
      </c>
      <c r="P2048">
        <v>92.635000000000005</v>
      </c>
      <c r="Q2048">
        <v>92.635000000000005</v>
      </c>
      <c r="R2048">
        <v>92.635000000000005</v>
      </c>
      <c r="S2048">
        <v>92.635000000000005</v>
      </c>
      <c r="T2048">
        <v>92.635000000000005</v>
      </c>
      <c r="U2048">
        <v>92.635000000000005</v>
      </c>
      <c r="V2048">
        <v>92.635000000000005</v>
      </c>
      <c r="W2048">
        <v>93.605000000000004</v>
      </c>
      <c r="X2048">
        <v>93.605000000000004</v>
      </c>
      <c r="Y2048">
        <v>93.605000000000004</v>
      </c>
      <c r="Z2048">
        <v>92.635000000000005</v>
      </c>
      <c r="AA2048">
        <v>92.635000000000005</v>
      </c>
      <c r="AB2048">
        <v>92.635000000000005</v>
      </c>
    </row>
    <row r="2049" spans="1:28" hidden="1" x14ac:dyDescent="0.25">
      <c r="A2049" t="s">
        <v>395</v>
      </c>
      <c r="B2049" t="s">
        <v>396</v>
      </c>
      <c r="C2049">
        <v>34</v>
      </c>
      <c r="D2049" t="s">
        <v>3</v>
      </c>
      <c r="E2049">
        <v>33.366332969799998</v>
      </c>
      <c r="F2049">
        <v>33.279789619500001</v>
      </c>
      <c r="G2049">
        <v>33.2178811211</v>
      </c>
      <c r="H2049">
        <v>33.270507944599998</v>
      </c>
      <c r="I2049">
        <v>33.282882711500001</v>
      </c>
      <c r="J2049">
        <v>33.276696379500002</v>
      </c>
      <c r="K2049">
        <v>33.319988781600003</v>
      </c>
      <c r="L2049">
        <v>33.168300997800003</v>
      </c>
      <c r="M2049">
        <v>33.084521866800003</v>
      </c>
      <c r="N2049">
        <v>33.056564697900001</v>
      </c>
      <c r="O2049">
        <v>32.978822812099999</v>
      </c>
      <c r="P2049">
        <v>32.950806514299998</v>
      </c>
      <c r="Q2049">
        <v>33.1465941254</v>
      </c>
      <c r="R2049">
        <v>32.950806514299998</v>
      </c>
      <c r="S2049">
        <v>32.813608289599998</v>
      </c>
      <c r="T2049">
        <v>32.816730366999998</v>
      </c>
      <c r="U2049">
        <v>32.941464274499999</v>
      </c>
      <c r="V2049">
        <v>33.013044673000003</v>
      </c>
      <c r="W2049">
        <v>33.100380923800003</v>
      </c>
      <c r="X2049">
        <v>33.185594563199999</v>
      </c>
      <c r="Y2049">
        <v>33.242322525500001</v>
      </c>
      <c r="Z2049">
        <v>33.022374045799999</v>
      </c>
      <c r="AA2049">
        <v>33.183799583599999</v>
      </c>
      <c r="AB2049">
        <v>33.3755969515</v>
      </c>
    </row>
    <row r="2050" spans="1:28" hidden="1" x14ac:dyDescent="0.25">
      <c r="A2050" t="s">
        <v>395</v>
      </c>
      <c r="B2050" t="s">
        <v>396</v>
      </c>
      <c r="C2050">
        <v>34</v>
      </c>
      <c r="D2050" t="s">
        <v>4</v>
      </c>
      <c r="E2050">
        <v>2.8650000000000002</v>
      </c>
      <c r="F2050">
        <v>2.8650000000000002</v>
      </c>
      <c r="G2050">
        <v>2.8650000000000002</v>
      </c>
      <c r="H2050">
        <v>2.8650000000000002</v>
      </c>
      <c r="I2050">
        <v>2.8650000000000002</v>
      </c>
      <c r="J2050">
        <v>2.8650000000000002</v>
      </c>
      <c r="K2050">
        <v>2.8650000000000002</v>
      </c>
      <c r="L2050">
        <v>2.8650000000000002</v>
      </c>
      <c r="M2050">
        <v>2.8650000000000002</v>
      </c>
      <c r="N2050">
        <v>2.8650000000000002</v>
      </c>
      <c r="O2050">
        <v>2.8650000000000002</v>
      </c>
      <c r="P2050">
        <v>2.8650000000000002</v>
      </c>
      <c r="Q2050">
        <v>2.8650000000000002</v>
      </c>
      <c r="R2050">
        <v>2.8650000000000002</v>
      </c>
      <c r="S2050">
        <v>2.8650000000000002</v>
      </c>
      <c r="T2050">
        <v>2.8650000000000002</v>
      </c>
      <c r="U2050">
        <v>2.8650000000000002</v>
      </c>
      <c r="V2050">
        <v>2.8650000000000002</v>
      </c>
      <c r="W2050">
        <v>2.895</v>
      </c>
      <c r="X2050">
        <v>2.895</v>
      </c>
      <c r="Y2050">
        <v>2.895</v>
      </c>
      <c r="Z2050">
        <v>2.8650000000000002</v>
      </c>
      <c r="AA2050">
        <v>2.8650000000000002</v>
      </c>
      <c r="AB2050">
        <v>2.8650000000000002</v>
      </c>
    </row>
    <row r="2051" spans="1:28" hidden="1" x14ac:dyDescent="0.25">
      <c r="A2051" t="s">
        <v>397</v>
      </c>
      <c r="B2051" t="s">
        <v>398</v>
      </c>
      <c r="C2051">
        <v>115</v>
      </c>
      <c r="D2051" t="s">
        <v>2</v>
      </c>
      <c r="E2051">
        <v>9.9843815800000009</v>
      </c>
      <c r="F2051">
        <v>9.7253896199999996</v>
      </c>
      <c r="G2051">
        <v>9.5925141049999993</v>
      </c>
      <c r="H2051">
        <v>9.3493806450000001</v>
      </c>
      <c r="I2051">
        <v>9.6643609900000005</v>
      </c>
      <c r="J2051">
        <v>10.988988989999999</v>
      </c>
      <c r="K2051">
        <v>12.085486065</v>
      </c>
      <c r="L2051">
        <v>13.755659945</v>
      </c>
      <c r="M2051">
        <v>14.509718814999999</v>
      </c>
      <c r="N2051">
        <v>15.89107592</v>
      </c>
      <c r="O2051">
        <v>16.694588684999999</v>
      </c>
      <c r="P2051">
        <v>18.267582465</v>
      </c>
      <c r="Q2051">
        <v>17.390735464999999</v>
      </c>
      <c r="R2051">
        <v>16.749979175</v>
      </c>
      <c r="S2051">
        <v>16.63114779</v>
      </c>
      <c r="T2051">
        <v>17.524447245000001</v>
      </c>
      <c r="U2051">
        <v>17.72476374</v>
      </c>
      <c r="V2051">
        <v>18.356942650000001</v>
      </c>
      <c r="W2051">
        <v>21.29028053</v>
      </c>
      <c r="X2051">
        <v>21.384591324999999</v>
      </c>
      <c r="Y2051">
        <v>19.272384904999999</v>
      </c>
      <c r="Z2051">
        <v>15.47737789</v>
      </c>
      <c r="AA2051">
        <v>12.227927899999999</v>
      </c>
      <c r="AB2051">
        <v>10.371567349999999</v>
      </c>
    </row>
    <row r="2052" spans="1:28" hidden="1" x14ac:dyDescent="0.25">
      <c r="A2052" t="s">
        <v>397</v>
      </c>
      <c r="B2052" t="s">
        <v>398</v>
      </c>
      <c r="C2052">
        <v>115</v>
      </c>
      <c r="D2052" t="s">
        <v>3</v>
      </c>
      <c r="E2052">
        <v>5.9812034091999999</v>
      </c>
      <c r="F2052">
        <v>6.0533096417000003</v>
      </c>
      <c r="G2052">
        <v>6.1078787624000004</v>
      </c>
      <c r="H2052">
        <v>5.9821709312999998</v>
      </c>
      <c r="I2052">
        <v>5.8642709635000001</v>
      </c>
      <c r="J2052">
        <v>5.7041885774000001</v>
      </c>
      <c r="K2052">
        <v>5.8813076341999997</v>
      </c>
      <c r="L2052">
        <v>6.7201131712000004</v>
      </c>
      <c r="M2052">
        <v>7.1126367454999997</v>
      </c>
      <c r="N2052">
        <v>7.5835181836999999</v>
      </c>
      <c r="O2052">
        <v>8.0680550343000004</v>
      </c>
      <c r="P2052">
        <v>8.2942011514999994</v>
      </c>
      <c r="Q2052">
        <v>8.7675392446</v>
      </c>
      <c r="R2052">
        <v>8.7816884315999992</v>
      </c>
      <c r="S2052">
        <v>8.5760405372000008</v>
      </c>
      <c r="T2052">
        <v>9.2578810663999995</v>
      </c>
      <c r="U2052">
        <v>9.3078309721999997</v>
      </c>
      <c r="V2052">
        <v>9.3001249609999999</v>
      </c>
      <c r="W2052">
        <v>8.1664659522999994</v>
      </c>
      <c r="X2052">
        <v>7.7962786294999997</v>
      </c>
      <c r="Y2052">
        <v>7.1737528025000001</v>
      </c>
      <c r="Z2052">
        <v>6.0638451617999998</v>
      </c>
      <c r="AA2052">
        <v>5.6655622155999996</v>
      </c>
      <c r="AB2052">
        <v>4.9071460200999999</v>
      </c>
    </row>
    <row r="2053" spans="1:28" hidden="1" x14ac:dyDescent="0.25">
      <c r="A2053" t="s">
        <v>397</v>
      </c>
      <c r="B2053" t="s">
        <v>398</v>
      </c>
      <c r="C2053">
        <v>115</v>
      </c>
      <c r="D2053" t="s">
        <v>4</v>
      </c>
      <c r="E2053">
        <v>0.15204641999999999</v>
      </c>
      <c r="F2053">
        <v>0.14810238000000001</v>
      </c>
      <c r="G2053">
        <v>0.14607889499999999</v>
      </c>
      <c r="H2053">
        <v>0.14237635500000001</v>
      </c>
      <c r="I2053">
        <v>0.14717300999999999</v>
      </c>
      <c r="J2053">
        <v>0.16734500999999999</v>
      </c>
      <c r="K2053">
        <v>0.18404293499999999</v>
      </c>
      <c r="L2053">
        <v>0.209477055</v>
      </c>
      <c r="M2053">
        <v>0.220960185</v>
      </c>
      <c r="N2053">
        <v>0.24199608</v>
      </c>
      <c r="O2053">
        <v>0.25423231499999999</v>
      </c>
      <c r="P2053">
        <v>0.27818653500000001</v>
      </c>
      <c r="Q2053">
        <v>0.26483353500000001</v>
      </c>
      <c r="R2053">
        <v>0.25507582499999998</v>
      </c>
      <c r="S2053">
        <v>0.25326620999999999</v>
      </c>
      <c r="T2053">
        <v>0.26686975499999999</v>
      </c>
      <c r="U2053">
        <v>0.26992026000000002</v>
      </c>
      <c r="V2053">
        <v>0.27954734999999997</v>
      </c>
      <c r="W2053">
        <v>0.32421747000000001</v>
      </c>
      <c r="X2053">
        <v>0.32565367499999998</v>
      </c>
      <c r="Y2053">
        <v>0.293488095</v>
      </c>
      <c r="Z2053">
        <v>0.23569610999999999</v>
      </c>
      <c r="AA2053">
        <v>0.18621209999999999</v>
      </c>
      <c r="AB2053">
        <v>0.15794264999999999</v>
      </c>
    </row>
    <row r="2054" spans="1:28" hidden="1" x14ac:dyDescent="0.25">
      <c r="A2054" t="s">
        <v>397</v>
      </c>
      <c r="B2054" t="s">
        <v>399</v>
      </c>
      <c r="C2054">
        <v>115</v>
      </c>
      <c r="D2054" t="s">
        <v>2</v>
      </c>
      <c r="E2054">
        <v>3.7287273500000002</v>
      </c>
      <c r="F2054">
        <v>3.7676653849999999</v>
      </c>
      <c r="G2054">
        <v>3.772448545</v>
      </c>
      <c r="H2054">
        <v>3.724059435</v>
      </c>
      <c r="I2054">
        <v>3.6965513400000001</v>
      </c>
      <c r="J2054">
        <v>3.67224745</v>
      </c>
      <c r="K2054">
        <v>3.6381595550000001</v>
      </c>
      <c r="L2054">
        <v>3.63394277</v>
      </c>
      <c r="M2054">
        <v>3.8596860550000001</v>
      </c>
      <c r="N2054">
        <v>3.9956889449999999</v>
      </c>
      <c r="O2054">
        <v>3.8425322799999999</v>
      </c>
      <c r="P2054">
        <v>3.896950575</v>
      </c>
      <c r="Q2054">
        <v>4.0438997700000003</v>
      </c>
      <c r="R2054">
        <v>4.0364019500000001</v>
      </c>
      <c r="S2054">
        <v>3.870893385</v>
      </c>
      <c r="T2054">
        <v>3.9655686299999999</v>
      </c>
      <c r="U2054">
        <v>3.9223901699999999</v>
      </c>
      <c r="V2054">
        <v>3.9863856200000001</v>
      </c>
      <c r="W2054">
        <v>3.8310530900000002</v>
      </c>
      <c r="X2054">
        <v>3.8354629349999998</v>
      </c>
      <c r="Y2054">
        <v>3.8235867899999998</v>
      </c>
      <c r="Z2054">
        <v>3.644197605</v>
      </c>
      <c r="AA2054">
        <v>3.5493164949999998</v>
      </c>
      <c r="AB2054">
        <v>3.5011775749999998</v>
      </c>
    </row>
    <row r="2055" spans="1:28" hidden="1" x14ac:dyDescent="0.25">
      <c r="A2055" t="s">
        <v>397</v>
      </c>
      <c r="B2055" t="s">
        <v>399</v>
      </c>
      <c r="C2055">
        <v>115</v>
      </c>
      <c r="D2055" t="s">
        <v>3</v>
      </c>
      <c r="E2055">
        <v>1.4952928536000001</v>
      </c>
      <c r="F2055">
        <v>1.5299909503</v>
      </c>
      <c r="G2055">
        <v>1.5128259109</v>
      </c>
      <c r="H2055">
        <v>1.4858603449000001</v>
      </c>
      <c r="I2055">
        <v>1.5011126305</v>
      </c>
      <c r="J2055">
        <v>1.4912431947</v>
      </c>
      <c r="K2055">
        <v>1.4589733901999999</v>
      </c>
      <c r="L2055">
        <v>1.4832155258999999</v>
      </c>
      <c r="M2055">
        <v>1.5673591285999999</v>
      </c>
      <c r="N2055">
        <v>1.6105620280999999</v>
      </c>
      <c r="O2055">
        <v>1.5488284165999999</v>
      </c>
      <c r="P2055">
        <v>1.5587399541</v>
      </c>
      <c r="Q2055">
        <v>1.6299946029000001</v>
      </c>
      <c r="R2055">
        <v>1.6063119238000001</v>
      </c>
      <c r="S2055">
        <v>1.552304224</v>
      </c>
      <c r="T2055">
        <v>1.6185706087</v>
      </c>
      <c r="U2055">
        <v>1.5609402081999999</v>
      </c>
      <c r="V2055">
        <v>1.6188098729</v>
      </c>
      <c r="W2055">
        <v>1.5168993155999999</v>
      </c>
      <c r="X2055">
        <v>1.5380959182</v>
      </c>
      <c r="Y2055">
        <v>1.5448751179</v>
      </c>
      <c r="Z2055">
        <v>1.4539963189</v>
      </c>
      <c r="AA2055">
        <v>1.4161397591</v>
      </c>
      <c r="AB2055">
        <v>1.3969328389</v>
      </c>
    </row>
    <row r="2056" spans="1:28" hidden="1" x14ac:dyDescent="0.25">
      <c r="A2056" t="s">
        <v>397</v>
      </c>
      <c r="B2056" t="s">
        <v>399</v>
      </c>
      <c r="C2056">
        <v>115</v>
      </c>
      <c r="D2056" t="s">
        <v>4</v>
      </c>
      <c r="E2056">
        <v>5.6782649999999997E-2</v>
      </c>
      <c r="F2056">
        <v>5.7375614999999998E-2</v>
      </c>
      <c r="G2056">
        <v>5.7448455000000002E-2</v>
      </c>
      <c r="H2056">
        <v>5.6711564999999999E-2</v>
      </c>
      <c r="I2056">
        <v>5.6292660000000001E-2</v>
      </c>
      <c r="J2056">
        <v>5.5922550000000001E-2</v>
      </c>
      <c r="K2056">
        <v>5.5403445000000003E-2</v>
      </c>
      <c r="L2056">
        <v>5.5339230000000003E-2</v>
      </c>
      <c r="M2056">
        <v>5.8776944999999997E-2</v>
      </c>
      <c r="N2056">
        <v>6.0848054999999998E-2</v>
      </c>
      <c r="O2056">
        <v>5.851572E-2</v>
      </c>
      <c r="P2056">
        <v>5.9344424999999999E-2</v>
      </c>
      <c r="Q2056">
        <v>6.1582230000000002E-2</v>
      </c>
      <c r="R2056">
        <v>6.1468050000000003E-2</v>
      </c>
      <c r="S2056">
        <v>5.8947615000000002E-2</v>
      </c>
      <c r="T2056">
        <v>6.0389369999999998E-2</v>
      </c>
      <c r="U2056">
        <v>5.973183E-2</v>
      </c>
      <c r="V2056">
        <v>6.0706379999999997E-2</v>
      </c>
      <c r="W2056">
        <v>5.8340910000000003E-2</v>
      </c>
      <c r="X2056">
        <v>5.8408065000000002E-2</v>
      </c>
      <c r="Y2056">
        <v>5.8227210000000001E-2</v>
      </c>
      <c r="Z2056">
        <v>5.5495395000000003E-2</v>
      </c>
      <c r="AA2056">
        <v>5.4050504999999999E-2</v>
      </c>
      <c r="AB2056">
        <v>5.3317425000000002E-2</v>
      </c>
    </row>
    <row r="2057" spans="1:28" hidden="1" x14ac:dyDescent="0.25">
      <c r="A2057" t="s">
        <v>397</v>
      </c>
      <c r="B2057" t="s">
        <v>400</v>
      </c>
      <c r="C2057">
        <v>115</v>
      </c>
      <c r="D2057" t="s">
        <v>2</v>
      </c>
      <c r="E2057">
        <v>9.2824577749999992</v>
      </c>
      <c r="F2057">
        <v>9.0874711149999996</v>
      </c>
      <c r="G2057">
        <v>8.8148438000000002</v>
      </c>
      <c r="H2057">
        <v>8.6081898149999994</v>
      </c>
      <c r="I2057">
        <v>8.7068937099999992</v>
      </c>
      <c r="J2057">
        <v>9.068974785</v>
      </c>
      <c r="K2057">
        <v>9.2560991749999992</v>
      </c>
      <c r="L2057">
        <v>7.7080219550000004</v>
      </c>
      <c r="M2057">
        <v>5.6200928299999999</v>
      </c>
      <c r="N2057">
        <v>5.7406509200000002</v>
      </c>
      <c r="O2057">
        <v>5.9153928750000002</v>
      </c>
      <c r="P2057">
        <v>6.1960518799999997</v>
      </c>
      <c r="Q2057">
        <v>6.1871986999999997</v>
      </c>
      <c r="R2057">
        <v>6.1542149899999998</v>
      </c>
      <c r="S2057">
        <v>6.0412285949999998</v>
      </c>
      <c r="T2057">
        <v>6.52151558</v>
      </c>
      <c r="U2057">
        <v>11.164010684999999</v>
      </c>
      <c r="V2057">
        <v>11.657972425000001</v>
      </c>
      <c r="W2057">
        <v>13.195185094999999</v>
      </c>
      <c r="X2057">
        <v>13.17424104</v>
      </c>
      <c r="Y2057">
        <v>12.570748285000001</v>
      </c>
      <c r="Z2057">
        <v>11.16527247</v>
      </c>
      <c r="AA2057">
        <v>9.9804790099999998</v>
      </c>
      <c r="AB2057">
        <v>9.1220308249999995</v>
      </c>
    </row>
    <row r="2058" spans="1:28" hidden="1" x14ac:dyDescent="0.25">
      <c r="A2058" t="s">
        <v>397</v>
      </c>
      <c r="B2058" t="s">
        <v>400</v>
      </c>
      <c r="C2058">
        <v>115</v>
      </c>
      <c r="D2058" t="s">
        <v>3</v>
      </c>
      <c r="E2058">
        <v>4.1605382949000003</v>
      </c>
      <c r="F2058">
        <v>4.1430205568999998</v>
      </c>
      <c r="G2058">
        <v>4.0341139331000004</v>
      </c>
      <c r="H2058">
        <v>3.9712509465000001</v>
      </c>
      <c r="I2058">
        <v>3.9030730173000001</v>
      </c>
      <c r="J2058">
        <v>3.8737485505999998</v>
      </c>
      <c r="K2058">
        <v>3.978989495</v>
      </c>
      <c r="L2058">
        <v>3.227340753</v>
      </c>
      <c r="M2058">
        <v>2.3377063565</v>
      </c>
      <c r="N2058">
        <v>2.3911832754</v>
      </c>
      <c r="O2058">
        <v>2.4429775242999998</v>
      </c>
      <c r="P2058">
        <v>2.3545711733000001</v>
      </c>
      <c r="Q2058">
        <v>2.6469139947000002</v>
      </c>
      <c r="R2058">
        <v>2.6477740009000001</v>
      </c>
      <c r="S2058">
        <v>2.6286034649999999</v>
      </c>
      <c r="T2058">
        <v>2.8247358416999999</v>
      </c>
      <c r="U2058">
        <v>5.0444430973000003</v>
      </c>
      <c r="V2058">
        <v>5.1206947091000004</v>
      </c>
      <c r="W2058">
        <v>5.1274645448999996</v>
      </c>
      <c r="X2058">
        <v>5.0131515889999996</v>
      </c>
      <c r="Y2058">
        <v>4.8836185630999998</v>
      </c>
      <c r="Z2058">
        <v>4.4590156076999996</v>
      </c>
      <c r="AA2058">
        <v>4.2308786237999998</v>
      </c>
      <c r="AB2058">
        <v>3.9932562339</v>
      </c>
    </row>
    <row r="2059" spans="1:28" hidden="1" x14ac:dyDescent="0.25">
      <c r="A2059" t="s">
        <v>397</v>
      </c>
      <c r="B2059" t="s">
        <v>400</v>
      </c>
      <c r="C2059">
        <v>115</v>
      </c>
      <c r="D2059" t="s">
        <v>4</v>
      </c>
      <c r="E2059">
        <v>0.141357225</v>
      </c>
      <c r="F2059">
        <v>0.13838788499999999</v>
      </c>
      <c r="G2059">
        <v>0.1342362</v>
      </c>
      <c r="H2059">
        <v>0.131089185</v>
      </c>
      <c r="I2059">
        <v>0.13259229</v>
      </c>
      <c r="J2059">
        <v>0.138106215</v>
      </c>
      <c r="K2059">
        <v>0.14095582500000001</v>
      </c>
      <c r="L2059">
        <v>0.117381045</v>
      </c>
      <c r="M2059">
        <v>8.5585170000000002E-2</v>
      </c>
      <c r="N2059">
        <v>8.7421079999999998E-2</v>
      </c>
      <c r="O2059">
        <v>9.0082124999999999E-2</v>
      </c>
      <c r="P2059">
        <v>9.4356120000000002E-2</v>
      </c>
      <c r="Q2059">
        <v>9.4221299999999994E-2</v>
      </c>
      <c r="R2059">
        <v>9.3719010000000005E-2</v>
      </c>
      <c r="S2059">
        <v>9.1998405000000005E-2</v>
      </c>
      <c r="T2059">
        <v>9.9312419999999998E-2</v>
      </c>
      <c r="U2059">
        <v>0.170010315</v>
      </c>
      <c r="V2059">
        <v>0.177532575</v>
      </c>
      <c r="W2059">
        <v>0.200941905</v>
      </c>
      <c r="X2059">
        <v>0.20062295999999999</v>
      </c>
      <c r="Y2059">
        <v>0.191432715</v>
      </c>
      <c r="Z2059">
        <v>0.17002953000000001</v>
      </c>
      <c r="AA2059">
        <v>0.15198698999999999</v>
      </c>
      <c r="AB2059">
        <v>0.138914175</v>
      </c>
    </row>
    <row r="2060" spans="1:28" hidden="1" x14ac:dyDescent="0.25">
      <c r="A2060" t="s">
        <v>397</v>
      </c>
      <c r="B2060" t="s">
        <v>401</v>
      </c>
      <c r="C2060">
        <v>34</v>
      </c>
      <c r="D2060" t="s">
        <v>2</v>
      </c>
      <c r="E2060">
        <v>33.179286500000003</v>
      </c>
      <c r="F2060">
        <v>31.707366789999998</v>
      </c>
      <c r="G2060">
        <v>30.533694919999999</v>
      </c>
      <c r="H2060">
        <v>29.211582979999999</v>
      </c>
      <c r="I2060">
        <v>29.437161329999999</v>
      </c>
      <c r="J2060">
        <v>30.12071839</v>
      </c>
      <c r="K2060">
        <v>31.532662999999999</v>
      </c>
      <c r="L2060">
        <v>35.948576359999997</v>
      </c>
      <c r="M2060">
        <v>41.057732229999999</v>
      </c>
      <c r="N2060">
        <v>44.52012783</v>
      </c>
      <c r="O2060">
        <v>47.359917289999999</v>
      </c>
      <c r="P2060">
        <v>49.051974620000003</v>
      </c>
      <c r="Q2060">
        <v>48.154385120000001</v>
      </c>
      <c r="R2060">
        <v>49.82103815</v>
      </c>
      <c r="S2060">
        <v>51.002914279999999</v>
      </c>
      <c r="T2060">
        <v>50.878456489999998</v>
      </c>
      <c r="U2060">
        <v>47.59997774</v>
      </c>
      <c r="V2060">
        <v>46.866341519999999</v>
      </c>
      <c r="W2060">
        <v>46.235376889999998</v>
      </c>
      <c r="X2060">
        <v>45.67814972</v>
      </c>
      <c r="Y2060">
        <v>44.392292500000003</v>
      </c>
      <c r="Z2060">
        <v>40.776361420000001</v>
      </c>
      <c r="AA2060">
        <v>38.439039719999997</v>
      </c>
      <c r="AB2060">
        <v>35.290816450000001</v>
      </c>
    </row>
    <row r="2061" spans="1:28" hidden="1" x14ac:dyDescent="0.25">
      <c r="A2061" t="s">
        <v>397</v>
      </c>
      <c r="B2061" t="s">
        <v>401</v>
      </c>
      <c r="C2061">
        <v>34</v>
      </c>
      <c r="D2061" t="s">
        <v>3</v>
      </c>
      <c r="E2061">
        <v>14.184280380000001</v>
      </c>
      <c r="F2061">
        <v>12.848369292899999</v>
      </c>
      <c r="G2061">
        <v>12.421940467800001</v>
      </c>
      <c r="H2061">
        <v>11.7508265133</v>
      </c>
      <c r="I2061">
        <v>11.368579433900001</v>
      </c>
      <c r="J2061">
        <v>12.8866973023</v>
      </c>
      <c r="K2061">
        <v>11.2840522441</v>
      </c>
      <c r="L2061">
        <v>12.4186241962</v>
      </c>
      <c r="M2061">
        <v>13.1687667946</v>
      </c>
      <c r="N2061">
        <v>14.571353477500001</v>
      </c>
      <c r="O2061">
        <v>14.7056355089</v>
      </c>
      <c r="P2061">
        <v>17.633738409700001</v>
      </c>
      <c r="Q2061">
        <v>17.2917668445</v>
      </c>
      <c r="R2061">
        <v>18.2785992341</v>
      </c>
      <c r="S2061">
        <v>16.625894784500002</v>
      </c>
      <c r="T2061">
        <v>19.775507683499999</v>
      </c>
      <c r="U2061">
        <v>20.6743525537</v>
      </c>
      <c r="V2061">
        <v>15.2523501719</v>
      </c>
      <c r="W2061">
        <v>14.9177328106</v>
      </c>
      <c r="X2061">
        <v>14.938988332099999</v>
      </c>
      <c r="Y2061">
        <v>16.020782370599999</v>
      </c>
      <c r="Z2061">
        <v>12.8547920494</v>
      </c>
      <c r="AA2061">
        <v>12.1908767811</v>
      </c>
      <c r="AB2061">
        <v>11.7267742673</v>
      </c>
    </row>
    <row r="2062" spans="1:28" hidden="1" x14ac:dyDescent="0.25">
      <c r="A2062" t="s">
        <v>397</v>
      </c>
      <c r="B2062" t="s">
        <v>401</v>
      </c>
      <c r="C2062">
        <v>34</v>
      </c>
      <c r="D2062" t="s">
        <v>4</v>
      </c>
      <c r="E2062">
        <v>1.0261635</v>
      </c>
      <c r="F2062">
        <v>0.98064021000000001</v>
      </c>
      <c r="G2062">
        <v>0.94434108000000005</v>
      </c>
      <c r="H2062">
        <v>0.90345101999999999</v>
      </c>
      <c r="I2062">
        <v>0.91042767000000002</v>
      </c>
      <c r="J2062">
        <v>0.93156861000000002</v>
      </c>
      <c r="K2062">
        <v>0.97523700000000002</v>
      </c>
      <c r="L2062">
        <v>1.11181164</v>
      </c>
      <c r="M2062">
        <v>1.2698267700000001</v>
      </c>
      <c r="N2062">
        <v>1.3769111700000001</v>
      </c>
      <c r="O2062">
        <v>1.4647397099999999</v>
      </c>
      <c r="P2062">
        <v>1.51707138</v>
      </c>
      <c r="Q2062">
        <v>1.4893108799999999</v>
      </c>
      <c r="R2062">
        <v>1.5408568499999999</v>
      </c>
      <c r="S2062">
        <v>1.5774097199999999</v>
      </c>
      <c r="T2062">
        <v>1.5735605100000001</v>
      </c>
      <c r="U2062">
        <v>1.47216426</v>
      </c>
      <c r="V2062">
        <v>1.4494744799999999</v>
      </c>
      <c r="W2062">
        <v>1.4299601099999999</v>
      </c>
      <c r="X2062">
        <v>1.41272628</v>
      </c>
      <c r="Y2062">
        <v>1.3729575000000001</v>
      </c>
      <c r="Z2062">
        <v>1.2611245799999999</v>
      </c>
      <c r="AA2062">
        <v>1.1888362800000001</v>
      </c>
      <c r="AB2062">
        <v>1.0914685500000001</v>
      </c>
    </row>
    <row r="2063" spans="1:28" hidden="1" x14ac:dyDescent="0.25">
      <c r="A2063" t="s">
        <v>397</v>
      </c>
      <c r="B2063" t="s">
        <v>402</v>
      </c>
      <c r="C2063">
        <v>115</v>
      </c>
      <c r="D2063" t="s">
        <v>2</v>
      </c>
      <c r="E2063">
        <v>17.704237325000001</v>
      </c>
      <c r="F2063">
        <v>17.505192465</v>
      </c>
      <c r="G2063">
        <v>17.014031079999999</v>
      </c>
      <c r="H2063">
        <v>16.453460685</v>
      </c>
      <c r="I2063">
        <v>16.1448395</v>
      </c>
      <c r="J2063">
        <v>16.122061375000001</v>
      </c>
      <c r="K2063">
        <v>16.565348804999999</v>
      </c>
      <c r="L2063">
        <v>18.628189979999998</v>
      </c>
      <c r="M2063">
        <v>20.273401005</v>
      </c>
      <c r="N2063">
        <v>22.522544095000001</v>
      </c>
      <c r="O2063">
        <v>23.538699645000001</v>
      </c>
      <c r="P2063">
        <v>24.178124215</v>
      </c>
      <c r="Q2063">
        <v>24.612686515</v>
      </c>
      <c r="R2063">
        <v>25.99469569</v>
      </c>
      <c r="S2063">
        <v>28.122483825</v>
      </c>
      <c r="T2063">
        <v>28.980535055000001</v>
      </c>
      <c r="U2063">
        <v>27.995136129999999</v>
      </c>
      <c r="V2063">
        <v>27.547883089999999</v>
      </c>
      <c r="W2063">
        <v>27.12266056</v>
      </c>
      <c r="X2063">
        <v>26.68562197</v>
      </c>
      <c r="Y2063">
        <v>25.663237280000001</v>
      </c>
      <c r="Z2063">
        <v>23.410244809999998</v>
      </c>
      <c r="AA2063">
        <v>21.81604201</v>
      </c>
      <c r="AB2063">
        <v>20.505325164999999</v>
      </c>
    </row>
    <row r="2064" spans="1:28" hidden="1" x14ac:dyDescent="0.25">
      <c r="A2064" t="s">
        <v>397</v>
      </c>
      <c r="B2064" t="s">
        <v>402</v>
      </c>
      <c r="C2064">
        <v>115</v>
      </c>
      <c r="D2064" t="s">
        <v>3</v>
      </c>
      <c r="E2064">
        <v>2.7523956186</v>
      </c>
      <c r="F2064">
        <v>4.4624501782000001</v>
      </c>
      <c r="G2064">
        <v>4.3291677896999996</v>
      </c>
      <c r="H2064">
        <v>4.1758646106999997</v>
      </c>
      <c r="I2064">
        <v>4.0533313754</v>
      </c>
      <c r="J2064">
        <v>3.9710019454999999</v>
      </c>
      <c r="K2064">
        <v>4.2676637461000002</v>
      </c>
      <c r="L2064">
        <v>5.2821736001000001</v>
      </c>
      <c r="M2064">
        <v>4.1494589345000001</v>
      </c>
      <c r="N2064">
        <v>5.1126493833</v>
      </c>
      <c r="O2064">
        <v>4.8882699198999999</v>
      </c>
      <c r="P2064">
        <v>5.3807551676000003</v>
      </c>
      <c r="Q2064">
        <v>6.4318645189000003</v>
      </c>
      <c r="R2064">
        <v>8.2545790208999996</v>
      </c>
      <c r="S2064">
        <v>9.7602989560999998</v>
      </c>
      <c r="T2064">
        <v>10.648749260300001</v>
      </c>
      <c r="U2064">
        <v>10.2164975554</v>
      </c>
      <c r="V2064">
        <v>9.5890892175999998</v>
      </c>
      <c r="W2064">
        <v>8.0163967747000004</v>
      </c>
      <c r="X2064">
        <v>7.6699519548000001</v>
      </c>
      <c r="Y2064">
        <v>7.1604240332</v>
      </c>
      <c r="Z2064">
        <v>6.4639285407999996</v>
      </c>
      <c r="AA2064">
        <v>6.6962919438000004</v>
      </c>
      <c r="AB2064">
        <v>7.2773081136000002</v>
      </c>
    </row>
    <row r="2065" spans="1:28" hidden="1" x14ac:dyDescent="0.25">
      <c r="A2065" t="s">
        <v>397</v>
      </c>
      <c r="B2065" t="s">
        <v>402</v>
      </c>
      <c r="C2065">
        <v>115</v>
      </c>
      <c r="D2065" t="s">
        <v>4</v>
      </c>
      <c r="E2065">
        <v>0.26960767499999999</v>
      </c>
      <c r="F2065">
        <v>0.266576535</v>
      </c>
      <c r="G2065">
        <v>0.25909692000000001</v>
      </c>
      <c r="H2065">
        <v>0.25056031499999998</v>
      </c>
      <c r="I2065">
        <v>0.24586050000000001</v>
      </c>
      <c r="J2065">
        <v>0.24551362500000001</v>
      </c>
      <c r="K2065">
        <v>0.25226419500000002</v>
      </c>
      <c r="L2065">
        <v>0.28367801999999998</v>
      </c>
      <c r="M2065">
        <v>0.30873199499999998</v>
      </c>
      <c r="N2065">
        <v>0.342982905</v>
      </c>
      <c r="O2065">
        <v>0.35845735499999998</v>
      </c>
      <c r="P2065">
        <v>0.36819478500000002</v>
      </c>
      <c r="Q2065">
        <v>0.37481248499999997</v>
      </c>
      <c r="R2065">
        <v>0.39585830999999999</v>
      </c>
      <c r="S2065">
        <v>0.42826117499999999</v>
      </c>
      <c r="T2065">
        <v>0.441327945</v>
      </c>
      <c r="U2065">
        <v>0.42632186999999999</v>
      </c>
      <c r="V2065">
        <v>0.41951091000000001</v>
      </c>
      <c r="W2065">
        <v>0.41303543999999998</v>
      </c>
      <c r="X2065">
        <v>0.40638003</v>
      </c>
      <c r="Y2065">
        <v>0.39081072</v>
      </c>
      <c r="Z2065">
        <v>0.35650119000000002</v>
      </c>
      <c r="AA2065">
        <v>0.33222399000000002</v>
      </c>
      <c r="AB2065">
        <v>0.31226383499999999</v>
      </c>
    </row>
    <row r="2066" spans="1:28" hidden="1" x14ac:dyDescent="0.25">
      <c r="A2066" t="s">
        <v>397</v>
      </c>
      <c r="B2066" t="s">
        <v>403</v>
      </c>
      <c r="C2066">
        <v>115</v>
      </c>
      <c r="D2066" t="s">
        <v>2</v>
      </c>
      <c r="E2066">
        <v>9.5409227600000008</v>
      </c>
      <c r="F2066">
        <v>9.11803074</v>
      </c>
      <c r="G2066">
        <v>8.9481940850000008</v>
      </c>
      <c r="H2066">
        <v>8.7783978149999999</v>
      </c>
      <c r="I2066">
        <v>9.2025949600000008</v>
      </c>
      <c r="J2066">
        <v>10.80733135</v>
      </c>
      <c r="K2066">
        <v>12.567588405</v>
      </c>
      <c r="L2066">
        <v>14.501915645</v>
      </c>
      <c r="M2066">
        <v>16.45966323</v>
      </c>
      <c r="N2066">
        <v>18.606311160000001</v>
      </c>
      <c r="O2066">
        <v>19.597231995000001</v>
      </c>
      <c r="P2066">
        <v>20.673540509999999</v>
      </c>
      <c r="Q2066">
        <v>18.868250239999998</v>
      </c>
      <c r="R2066">
        <v>19.69985028</v>
      </c>
      <c r="S2066">
        <v>18.986966379999998</v>
      </c>
      <c r="T2066">
        <v>19.700673739999999</v>
      </c>
      <c r="U2066">
        <v>19.63045309</v>
      </c>
      <c r="V2066">
        <v>19.588540354999999</v>
      </c>
      <c r="W2066">
        <v>22.361778305000001</v>
      </c>
      <c r="X2066">
        <v>22.261154645000001</v>
      </c>
      <c r="Y2066">
        <v>20.093608955000001</v>
      </c>
      <c r="Z2066">
        <v>16.145285704999999</v>
      </c>
      <c r="AA2066">
        <v>12.632318665</v>
      </c>
      <c r="AB2066">
        <v>10.496659395</v>
      </c>
    </row>
    <row r="2067" spans="1:28" hidden="1" x14ac:dyDescent="0.25">
      <c r="A2067" t="s">
        <v>397</v>
      </c>
      <c r="B2067" t="s">
        <v>403</v>
      </c>
      <c r="C2067">
        <v>115</v>
      </c>
      <c r="D2067" t="s">
        <v>3</v>
      </c>
      <c r="E2067">
        <v>4.1065790887000002</v>
      </c>
      <c r="F2067">
        <v>3.7907419066000001</v>
      </c>
      <c r="G2067">
        <v>3.7957109974000001</v>
      </c>
      <c r="H2067">
        <v>3.7053592762999998</v>
      </c>
      <c r="I2067">
        <v>3.6723137757000002</v>
      </c>
      <c r="J2067">
        <v>3.7312260409000002</v>
      </c>
      <c r="K2067">
        <v>4.3208260091000001</v>
      </c>
      <c r="L2067">
        <v>5.1398696020000001</v>
      </c>
      <c r="M2067">
        <v>6.7480515962999998</v>
      </c>
      <c r="N2067">
        <v>7.7098076105000004</v>
      </c>
      <c r="O2067">
        <v>8.1485758831999995</v>
      </c>
      <c r="P2067">
        <v>8.5828392092999994</v>
      </c>
      <c r="Q2067">
        <v>8.4758609891999992</v>
      </c>
      <c r="R2067">
        <v>8.9915756843000008</v>
      </c>
      <c r="S2067">
        <v>8.6352263382000007</v>
      </c>
      <c r="T2067">
        <v>9.1301841964000001</v>
      </c>
      <c r="U2067">
        <v>8.7172092987000003</v>
      </c>
      <c r="V2067">
        <v>8.2635687431000004</v>
      </c>
      <c r="W2067">
        <v>7.4164046289999996</v>
      </c>
      <c r="X2067">
        <v>6.7662645753000001</v>
      </c>
      <c r="Y2067">
        <v>6.0003115365999999</v>
      </c>
      <c r="Z2067">
        <v>4.7234153940999999</v>
      </c>
      <c r="AA2067">
        <v>4.2480875836000003</v>
      </c>
      <c r="AB2067">
        <v>3.9688688068000002</v>
      </c>
    </row>
    <row r="2068" spans="1:28" hidden="1" x14ac:dyDescent="0.25">
      <c r="A2068" t="s">
        <v>397</v>
      </c>
      <c r="B2068" t="s">
        <v>403</v>
      </c>
      <c r="C2068">
        <v>115</v>
      </c>
      <c r="D2068" t="s">
        <v>4</v>
      </c>
      <c r="E2068">
        <v>0.14529323999999999</v>
      </c>
      <c r="F2068">
        <v>0.13885326000000001</v>
      </c>
      <c r="G2068">
        <v>0.13626691499999999</v>
      </c>
      <c r="H2068">
        <v>0.13368118500000001</v>
      </c>
      <c r="I2068">
        <v>0.14014103999999999</v>
      </c>
      <c r="J2068">
        <v>0.16457864999999999</v>
      </c>
      <c r="K2068">
        <v>0.19138459499999999</v>
      </c>
      <c r="L2068">
        <v>0.22084135499999999</v>
      </c>
      <c r="M2068">
        <v>0.25065477000000003</v>
      </c>
      <c r="N2068">
        <v>0.28334483999999999</v>
      </c>
      <c r="O2068">
        <v>0.29843500499999998</v>
      </c>
      <c r="P2068">
        <v>0.31482548999999999</v>
      </c>
      <c r="Q2068">
        <v>0.28733375999999999</v>
      </c>
      <c r="R2068">
        <v>0.29999772000000002</v>
      </c>
      <c r="S2068">
        <v>0.28914161999999999</v>
      </c>
      <c r="T2068">
        <v>0.30001025999999997</v>
      </c>
      <c r="U2068">
        <v>0.29894091</v>
      </c>
      <c r="V2068">
        <v>0.29830264499999998</v>
      </c>
      <c r="W2068">
        <v>0.340534695</v>
      </c>
      <c r="X2068">
        <v>0.33900235499999998</v>
      </c>
      <c r="Y2068">
        <v>0.30599404499999999</v>
      </c>
      <c r="Z2068">
        <v>0.24586729500000001</v>
      </c>
      <c r="AA2068">
        <v>0.192370335</v>
      </c>
      <c r="AB2068">
        <v>0.159847605</v>
      </c>
    </row>
    <row r="2069" spans="1:28" hidden="1" x14ac:dyDescent="0.25">
      <c r="A2069" t="s">
        <v>397</v>
      </c>
      <c r="B2069" t="s">
        <v>404</v>
      </c>
      <c r="C2069">
        <v>115</v>
      </c>
      <c r="D2069" t="s">
        <v>2</v>
      </c>
      <c r="E2069">
        <v>6.9037871849999997</v>
      </c>
      <c r="F2069">
        <v>6.7522577400000001</v>
      </c>
      <c r="G2069">
        <v>6.6700191049999997</v>
      </c>
      <c r="H2069">
        <v>6.4063474100000004</v>
      </c>
      <c r="I2069">
        <v>6.3689765100000004</v>
      </c>
      <c r="J2069">
        <v>6.4324252849999999</v>
      </c>
      <c r="K2069">
        <v>6.9773105400000004</v>
      </c>
      <c r="L2069">
        <v>7.9012868349999996</v>
      </c>
      <c r="M2069">
        <v>7.8801910900000003</v>
      </c>
      <c r="N2069">
        <v>8.1839040199999999</v>
      </c>
      <c r="O2069">
        <v>8.4797399050000006</v>
      </c>
      <c r="P2069">
        <v>8.7906787949999998</v>
      </c>
      <c r="Q2069">
        <v>8.3190194250000005</v>
      </c>
      <c r="R2069">
        <v>8.7792990900000003</v>
      </c>
      <c r="S2069">
        <v>9.1875215049999994</v>
      </c>
      <c r="T2069">
        <v>9.4822591149999997</v>
      </c>
      <c r="U2069">
        <v>9.2065162449999995</v>
      </c>
      <c r="V2069">
        <v>9.3271452549999996</v>
      </c>
      <c r="W2069">
        <v>10.321895769999999</v>
      </c>
      <c r="X2069">
        <v>10.433491345</v>
      </c>
      <c r="Y2069">
        <v>9.8885873750000002</v>
      </c>
      <c r="Z2069">
        <v>8.6442979449999999</v>
      </c>
      <c r="AA2069">
        <v>7.6217842200000003</v>
      </c>
      <c r="AB2069">
        <v>7.06971142</v>
      </c>
    </row>
    <row r="2070" spans="1:28" hidden="1" x14ac:dyDescent="0.25">
      <c r="A2070" t="s">
        <v>397</v>
      </c>
      <c r="B2070" t="s">
        <v>404</v>
      </c>
      <c r="C2070">
        <v>115</v>
      </c>
      <c r="D2070" t="s">
        <v>3</v>
      </c>
      <c r="E2070">
        <v>1.7991548757</v>
      </c>
      <c r="F2070">
        <v>1.9709780747000001</v>
      </c>
      <c r="G2070">
        <v>1.8687793333</v>
      </c>
      <c r="H2070">
        <v>1.3025394413</v>
      </c>
      <c r="I2070">
        <v>1.3472739864000001</v>
      </c>
      <c r="J2070">
        <v>1.3906086978000001</v>
      </c>
      <c r="K2070">
        <v>2.2148736579000001</v>
      </c>
      <c r="L2070">
        <v>2.6548939623000001</v>
      </c>
      <c r="M2070">
        <v>2.8428409464</v>
      </c>
      <c r="N2070">
        <v>3.0170879993000002</v>
      </c>
      <c r="O2070">
        <v>2.8075647346000001</v>
      </c>
      <c r="P2070">
        <v>3.0337716648000002</v>
      </c>
      <c r="Q2070">
        <v>2.9635953910000001</v>
      </c>
      <c r="R2070">
        <v>3.0038681437000001</v>
      </c>
      <c r="S2070">
        <v>2.7358563867000001</v>
      </c>
      <c r="T2070">
        <v>2.6273869782000001</v>
      </c>
      <c r="U2070">
        <v>2.4171354638999998</v>
      </c>
      <c r="V2070">
        <v>2.0361940675999999</v>
      </c>
      <c r="W2070">
        <v>1.8045084875999999</v>
      </c>
      <c r="X2070">
        <v>1.8611367229</v>
      </c>
      <c r="Y2070">
        <v>1.9380712524999999</v>
      </c>
      <c r="Z2070">
        <v>1.6923342749000001</v>
      </c>
      <c r="AA2070">
        <v>1.6234137177000001</v>
      </c>
      <c r="AB2070">
        <v>1.8561255678999999</v>
      </c>
    </row>
    <row r="2071" spans="1:28" hidden="1" x14ac:dyDescent="0.25">
      <c r="A2071" t="s">
        <v>397</v>
      </c>
      <c r="B2071" t="s">
        <v>404</v>
      </c>
      <c r="C2071">
        <v>115</v>
      </c>
      <c r="D2071" t="s">
        <v>4</v>
      </c>
      <c r="E2071">
        <v>0.10513381500000001</v>
      </c>
      <c r="F2071">
        <v>0.10282626</v>
      </c>
      <c r="G2071">
        <v>0.101573895</v>
      </c>
      <c r="H2071">
        <v>9.7558590000000001E-2</v>
      </c>
      <c r="I2071">
        <v>9.6989489999999998E-2</v>
      </c>
      <c r="J2071">
        <v>9.7955714999999999E-2</v>
      </c>
      <c r="K2071">
        <v>0.10625345999999999</v>
      </c>
      <c r="L2071">
        <v>0.120324165</v>
      </c>
      <c r="M2071">
        <v>0.12000291</v>
      </c>
      <c r="N2071">
        <v>0.12462798</v>
      </c>
      <c r="O2071">
        <v>0.129133095</v>
      </c>
      <c r="P2071">
        <v>0.13386820499999999</v>
      </c>
      <c r="Q2071">
        <v>0.12668557499999999</v>
      </c>
      <c r="R2071">
        <v>0.13369491</v>
      </c>
      <c r="S2071">
        <v>0.139911495</v>
      </c>
      <c r="T2071">
        <v>0.14439988500000001</v>
      </c>
      <c r="U2071">
        <v>0.14020075500000001</v>
      </c>
      <c r="V2071">
        <v>0.14203774499999999</v>
      </c>
      <c r="W2071">
        <v>0.15718623000000001</v>
      </c>
      <c r="X2071">
        <v>0.15888565499999999</v>
      </c>
      <c r="Y2071">
        <v>0.150587625</v>
      </c>
      <c r="Z2071">
        <v>0.131639055</v>
      </c>
      <c r="AA2071">
        <v>0.11606778</v>
      </c>
      <c r="AB2071">
        <v>0.10766058000000001</v>
      </c>
    </row>
    <row r="2072" spans="1:28" hidden="1" x14ac:dyDescent="0.25">
      <c r="A2072" t="s">
        <v>397</v>
      </c>
      <c r="B2072" t="s">
        <v>405</v>
      </c>
      <c r="C2072">
        <v>115</v>
      </c>
      <c r="D2072" t="s">
        <v>2</v>
      </c>
      <c r="E2072">
        <v>4.7022373249999996</v>
      </c>
      <c r="F2072">
        <v>4.5558318499999997</v>
      </c>
      <c r="G2072">
        <v>4.4952839000000004</v>
      </c>
      <c r="H2072">
        <v>4.4398993200000003</v>
      </c>
      <c r="I2072">
        <v>4.6237190349999997</v>
      </c>
      <c r="J2072">
        <v>5.3904203800000001</v>
      </c>
      <c r="K2072">
        <v>6.0763320250000001</v>
      </c>
      <c r="L2072">
        <v>6.2634731600000002</v>
      </c>
      <c r="M2072">
        <v>6.6625528049999998</v>
      </c>
      <c r="N2072">
        <v>6.9722092250000003</v>
      </c>
      <c r="O2072">
        <v>6.9733656149999996</v>
      </c>
      <c r="P2072">
        <v>7.451624485</v>
      </c>
      <c r="Q2072">
        <v>7.3728185750000002</v>
      </c>
      <c r="R2072">
        <v>7.1386220199999997</v>
      </c>
      <c r="S2072">
        <v>6.953047035</v>
      </c>
      <c r="T2072">
        <v>6.5967439700000003</v>
      </c>
      <c r="U2072">
        <v>7.0047969649999997</v>
      </c>
      <c r="V2072">
        <v>8.4926512850000009</v>
      </c>
      <c r="W2072">
        <v>9.3960578249999998</v>
      </c>
      <c r="X2072">
        <v>9.93968031</v>
      </c>
      <c r="Y2072">
        <v>8.9336318450000007</v>
      </c>
      <c r="Z2072">
        <v>7.2649600899999998</v>
      </c>
      <c r="AA2072">
        <v>5.6419243699999999</v>
      </c>
      <c r="AB2072">
        <v>4.6696111699999996</v>
      </c>
    </row>
    <row r="2073" spans="1:28" hidden="1" x14ac:dyDescent="0.25">
      <c r="A2073" t="s">
        <v>397</v>
      </c>
      <c r="B2073" t="s">
        <v>405</v>
      </c>
      <c r="C2073">
        <v>115</v>
      </c>
      <c r="D2073" t="s">
        <v>3</v>
      </c>
      <c r="E2073">
        <v>0.76509798839999998</v>
      </c>
      <c r="F2073">
        <v>0.7482348835</v>
      </c>
      <c r="G2073">
        <v>0.68768914449999996</v>
      </c>
      <c r="H2073">
        <v>0.68460508760000005</v>
      </c>
      <c r="I2073">
        <v>0.67569742769999996</v>
      </c>
      <c r="J2073">
        <v>0.63746119999999995</v>
      </c>
      <c r="K2073">
        <v>1.0253349286</v>
      </c>
      <c r="L2073">
        <v>1.3340981527</v>
      </c>
      <c r="M2073">
        <v>1.6067657299</v>
      </c>
      <c r="N2073">
        <v>1.7997952704</v>
      </c>
      <c r="O2073">
        <v>1.8547743699000001</v>
      </c>
      <c r="P2073">
        <v>1.8795748575</v>
      </c>
      <c r="Q2073">
        <v>1.9647034833999999</v>
      </c>
      <c r="R2073">
        <v>1.8969443746000001</v>
      </c>
      <c r="S2073">
        <v>2.2949643495999998</v>
      </c>
      <c r="T2073">
        <v>2.0324427698999998</v>
      </c>
      <c r="U2073">
        <v>2.3519527037999999</v>
      </c>
      <c r="V2073">
        <v>2.3504411114999999</v>
      </c>
      <c r="W2073">
        <v>1.8995768314999999</v>
      </c>
      <c r="X2073">
        <v>1.4893311291</v>
      </c>
      <c r="Y2073">
        <v>1.2690912603</v>
      </c>
      <c r="Z2073">
        <v>1.1250826907</v>
      </c>
      <c r="AA2073">
        <v>0.83558347509999997</v>
      </c>
      <c r="AB2073">
        <v>0.82580831040000002</v>
      </c>
    </row>
    <row r="2074" spans="1:28" hidden="1" x14ac:dyDescent="0.25">
      <c r="A2074" t="s">
        <v>397</v>
      </c>
      <c r="B2074" t="s">
        <v>405</v>
      </c>
      <c r="C2074">
        <v>115</v>
      </c>
      <c r="D2074" t="s">
        <v>4</v>
      </c>
      <c r="E2074">
        <v>7.1607674999999996E-2</v>
      </c>
      <c r="F2074">
        <v>6.937815E-2</v>
      </c>
      <c r="G2074">
        <v>6.8456100000000006E-2</v>
      </c>
      <c r="H2074">
        <v>6.7612679999999994E-2</v>
      </c>
      <c r="I2074">
        <v>7.0411965000000007E-2</v>
      </c>
      <c r="J2074">
        <v>8.208762E-2</v>
      </c>
      <c r="K2074">
        <v>9.2532975000000003E-2</v>
      </c>
      <c r="L2074">
        <v>9.5382839999999997E-2</v>
      </c>
      <c r="M2074">
        <v>0.101460195</v>
      </c>
      <c r="N2074">
        <v>0.106175775</v>
      </c>
      <c r="O2074">
        <v>0.106193385</v>
      </c>
      <c r="P2074">
        <v>0.113476515</v>
      </c>
      <c r="Q2074">
        <v>0.112276425</v>
      </c>
      <c r="R2074">
        <v>0.10870998</v>
      </c>
      <c r="S2074">
        <v>0.105883965</v>
      </c>
      <c r="T2074">
        <v>0.10045803</v>
      </c>
      <c r="U2074">
        <v>0.106672035</v>
      </c>
      <c r="V2074">
        <v>0.12932971500000001</v>
      </c>
      <c r="W2074">
        <v>0.14308717500000001</v>
      </c>
      <c r="X2074">
        <v>0.15136569</v>
      </c>
      <c r="Y2074">
        <v>0.136045155</v>
      </c>
      <c r="Z2074">
        <v>0.11063391</v>
      </c>
      <c r="AA2074">
        <v>8.5917629999999995E-2</v>
      </c>
      <c r="AB2074">
        <v>7.111083E-2</v>
      </c>
    </row>
    <row r="2075" spans="1:28" hidden="1" x14ac:dyDescent="0.25">
      <c r="A2075" t="s">
        <v>397</v>
      </c>
      <c r="B2075" t="s">
        <v>406</v>
      </c>
      <c r="C2075">
        <v>115</v>
      </c>
      <c r="D2075" t="s">
        <v>2</v>
      </c>
      <c r="E2075">
        <v>17.824942180000001</v>
      </c>
      <c r="F2075">
        <v>16.534944809999999</v>
      </c>
      <c r="G2075">
        <v>16.064375835</v>
      </c>
      <c r="H2075">
        <v>15.511883425000001</v>
      </c>
      <c r="I2075">
        <v>15.109805440000001</v>
      </c>
      <c r="J2075">
        <v>15.144393715</v>
      </c>
      <c r="K2075">
        <v>15.692032044999999</v>
      </c>
      <c r="L2075">
        <v>18.055448925</v>
      </c>
      <c r="M2075">
        <v>21.269911714999999</v>
      </c>
      <c r="N2075">
        <v>24.129987265</v>
      </c>
      <c r="O2075">
        <v>25.32432833</v>
      </c>
      <c r="P2075">
        <v>26.036439004999998</v>
      </c>
      <c r="Q2075">
        <v>25.714673980000001</v>
      </c>
      <c r="R2075">
        <v>26.013111250000001</v>
      </c>
      <c r="S2075">
        <v>28.287165975000001</v>
      </c>
      <c r="T2075">
        <v>29.431900469999999</v>
      </c>
      <c r="U2075">
        <v>28.429928919999998</v>
      </c>
      <c r="V2075">
        <v>27.405922919999998</v>
      </c>
      <c r="W2075">
        <v>26.212785525000001</v>
      </c>
      <c r="X2075">
        <v>25.444153579999998</v>
      </c>
      <c r="Y2075">
        <v>24.46530589</v>
      </c>
      <c r="Z2075">
        <v>22.407546329999999</v>
      </c>
      <c r="AA2075">
        <v>20.434499724999998</v>
      </c>
      <c r="AB2075">
        <v>18.818656475000001</v>
      </c>
    </row>
    <row r="2076" spans="1:28" hidden="1" x14ac:dyDescent="0.25">
      <c r="A2076" t="s">
        <v>397</v>
      </c>
      <c r="B2076" t="s">
        <v>406</v>
      </c>
      <c r="C2076">
        <v>115</v>
      </c>
      <c r="D2076" t="s">
        <v>3</v>
      </c>
      <c r="E2076">
        <v>9.2575212155000006</v>
      </c>
      <c r="F2076">
        <v>7.0323874070999999</v>
      </c>
      <c r="G2076">
        <v>7.0027055068999999</v>
      </c>
      <c r="H2076">
        <v>6.7987695334999998</v>
      </c>
      <c r="I2076">
        <v>6.6382362121999998</v>
      </c>
      <c r="J2076">
        <v>6.5184104416000004</v>
      </c>
      <c r="K2076">
        <v>6.9618097629999998</v>
      </c>
      <c r="L2076">
        <v>7.7551311337</v>
      </c>
      <c r="M2076">
        <v>9.7767861016000008</v>
      </c>
      <c r="N2076">
        <v>12.4222346746</v>
      </c>
      <c r="O2076">
        <v>12.563420926599999</v>
      </c>
      <c r="P2076">
        <v>12.3849672239</v>
      </c>
      <c r="Q2076">
        <v>13.0606264588</v>
      </c>
      <c r="R2076">
        <v>12.12170268</v>
      </c>
      <c r="S2076">
        <v>12.674583399699999</v>
      </c>
      <c r="T2076">
        <v>13.4147130584</v>
      </c>
      <c r="U2076">
        <v>12.961337478900001</v>
      </c>
      <c r="V2076">
        <v>11.998019169599999</v>
      </c>
      <c r="W2076">
        <v>10.845612580899999</v>
      </c>
      <c r="X2076">
        <v>10.4283344799</v>
      </c>
      <c r="Y2076">
        <v>10.2376410039</v>
      </c>
      <c r="Z2076">
        <v>9.5144746041000001</v>
      </c>
      <c r="AA2076">
        <v>8.2747078566999992</v>
      </c>
      <c r="AB2076">
        <v>7.2491087229</v>
      </c>
    </row>
    <row r="2077" spans="1:28" hidden="1" x14ac:dyDescent="0.25">
      <c r="A2077" t="s">
        <v>397</v>
      </c>
      <c r="B2077" t="s">
        <v>406</v>
      </c>
      <c r="C2077">
        <v>115</v>
      </c>
      <c r="D2077" t="s">
        <v>4</v>
      </c>
      <c r="E2077">
        <v>0.27144582</v>
      </c>
      <c r="F2077">
        <v>0.25180119000000001</v>
      </c>
      <c r="G2077">
        <v>0.24463516499999999</v>
      </c>
      <c r="H2077">
        <v>0.23622157499999999</v>
      </c>
      <c r="I2077">
        <v>0.23009856000000001</v>
      </c>
      <c r="J2077">
        <v>0.23062528500000001</v>
      </c>
      <c r="K2077">
        <v>0.23896495500000001</v>
      </c>
      <c r="L2077">
        <v>0.27495607500000002</v>
      </c>
      <c r="M2077">
        <v>0.32390728499999999</v>
      </c>
      <c r="N2077">
        <v>0.36746173500000001</v>
      </c>
      <c r="O2077">
        <v>0.38564967</v>
      </c>
      <c r="P2077">
        <v>0.39649399499999999</v>
      </c>
      <c r="Q2077">
        <v>0.39159401999999999</v>
      </c>
      <c r="R2077">
        <v>0.39613874999999998</v>
      </c>
      <c r="S2077">
        <v>0.43076902500000003</v>
      </c>
      <c r="T2077">
        <v>0.44820153000000001</v>
      </c>
      <c r="U2077">
        <v>0.43294307999999998</v>
      </c>
      <c r="V2077">
        <v>0.41734907999999998</v>
      </c>
      <c r="W2077">
        <v>0.39917947500000001</v>
      </c>
      <c r="X2077">
        <v>0.38747441999999999</v>
      </c>
      <c r="Y2077">
        <v>0.37256811000000001</v>
      </c>
      <c r="Z2077">
        <v>0.34123166999999999</v>
      </c>
      <c r="AA2077">
        <v>0.31118527499999998</v>
      </c>
      <c r="AB2077">
        <v>0.28657852499999997</v>
      </c>
    </row>
    <row r="2078" spans="1:28" hidden="1" x14ac:dyDescent="0.25">
      <c r="A2078" t="s">
        <v>397</v>
      </c>
      <c r="B2078" t="s">
        <v>407</v>
      </c>
      <c r="C2078">
        <v>34</v>
      </c>
      <c r="D2078" t="s">
        <v>2</v>
      </c>
      <c r="E2078">
        <v>17.56512472</v>
      </c>
      <c r="F2078">
        <v>17.809139859999998</v>
      </c>
      <c r="G2078">
        <v>17.971176419999999</v>
      </c>
      <c r="H2078">
        <v>17.509355540000001</v>
      </c>
      <c r="I2078">
        <v>17.517402659999998</v>
      </c>
      <c r="J2078">
        <v>17.664212160000002</v>
      </c>
      <c r="K2078">
        <v>16.586785630000001</v>
      </c>
      <c r="L2078">
        <v>13.901819809999999</v>
      </c>
      <c r="M2078">
        <v>5.2799825699999996</v>
      </c>
      <c r="N2078">
        <v>1.52428031</v>
      </c>
      <c r="O2078">
        <v>1.09843285</v>
      </c>
      <c r="P2078">
        <v>1.6376413000000001</v>
      </c>
      <c r="Q2078">
        <v>2.5386063999999999</v>
      </c>
      <c r="R2078">
        <v>2.2240509199999998</v>
      </c>
      <c r="S2078">
        <v>3.4244346499999998</v>
      </c>
      <c r="T2078">
        <v>5.1645739099999997</v>
      </c>
      <c r="U2078">
        <v>11.427638869999999</v>
      </c>
      <c r="V2078">
        <v>17.61077195</v>
      </c>
      <c r="W2078">
        <v>18.564889170000001</v>
      </c>
      <c r="X2078">
        <v>18.488821770000001</v>
      </c>
      <c r="Y2078">
        <v>18.281470689999999</v>
      </c>
      <c r="Z2078">
        <v>17.557771150000001</v>
      </c>
      <c r="AA2078">
        <v>17.128429749999999</v>
      </c>
      <c r="AB2078">
        <v>16.81153269</v>
      </c>
    </row>
    <row r="2079" spans="1:28" hidden="1" x14ac:dyDescent="0.25">
      <c r="A2079" t="s">
        <v>397</v>
      </c>
      <c r="B2079" t="s">
        <v>407</v>
      </c>
      <c r="C2079">
        <v>34</v>
      </c>
      <c r="D2079" t="s">
        <v>3</v>
      </c>
      <c r="E2079">
        <v>2.5344687648000002</v>
      </c>
      <c r="F2079">
        <v>2.6758300758</v>
      </c>
      <c r="G2079">
        <v>2.7782793039999998</v>
      </c>
      <c r="H2079">
        <v>2.6547857983999998</v>
      </c>
      <c r="I2079">
        <v>2.7210129569000001</v>
      </c>
      <c r="J2079">
        <v>2.7579265194999998</v>
      </c>
      <c r="K2079">
        <v>2.3138104028000002</v>
      </c>
      <c r="L2079">
        <v>1.8512088028</v>
      </c>
      <c r="M2079">
        <v>2.2841362242000001</v>
      </c>
      <c r="N2079">
        <v>0.61340336669999995</v>
      </c>
      <c r="O2079">
        <v>0</v>
      </c>
      <c r="P2079">
        <v>0.1431746297</v>
      </c>
      <c r="Q2079">
        <v>1.5196260784</v>
      </c>
      <c r="R2079">
        <v>0.68588675369999996</v>
      </c>
      <c r="S2079">
        <v>0</v>
      </c>
      <c r="T2079">
        <v>0.27938430130000003</v>
      </c>
      <c r="U2079">
        <v>0.18428200829999999</v>
      </c>
      <c r="V2079">
        <v>0.11138252880000001</v>
      </c>
      <c r="W2079">
        <v>1.9871828109</v>
      </c>
      <c r="X2079">
        <v>2.0818866584000002</v>
      </c>
      <c r="Y2079">
        <v>2.1205130026000001</v>
      </c>
      <c r="Z2079">
        <v>2.2540347646000001</v>
      </c>
      <c r="AA2079">
        <v>2.3240675254999998</v>
      </c>
      <c r="AB2079">
        <v>2.2412660758</v>
      </c>
    </row>
    <row r="2080" spans="1:28" hidden="1" x14ac:dyDescent="0.25">
      <c r="A2080" t="s">
        <v>397</v>
      </c>
      <c r="B2080" t="s">
        <v>407</v>
      </c>
      <c r="C2080">
        <v>34</v>
      </c>
      <c r="D2080" t="s">
        <v>4</v>
      </c>
      <c r="E2080">
        <v>0.54325128</v>
      </c>
      <c r="F2080">
        <v>0.55079814000000005</v>
      </c>
      <c r="G2080">
        <v>0.55580958000000003</v>
      </c>
      <c r="H2080">
        <v>0.54152646000000004</v>
      </c>
      <c r="I2080">
        <v>0.54177534000000005</v>
      </c>
      <c r="J2080">
        <v>0.54631584</v>
      </c>
      <c r="K2080">
        <v>0.51299337</v>
      </c>
      <c r="L2080">
        <v>0.42995318999999999</v>
      </c>
      <c r="M2080">
        <v>0.16329842999999999</v>
      </c>
      <c r="N2080">
        <v>4.7142690000000001E-2</v>
      </c>
      <c r="O2080">
        <v>3.397215E-2</v>
      </c>
      <c r="P2080">
        <v>5.0648699999999998E-2</v>
      </c>
      <c r="Q2080">
        <v>7.8513600000000003E-2</v>
      </c>
      <c r="R2080">
        <v>6.8785079999999998E-2</v>
      </c>
      <c r="S2080">
        <v>0.10591035</v>
      </c>
      <c r="T2080">
        <v>0.15972908999999999</v>
      </c>
      <c r="U2080">
        <v>0.35343213000000001</v>
      </c>
      <c r="V2080">
        <v>0.54466305000000004</v>
      </c>
      <c r="W2080">
        <v>0.57417183000000005</v>
      </c>
      <c r="X2080">
        <v>0.57181923000000001</v>
      </c>
      <c r="Y2080">
        <v>0.56540630999999997</v>
      </c>
      <c r="Z2080">
        <v>0.54302384999999997</v>
      </c>
      <c r="AA2080">
        <v>0.52974524999999995</v>
      </c>
      <c r="AB2080">
        <v>0.51994430999999997</v>
      </c>
    </row>
    <row r="2081" spans="1:28" x14ac:dyDescent="0.25">
      <c r="A2081" t="s">
        <v>408</v>
      </c>
      <c r="B2081" t="s">
        <v>409</v>
      </c>
      <c r="C2081">
        <v>115</v>
      </c>
      <c r="D2081" t="s">
        <v>2</v>
      </c>
      <c r="E2081">
        <v>2.3367361849999999</v>
      </c>
      <c r="F2081">
        <v>2.1762639250000002</v>
      </c>
      <c r="G2081">
        <v>2.1025209149999999</v>
      </c>
      <c r="H2081">
        <v>2.0441911849999999</v>
      </c>
      <c r="I2081">
        <v>2.11862862</v>
      </c>
      <c r="J2081">
        <v>2.2352575450000001</v>
      </c>
      <c r="K2081">
        <v>1.975515015</v>
      </c>
      <c r="L2081">
        <v>1.74419269</v>
      </c>
      <c r="M2081">
        <v>1.6761784399999999</v>
      </c>
      <c r="N2081">
        <v>1.7229314650000001</v>
      </c>
      <c r="O2081">
        <v>1.85328735</v>
      </c>
      <c r="P2081">
        <v>2.0396473799999999</v>
      </c>
      <c r="Q2081">
        <v>2.1787136199999999</v>
      </c>
      <c r="R2081">
        <v>2.218337215</v>
      </c>
      <c r="S2081">
        <v>2.257672205</v>
      </c>
      <c r="T2081">
        <v>2.326269575</v>
      </c>
      <c r="U2081">
        <v>2.49127382</v>
      </c>
      <c r="V2081">
        <v>2.745731825</v>
      </c>
      <c r="W2081">
        <v>3.3140029499999999</v>
      </c>
      <c r="X2081">
        <v>3.6766730550000002</v>
      </c>
      <c r="Y2081">
        <v>3.73617592</v>
      </c>
      <c r="Z2081">
        <v>3.372652805</v>
      </c>
      <c r="AA2081">
        <v>3.065805605</v>
      </c>
      <c r="AB2081">
        <v>2.6880984899999998</v>
      </c>
    </row>
    <row r="2082" spans="1:28" x14ac:dyDescent="0.25">
      <c r="A2082" t="s">
        <v>408</v>
      </c>
      <c r="B2082" t="s">
        <v>409</v>
      </c>
      <c r="C2082">
        <v>115</v>
      </c>
      <c r="D2082" t="s">
        <v>3</v>
      </c>
      <c r="E2082">
        <v>0.8218082135</v>
      </c>
      <c r="F2082">
        <v>0.78749369800000002</v>
      </c>
      <c r="G2082">
        <v>0.76569088799999996</v>
      </c>
      <c r="H2082">
        <v>0.71947661569999999</v>
      </c>
      <c r="I2082">
        <v>0.70287872620000003</v>
      </c>
      <c r="J2082">
        <v>0.70131047849999995</v>
      </c>
      <c r="K2082">
        <v>0.77279490979999999</v>
      </c>
      <c r="L2082">
        <v>0.74659382919999995</v>
      </c>
      <c r="M2082">
        <v>0.7506979023</v>
      </c>
      <c r="N2082">
        <v>0.80052403480000001</v>
      </c>
      <c r="O2082">
        <v>0.87085196730000003</v>
      </c>
      <c r="P2082">
        <v>0.93041918280000002</v>
      </c>
      <c r="Q2082">
        <v>1.001768929</v>
      </c>
      <c r="R2082">
        <v>0.99552949300000004</v>
      </c>
      <c r="S2082">
        <v>1.0396446320999999</v>
      </c>
      <c r="T2082">
        <v>0.98712561499999996</v>
      </c>
      <c r="U2082">
        <v>1.0014565736000001</v>
      </c>
      <c r="V2082">
        <v>1.0427904622999999</v>
      </c>
      <c r="W2082">
        <v>1.0096523418000001</v>
      </c>
      <c r="X2082">
        <v>1.0160776255999999</v>
      </c>
      <c r="Y2082">
        <v>0.97017673520000003</v>
      </c>
      <c r="Z2082">
        <v>0.92151834799999999</v>
      </c>
      <c r="AA2082">
        <v>0.85195698099999995</v>
      </c>
      <c r="AB2082">
        <v>0.79201881480000003</v>
      </c>
    </row>
    <row r="2083" spans="1:28" x14ac:dyDescent="0.25">
      <c r="A2083" t="s">
        <v>408</v>
      </c>
      <c r="B2083" t="s">
        <v>409</v>
      </c>
      <c r="C2083">
        <v>115</v>
      </c>
      <c r="D2083" t="s">
        <v>4</v>
      </c>
      <c r="E2083">
        <v>3.5584814999999999E-2</v>
      </c>
      <c r="F2083">
        <v>3.3141074999999999E-2</v>
      </c>
      <c r="G2083">
        <v>3.2018085000000002E-2</v>
      </c>
      <c r="H2083">
        <v>3.1129815000000002E-2</v>
      </c>
      <c r="I2083">
        <v>3.2263380000000001E-2</v>
      </c>
      <c r="J2083">
        <v>3.4039455000000003E-2</v>
      </c>
      <c r="K2083">
        <v>3.0083985000000001E-2</v>
      </c>
      <c r="L2083">
        <v>2.6561310000000001E-2</v>
      </c>
      <c r="M2083">
        <v>2.5525559999999999E-2</v>
      </c>
      <c r="N2083">
        <v>2.6237534999999999E-2</v>
      </c>
      <c r="O2083">
        <v>2.8222649999999998E-2</v>
      </c>
      <c r="P2083">
        <v>3.1060620000000001E-2</v>
      </c>
      <c r="Q2083">
        <v>3.317838E-2</v>
      </c>
      <c r="R2083">
        <v>3.3781785000000002E-2</v>
      </c>
      <c r="S2083">
        <v>3.4380794999999999E-2</v>
      </c>
      <c r="T2083">
        <v>3.5425425000000003E-2</v>
      </c>
      <c r="U2083">
        <v>3.7938180000000002E-2</v>
      </c>
      <c r="V2083">
        <v>4.1813175000000001E-2</v>
      </c>
      <c r="W2083">
        <v>5.0467049999999999E-2</v>
      </c>
      <c r="X2083">
        <v>5.5989944999999999E-2</v>
      </c>
      <c r="Y2083">
        <v>5.6896080000000002E-2</v>
      </c>
      <c r="Z2083">
        <v>5.1360194999999997E-2</v>
      </c>
      <c r="AA2083">
        <v>4.6687395E-2</v>
      </c>
      <c r="AB2083">
        <v>4.0935510000000001E-2</v>
      </c>
    </row>
    <row r="2084" spans="1:28" hidden="1" x14ac:dyDescent="0.25">
      <c r="A2084" t="s">
        <v>408</v>
      </c>
      <c r="B2084" t="s">
        <v>410</v>
      </c>
      <c r="C2084">
        <v>115</v>
      </c>
      <c r="D2084" t="s">
        <v>2</v>
      </c>
      <c r="E2084">
        <v>1.021798615</v>
      </c>
      <c r="F2084">
        <v>1.0012987950000001</v>
      </c>
      <c r="G2084">
        <v>0.97760560500000004</v>
      </c>
      <c r="H2084">
        <v>0.98345059499999998</v>
      </c>
      <c r="I2084">
        <v>0.96936016999999997</v>
      </c>
      <c r="J2084">
        <v>1.0077879750000001</v>
      </c>
      <c r="K2084">
        <v>1.0473278450000001</v>
      </c>
      <c r="L2084">
        <v>1.067134225</v>
      </c>
      <c r="M2084">
        <v>1.09779826</v>
      </c>
      <c r="N2084">
        <v>1.190389245</v>
      </c>
      <c r="O2084">
        <v>1.296416615</v>
      </c>
      <c r="P2084">
        <v>1.3791319900000001</v>
      </c>
      <c r="Q2084">
        <v>1.3682447849999999</v>
      </c>
      <c r="R2084">
        <v>1.344925895</v>
      </c>
      <c r="S2084">
        <v>1.3526285950000001</v>
      </c>
      <c r="T2084">
        <v>1.328813265</v>
      </c>
      <c r="U2084">
        <v>1.3259459300000001</v>
      </c>
      <c r="V2084">
        <v>1.312273145</v>
      </c>
      <c r="W2084">
        <v>1.44727823</v>
      </c>
      <c r="X2084">
        <v>1.429176885</v>
      </c>
      <c r="Y2084">
        <v>1.3812526949999999</v>
      </c>
      <c r="Z2084">
        <v>1.26302413</v>
      </c>
      <c r="AA2084">
        <v>1.19225779</v>
      </c>
      <c r="AB2084">
        <v>1.109847765</v>
      </c>
    </row>
    <row r="2085" spans="1:28" hidden="1" x14ac:dyDescent="0.25">
      <c r="A2085" t="s">
        <v>408</v>
      </c>
      <c r="B2085" t="s">
        <v>410</v>
      </c>
      <c r="C2085">
        <v>115</v>
      </c>
      <c r="D2085" t="s">
        <v>3</v>
      </c>
      <c r="E2085">
        <v>9.1396101000000007E-3</v>
      </c>
      <c r="F2085">
        <v>0.42860144160000002</v>
      </c>
      <c r="G2085">
        <v>6.1830443000000001E-3</v>
      </c>
      <c r="H2085">
        <v>0.38688779820000002</v>
      </c>
      <c r="I2085">
        <v>0.1491434019</v>
      </c>
      <c r="J2085">
        <v>0.4924244129</v>
      </c>
      <c r="K2085">
        <v>4.5924698299999997E-2</v>
      </c>
      <c r="L2085">
        <v>4.7724168999999997E-3</v>
      </c>
      <c r="M2085">
        <v>4.9864553700000001E-2</v>
      </c>
      <c r="N2085">
        <v>0.14372425350000001</v>
      </c>
      <c r="O2085">
        <v>1.6399316600000002E-2</v>
      </c>
      <c r="P2085">
        <v>0.2378659242</v>
      </c>
      <c r="Q2085">
        <v>0.44234581950000001</v>
      </c>
      <c r="R2085">
        <v>0.36742262869999998</v>
      </c>
      <c r="S2085">
        <v>1.7110382699999999E-2</v>
      </c>
      <c r="T2085">
        <v>0.43064658410000001</v>
      </c>
      <c r="U2085">
        <v>0.33921088620000001</v>
      </c>
      <c r="V2085">
        <v>8.31201731E-2</v>
      </c>
      <c r="W2085">
        <v>7.8827979899999998E-2</v>
      </c>
      <c r="X2085">
        <v>2.6356037400000001E-2</v>
      </c>
      <c r="Y2085">
        <v>0.1449334437</v>
      </c>
      <c r="Z2085">
        <v>0.51660196120000001</v>
      </c>
      <c r="AA2085">
        <v>8.3096368800000001E-2</v>
      </c>
      <c r="AB2085">
        <v>0.46536733089999999</v>
      </c>
    </row>
    <row r="2086" spans="1:28" hidden="1" x14ac:dyDescent="0.25">
      <c r="A2086" t="s">
        <v>408</v>
      </c>
      <c r="B2086" t="s">
        <v>410</v>
      </c>
      <c r="C2086">
        <v>115</v>
      </c>
      <c r="D2086" t="s">
        <v>4</v>
      </c>
      <c r="E2086">
        <v>1.5560384999999999E-2</v>
      </c>
      <c r="F2086">
        <v>1.5248205000000001E-2</v>
      </c>
      <c r="G2086">
        <v>1.4887394999999999E-2</v>
      </c>
      <c r="H2086">
        <v>1.4976405E-2</v>
      </c>
      <c r="I2086">
        <v>1.476183E-2</v>
      </c>
      <c r="J2086">
        <v>1.5347025E-2</v>
      </c>
      <c r="K2086">
        <v>1.5949155E-2</v>
      </c>
      <c r="L2086">
        <v>1.6250774999999999E-2</v>
      </c>
      <c r="M2086">
        <v>1.6717739999999998E-2</v>
      </c>
      <c r="N2086">
        <v>1.8127754999999999E-2</v>
      </c>
      <c r="O2086">
        <v>1.9742385000000001E-2</v>
      </c>
      <c r="P2086">
        <v>2.1002010000000002E-2</v>
      </c>
      <c r="Q2086">
        <v>2.0836215000000002E-2</v>
      </c>
      <c r="R2086">
        <v>2.0481104999999999E-2</v>
      </c>
      <c r="S2086">
        <v>2.0598405E-2</v>
      </c>
      <c r="T2086">
        <v>2.0235735000000001E-2</v>
      </c>
      <c r="U2086">
        <v>2.0192069999999999E-2</v>
      </c>
      <c r="V2086">
        <v>1.9983854999999998E-2</v>
      </c>
      <c r="W2086">
        <v>2.203977E-2</v>
      </c>
      <c r="X2086">
        <v>2.1764115000000001E-2</v>
      </c>
      <c r="Y2086">
        <v>2.1034305E-2</v>
      </c>
      <c r="Z2086">
        <v>1.923387E-2</v>
      </c>
      <c r="AA2086">
        <v>1.8156209999999999E-2</v>
      </c>
      <c r="AB2086">
        <v>1.6901235000000001E-2</v>
      </c>
    </row>
    <row r="2087" spans="1:28" x14ac:dyDescent="0.25">
      <c r="A2087" t="s">
        <v>408</v>
      </c>
      <c r="B2087" t="s">
        <v>411</v>
      </c>
      <c r="C2087">
        <v>115</v>
      </c>
      <c r="D2087" t="s">
        <v>2</v>
      </c>
      <c r="E2087">
        <v>0.53881765500000001</v>
      </c>
      <c r="F2087">
        <v>0.53999571499999999</v>
      </c>
      <c r="G2087">
        <v>0.54103095000000001</v>
      </c>
      <c r="H2087">
        <v>0.53836554000000003</v>
      </c>
      <c r="I2087">
        <v>0.53972681</v>
      </c>
      <c r="J2087">
        <v>0.56842577000000005</v>
      </c>
      <c r="K2087">
        <v>0.55137148000000002</v>
      </c>
      <c r="L2087">
        <v>0.51824297500000005</v>
      </c>
      <c r="M2087">
        <v>0.49976535999999999</v>
      </c>
      <c r="N2087">
        <v>0.50406390000000001</v>
      </c>
      <c r="O2087">
        <v>0.52445931000000001</v>
      </c>
      <c r="P2087">
        <v>0.55960312499999998</v>
      </c>
      <c r="Q2087">
        <v>0.55161181999999997</v>
      </c>
      <c r="R2087">
        <v>0.56328702500000005</v>
      </c>
      <c r="S2087">
        <v>0.55948197</v>
      </c>
      <c r="T2087">
        <v>0.55113606500000001</v>
      </c>
      <c r="U2087">
        <v>0.56728612499999997</v>
      </c>
      <c r="V2087">
        <v>0.59554380500000004</v>
      </c>
      <c r="W2087">
        <v>0.64617378999999997</v>
      </c>
      <c r="X2087">
        <v>0.64927654000000001</v>
      </c>
      <c r="Y2087">
        <v>0.63024338499999999</v>
      </c>
      <c r="Z2087">
        <v>0.59881794499999996</v>
      </c>
      <c r="AA2087">
        <v>0.58166712499999995</v>
      </c>
      <c r="AB2087">
        <v>0.54895724509999999</v>
      </c>
    </row>
    <row r="2088" spans="1:28" x14ac:dyDescent="0.25">
      <c r="A2088" t="s">
        <v>408</v>
      </c>
      <c r="B2088" t="s">
        <v>411</v>
      </c>
      <c r="C2088">
        <v>115</v>
      </c>
      <c r="D2088" t="s">
        <v>3</v>
      </c>
      <c r="E2088">
        <v>0.131057965</v>
      </c>
      <c r="F2088">
        <v>0.11996524240000001</v>
      </c>
      <c r="G2088">
        <v>0.11213337750000001</v>
      </c>
      <c r="H2088">
        <v>0.1104694083</v>
      </c>
      <c r="I2088">
        <v>0.119251092</v>
      </c>
      <c r="J2088">
        <v>0.13525182590000001</v>
      </c>
      <c r="K2088">
        <v>0.1408177387</v>
      </c>
      <c r="L2088">
        <v>0.133246799</v>
      </c>
      <c r="M2088">
        <v>0.13845708179999999</v>
      </c>
      <c r="N2088">
        <v>0.12637438910000001</v>
      </c>
      <c r="O2088">
        <v>0.1365651356</v>
      </c>
      <c r="P2088">
        <v>0.14462216859999999</v>
      </c>
      <c r="Q2088">
        <v>0.16549669929999999</v>
      </c>
      <c r="R2088">
        <v>0.1509692145</v>
      </c>
      <c r="S2088">
        <v>0.1548883724</v>
      </c>
      <c r="T2088">
        <v>0.1984042281</v>
      </c>
      <c r="U2088">
        <v>0.21859599960000001</v>
      </c>
      <c r="V2088">
        <v>0.2415829504</v>
      </c>
      <c r="W2088">
        <v>0.25779629440000001</v>
      </c>
      <c r="X2088">
        <v>0.28701751079999999</v>
      </c>
      <c r="Y2088">
        <v>0.28788117219999998</v>
      </c>
      <c r="Z2088">
        <v>0.24686280329999999</v>
      </c>
      <c r="AA2088">
        <v>0.19954084120000001</v>
      </c>
      <c r="AB2088">
        <v>0.1914596589</v>
      </c>
    </row>
    <row r="2089" spans="1:28" x14ac:dyDescent="0.25">
      <c r="A2089" t="s">
        <v>408</v>
      </c>
      <c r="B2089" t="s">
        <v>411</v>
      </c>
      <c r="C2089">
        <v>115</v>
      </c>
      <c r="D2089" t="s">
        <v>4</v>
      </c>
      <c r="E2089">
        <v>8.2053449999999993E-3</v>
      </c>
      <c r="F2089">
        <v>8.2232850000000003E-3</v>
      </c>
      <c r="G2089">
        <v>8.2390499999999995E-3</v>
      </c>
      <c r="H2089">
        <v>8.1984599999999994E-3</v>
      </c>
      <c r="I2089">
        <v>8.2191899999999995E-3</v>
      </c>
      <c r="J2089">
        <v>8.6562299999999991E-3</v>
      </c>
      <c r="K2089">
        <v>8.3965199999999993E-3</v>
      </c>
      <c r="L2089">
        <v>7.8920250000000004E-3</v>
      </c>
      <c r="M2089">
        <v>7.6106400000000001E-3</v>
      </c>
      <c r="N2089">
        <v>7.6760999999999999E-3</v>
      </c>
      <c r="O2089">
        <v>7.9866899999999994E-3</v>
      </c>
      <c r="P2089">
        <v>8.5218749999999999E-3</v>
      </c>
      <c r="Q2089">
        <v>8.4001800000000001E-3</v>
      </c>
      <c r="R2089">
        <v>8.5779749999999998E-3</v>
      </c>
      <c r="S2089">
        <v>8.5200299999999996E-3</v>
      </c>
      <c r="T2089">
        <v>8.3929350000000007E-3</v>
      </c>
      <c r="U2089">
        <v>8.6388748999999994E-3</v>
      </c>
      <c r="V2089">
        <v>9.0691950000000004E-3</v>
      </c>
      <c r="W2089">
        <v>9.8402100000000003E-3</v>
      </c>
      <c r="X2089">
        <v>9.8874600000000007E-3</v>
      </c>
      <c r="Y2089">
        <v>9.5976150000000003E-3</v>
      </c>
      <c r="Z2089">
        <v>9.1190549999999992E-3</v>
      </c>
      <c r="AA2089">
        <v>8.8578749999999994E-3</v>
      </c>
      <c r="AB2089">
        <v>8.3597549000000004E-3</v>
      </c>
    </row>
    <row r="2090" spans="1:28" hidden="1" x14ac:dyDescent="0.25">
      <c r="A2090" t="s">
        <v>408</v>
      </c>
      <c r="B2090" t="s">
        <v>412</v>
      </c>
      <c r="C2090">
        <v>115</v>
      </c>
      <c r="D2090" t="s">
        <v>2</v>
      </c>
      <c r="E2090">
        <v>8.8165035249999999</v>
      </c>
      <c r="F2090">
        <v>8.5530987649999997</v>
      </c>
      <c r="G2090">
        <v>8.3484827450000001</v>
      </c>
      <c r="H2090">
        <v>8.1474472000000002</v>
      </c>
      <c r="I2090">
        <v>7.991175965</v>
      </c>
      <c r="J2090">
        <v>8.16939891</v>
      </c>
      <c r="K2090">
        <v>7.8549593299999998</v>
      </c>
      <c r="L2090">
        <v>8.3893996449999992</v>
      </c>
      <c r="M2090">
        <v>9.4955359300000008</v>
      </c>
      <c r="N2090">
        <v>10.33758879</v>
      </c>
      <c r="O2090">
        <v>11.069632909999999</v>
      </c>
      <c r="P2090">
        <v>11.65076124</v>
      </c>
      <c r="Q2090">
        <v>11.590019245000001</v>
      </c>
      <c r="R2090">
        <v>11.63598427</v>
      </c>
      <c r="S2090">
        <v>12.1045468</v>
      </c>
      <c r="T2090">
        <v>11.96608535</v>
      </c>
      <c r="U2090">
        <v>11.940346314999999</v>
      </c>
      <c r="V2090">
        <v>11.52307175</v>
      </c>
      <c r="W2090">
        <v>12.080805345</v>
      </c>
      <c r="X2090">
        <v>11.721557130000001</v>
      </c>
      <c r="Y2090">
        <v>11.38967517</v>
      </c>
      <c r="Z2090">
        <v>10.641062365</v>
      </c>
      <c r="AA2090">
        <v>10.090805905</v>
      </c>
      <c r="AB2090">
        <v>9.3829839199999991</v>
      </c>
    </row>
    <row r="2091" spans="1:28" hidden="1" x14ac:dyDescent="0.25">
      <c r="A2091" t="s">
        <v>408</v>
      </c>
      <c r="B2091" t="s">
        <v>412</v>
      </c>
      <c r="C2091">
        <v>115</v>
      </c>
      <c r="D2091" t="s">
        <v>3</v>
      </c>
      <c r="E2091">
        <v>2.69167355</v>
      </c>
      <c r="F2091">
        <v>2.6294618537000001</v>
      </c>
      <c r="G2091">
        <v>2.6613586943</v>
      </c>
      <c r="H2091">
        <v>2.6299259205999999</v>
      </c>
      <c r="I2091">
        <v>2.5875168165</v>
      </c>
      <c r="J2091">
        <v>2.6273083074999999</v>
      </c>
      <c r="K2091">
        <v>2.2861553853999999</v>
      </c>
      <c r="L2091">
        <v>2.2574992382999999</v>
      </c>
      <c r="M2091">
        <v>2.3926460570999999</v>
      </c>
      <c r="N2091">
        <v>2.5384329335000002</v>
      </c>
      <c r="O2091">
        <v>2.6924944821999999</v>
      </c>
      <c r="P2091">
        <v>2.7812230011999999</v>
      </c>
      <c r="Q2091">
        <v>2.7966607166999999</v>
      </c>
      <c r="R2091">
        <v>2.8365014639999999</v>
      </c>
      <c r="S2091">
        <v>2.9420487919</v>
      </c>
      <c r="T2091">
        <v>2.9164348493999999</v>
      </c>
      <c r="U2091">
        <v>2.9085584764000001</v>
      </c>
      <c r="V2091">
        <v>2.9165526603999998</v>
      </c>
      <c r="W2091">
        <v>3.1575043966999998</v>
      </c>
      <c r="X2091">
        <v>3.1289115624999999</v>
      </c>
      <c r="Y2091">
        <v>3.0596675567</v>
      </c>
      <c r="Z2091">
        <v>2.8961861118000001</v>
      </c>
      <c r="AA2091">
        <v>2.8057585363999999</v>
      </c>
      <c r="AB2091">
        <v>2.7761212559000001</v>
      </c>
    </row>
    <row r="2092" spans="1:28" hidden="1" x14ac:dyDescent="0.25">
      <c r="A2092" t="s">
        <v>408</v>
      </c>
      <c r="B2092" t="s">
        <v>412</v>
      </c>
      <c r="C2092">
        <v>115</v>
      </c>
      <c r="D2092" t="s">
        <v>4</v>
      </c>
      <c r="E2092">
        <v>0.13426147499999999</v>
      </c>
      <c r="F2092">
        <v>0.13025023499999999</v>
      </c>
      <c r="G2092">
        <v>0.127134255</v>
      </c>
      <c r="H2092">
        <v>0.1240728</v>
      </c>
      <c r="I2092">
        <v>0.121693035</v>
      </c>
      <c r="J2092">
        <v>0.12440709</v>
      </c>
      <c r="K2092">
        <v>0.11961867</v>
      </c>
      <c r="L2092">
        <v>0.12775735499999999</v>
      </c>
      <c r="M2092">
        <v>0.14460207</v>
      </c>
      <c r="N2092">
        <v>0.15742521000000001</v>
      </c>
      <c r="O2092">
        <v>0.16857309000000001</v>
      </c>
      <c r="P2092">
        <v>0.17742276000000001</v>
      </c>
      <c r="Q2092">
        <v>0.17649775500000001</v>
      </c>
      <c r="R2092">
        <v>0.17719773</v>
      </c>
      <c r="S2092">
        <v>0.1843332</v>
      </c>
      <c r="T2092">
        <v>0.18222464999999999</v>
      </c>
      <c r="U2092">
        <v>0.18183268499999999</v>
      </c>
      <c r="V2092">
        <v>0.17547825</v>
      </c>
      <c r="W2092">
        <v>0.18397165500000001</v>
      </c>
      <c r="X2092">
        <v>0.17850087000000001</v>
      </c>
      <c r="Y2092">
        <v>0.17344683</v>
      </c>
      <c r="Z2092">
        <v>0.16204663499999999</v>
      </c>
      <c r="AA2092">
        <v>0.153667095</v>
      </c>
      <c r="AB2092">
        <v>0.14288808</v>
      </c>
    </row>
    <row r="2093" spans="1:28" hidden="1" x14ac:dyDescent="0.25">
      <c r="A2093" t="s">
        <v>408</v>
      </c>
      <c r="B2093" t="s">
        <v>413</v>
      </c>
      <c r="C2093">
        <v>115</v>
      </c>
      <c r="D2093" t="s">
        <v>2</v>
      </c>
      <c r="E2093">
        <v>23.124477594999998</v>
      </c>
      <c r="F2093">
        <v>22.359624109999999</v>
      </c>
      <c r="G2093">
        <v>22.176912519999998</v>
      </c>
      <c r="H2093">
        <v>22.041016995</v>
      </c>
      <c r="I2093">
        <v>22.144901005000001</v>
      </c>
      <c r="J2093">
        <v>22.822143664999999</v>
      </c>
      <c r="K2093">
        <v>22.456593420000001</v>
      </c>
      <c r="L2093">
        <v>21.727178264999999</v>
      </c>
      <c r="M2093">
        <v>21.20351582</v>
      </c>
      <c r="N2093">
        <v>21.350110415</v>
      </c>
      <c r="O2093">
        <v>22.327835205</v>
      </c>
      <c r="P2093">
        <v>23.484998430000001</v>
      </c>
      <c r="Q2093">
        <v>23.82718152</v>
      </c>
      <c r="R2093">
        <v>24.158038094999998</v>
      </c>
      <c r="S2093">
        <v>25.647291115000002</v>
      </c>
      <c r="T2093">
        <v>26.457930354999998</v>
      </c>
      <c r="U2093">
        <v>27.879034180000001</v>
      </c>
      <c r="V2093">
        <v>29.22663829</v>
      </c>
      <c r="W2093">
        <v>32.002609614999997</v>
      </c>
      <c r="X2093">
        <v>32.217955240000002</v>
      </c>
      <c r="Y2093">
        <v>31.308396389999999</v>
      </c>
      <c r="Z2093">
        <v>28.657220625000001</v>
      </c>
      <c r="AA2093">
        <v>26.310008965000002</v>
      </c>
      <c r="AB2093">
        <v>24.661286414999999</v>
      </c>
    </row>
    <row r="2094" spans="1:28" hidden="1" x14ac:dyDescent="0.25">
      <c r="A2094" t="s">
        <v>408</v>
      </c>
      <c r="B2094" t="s">
        <v>413</v>
      </c>
      <c r="C2094">
        <v>115</v>
      </c>
      <c r="D2094" t="s">
        <v>3</v>
      </c>
      <c r="E2094">
        <v>8.9998043354000004</v>
      </c>
      <c r="F2094">
        <v>9.0598102230999995</v>
      </c>
      <c r="G2094">
        <v>9.0304019222999994</v>
      </c>
      <c r="H2094">
        <v>9.0661028539000004</v>
      </c>
      <c r="I2094">
        <v>9.0440422621999996</v>
      </c>
      <c r="J2094">
        <v>9.1407349653000001</v>
      </c>
      <c r="K2094">
        <v>9.3093543168000004</v>
      </c>
      <c r="L2094">
        <v>9.7645886103000006</v>
      </c>
      <c r="M2094">
        <v>9.9774378604000002</v>
      </c>
      <c r="N2094">
        <v>10.776740544000001</v>
      </c>
      <c r="O2094">
        <v>1.7933365371000001</v>
      </c>
      <c r="P2094">
        <v>1.9558753046999999</v>
      </c>
      <c r="Q2094">
        <v>12.179966926300001</v>
      </c>
      <c r="R2094">
        <v>12.122688312899999</v>
      </c>
      <c r="S2094">
        <v>12.2948749025</v>
      </c>
      <c r="T2094">
        <v>12.2518643031</v>
      </c>
      <c r="U2094">
        <v>12.141268313699999</v>
      </c>
      <c r="V2094">
        <v>12.166786971300001</v>
      </c>
      <c r="W2094">
        <v>12.189178182499999</v>
      </c>
      <c r="X2094">
        <v>11.9956320311</v>
      </c>
      <c r="Y2094">
        <v>11.654934603699999</v>
      </c>
      <c r="Z2094">
        <v>10.949061974399999</v>
      </c>
      <c r="AA2094">
        <v>10.553291529999999</v>
      </c>
      <c r="AB2094">
        <v>10.446843492499999</v>
      </c>
    </row>
    <row r="2095" spans="1:28" hidden="1" x14ac:dyDescent="0.25">
      <c r="A2095" t="s">
        <v>408</v>
      </c>
      <c r="B2095" t="s">
        <v>413</v>
      </c>
      <c r="C2095">
        <v>115</v>
      </c>
      <c r="D2095" t="s">
        <v>4</v>
      </c>
      <c r="E2095">
        <v>0.35214940500000003</v>
      </c>
      <c r="F2095">
        <v>0.34050188999999997</v>
      </c>
      <c r="G2095">
        <v>0.33771948000000002</v>
      </c>
      <c r="H2095">
        <v>0.33565000499999997</v>
      </c>
      <c r="I2095">
        <v>0.33723199500000001</v>
      </c>
      <c r="J2095">
        <v>0.34754533500000001</v>
      </c>
      <c r="K2095">
        <v>0.34197857999999998</v>
      </c>
      <c r="L2095">
        <v>0.33087073500000003</v>
      </c>
      <c r="M2095">
        <v>0.32289617999999998</v>
      </c>
      <c r="N2095">
        <v>0.32512858500000003</v>
      </c>
      <c r="O2095">
        <v>0.34001779500000001</v>
      </c>
      <c r="P2095">
        <v>0.35763957000000002</v>
      </c>
      <c r="Q2095">
        <v>0.36285047999999998</v>
      </c>
      <c r="R2095">
        <v>0.36788890499999999</v>
      </c>
      <c r="S2095">
        <v>0.390567885</v>
      </c>
      <c r="T2095">
        <v>0.40291264500000001</v>
      </c>
      <c r="U2095">
        <v>0.42455382000000003</v>
      </c>
      <c r="V2095">
        <v>0.44507571000000001</v>
      </c>
      <c r="W2095">
        <v>0.48734938500000002</v>
      </c>
      <c r="X2095">
        <v>0.49062876</v>
      </c>
      <c r="Y2095">
        <v>0.47677761000000002</v>
      </c>
      <c r="Z2095">
        <v>0.43640437500000001</v>
      </c>
      <c r="AA2095">
        <v>0.40066003500000003</v>
      </c>
      <c r="AB2095">
        <v>0.37555258499999999</v>
      </c>
    </row>
    <row r="2096" spans="1:28" hidden="1" x14ac:dyDescent="0.25">
      <c r="A2096" t="s">
        <v>408</v>
      </c>
      <c r="B2096" t="s">
        <v>414</v>
      </c>
      <c r="C2096">
        <v>115</v>
      </c>
      <c r="D2096" t="s">
        <v>2</v>
      </c>
      <c r="E2096">
        <v>0.45227161500000002</v>
      </c>
      <c r="F2096">
        <v>0.50743358500000002</v>
      </c>
      <c r="G2096">
        <v>0.50085575500000001</v>
      </c>
      <c r="H2096">
        <v>0.45308029999999999</v>
      </c>
      <c r="I2096">
        <v>0.40546638499999998</v>
      </c>
      <c r="J2096">
        <v>0.62334542999999998</v>
      </c>
      <c r="K2096">
        <v>0.63726249509999999</v>
      </c>
      <c r="L2096">
        <v>0.61018878499999996</v>
      </c>
      <c r="M2096">
        <v>0.642955795</v>
      </c>
      <c r="N2096">
        <v>0.67208520000000005</v>
      </c>
      <c r="O2096">
        <v>0.71892195000000003</v>
      </c>
      <c r="P2096">
        <v>0.75837021500000001</v>
      </c>
      <c r="Q2096">
        <v>0.773489965</v>
      </c>
      <c r="R2096">
        <v>0.79429710499999995</v>
      </c>
      <c r="S2096">
        <v>0.79972938000000005</v>
      </c>
      <c r="T2096">
        <v>0.77091517499999995</v>
      </c>
      <c r="U2096">
        <v>0.74840792499999997</v>
      </c>
      <c r="V2096">
        <v>0.78944105499999995</v>
      </c>
      <c r="W2096">
        <v>0.73308625000000005</v>
      </c>
      <c r="X2096">
        <v>0.87594769500000003</v>
      </c>
      <c r="Y2096">
        <v>0.92083512999999995</v>
      </c>
      <c r="Z2096">
        <v>0.73647760500000004</v>
      </c>
      <c r="AA2096">
        <v>0.60094948500000001</v>
      </c>
      <c r="AB2096">
        <v>0.54895724509999999</v>
      </c>
    </row>
    <row r="2097" spans="1:28" hidden="1" x14ac:dyDescent="0.25">
      <c r="A2097" t="s">
        <v>408</v>
      </c>
      <c r="B2097" t="s">
        <v>414</v>
      </c>
      <c r="C2097">
        <v>115</v>
      </c>
      <c r="D2097" t="s">
        <v>3</v>
      </c>
      <c r="E2097">
        <v>6.8326542099999998E-2</v>
      </c>
      <c r="F2097">
        <v>6.6068822700000002E-2</v>
      </c>
      <c r="G2097">
        <v>7.01262307E-2</v>
      </c>
      <c r="H2097">
        <v>9.2804825300000005E-2</v>
      </c>
      <c r="I2097">
        <v>6.5374605099999997E-2</v>
      </c>
      <c r="J2097">
        <v>0.1019011964</v>
      </c>
      <c r="K2097">
        <v>9.1722463099999998E-2</v>
      </c>
      <c r="L2097">
        <v>0.1309143076</v>
      </c>
      <c r="M2097">
        <v>8.6702066199999997E-2</v>
      </c>
      <c r="N2097">
        <v>0.1427466224</v>
      </c>
      <c r="O2097">
        <v>0.1347663201</v>
      </c>
      <c r="P2097">
        <v>0.1445294359</v>
      </c>
      <c r="Q2097">
        <v>0.15600843140000001</v>
      </c>
      <c r="R2097">
        <v>0.1572119672</v>
      </c>
      <c r="S2097">
        <v>0.12852985259999999</v>
      </c>
      <c r="T2097">
        <v>0.12869740139999999</v>
      </c>
      <c r="U2097">
        <v>0.12008795880000001</v>
      </c>
      <c r="V2097">
        <v>0.11035760040000001</v>
      </c>
      <c r="W2097">
        <v>9.2578850899999995E-2</v>
      </c>
      <c r="X2097">
        <v>8.3846493699999997E-2</v>
      </c>
      <c r="Y2097">
        <v>9.7951625099999995E-2</v>
      </c>
      <c r="Z2097">
        <v>8.0013730300000002E-2</v>
      </c>
      <c r="AA2097">
        <v>9.4145436999999998E-2</v>
      </c>
      <c r="AB2097">
        <v>8.9320477499999995E-2</v>
      </c>
    </row>
    <row r="2098" spans="1:28" hidden="1" x14ac:dyDescent="0.25">
      <c r="A2098" t="s">
        <v>408</v>
      </c>
      <c r="B2098" t="s">
        <v>414</v>
      </c>
      <c r="C2098">
        <v>115</v>
      </c>
      <c r="D2098" t="s">
        <v>4</v>
      </c>
      <c r="E2098">
        <v>6.8873850000000002E-3</v>
      </c>
      <c r="F2098">
        <v>7.7274149999999996E-3</v>
      </c>
      <c r="G2098">
        <v>7.6272450000000004E-3</v>
      </c>
      <c r="H2098">
        <v>6.8996999999999999E-3</v>
      </c>
      <c r="I2098">
        <v>6.1746149999999996E-3</v>
      </c>
      <c r="J2098">
        <v>9.4925700000000005E-3</v>
      </c>
      <c r="K2098">
        <v>9.7045049000000008E-3</v>
      </c>
      <c r="L2098">
        <v>9.2922149999999995E-3</v>
      </c>
      <c r="M2098">
        <v>9.7912050000000007E-3</v>
      </c>
      <c r="N2098">
        <v>1.02348E-2</v>
      </c>
      <c r="O2098">
        <v>1.0948050000000001E-2</v>
      </c>
      <c r="P2098">
        <v>1.1548785000000001E-2</v>
      </c>
      <c r="Q2098">
        <v>1.1779035E-2</v>
      </c>
      <c r="R2098">
        <v>1.2095895000000001E-2</v>
      </c>
      <c r="S2098">
        <v>1.2178619999999999E-2</v>
      </c>
      <c r="T2098">
        <v>1.1739825000000001E-2</v>
      </c>
      <c r="U2098">
        <v>1.1397075E-2</v>
      </c>
      <c r="V2098">
        <v>1.2021944999999999E-2</v>
      </c>
      <c r="W2098">
        <v>1.116375E-2</v>
      </c>
      <c r="X2098">
        <v>1.3339304999999999E-2</v>
      </c>
      <c r="Y2098">
        <v>1.402287E-2</v>
      </c>
      <c r="Z2098">
        <v>1.1215395E-2</v>
      </c>
      <c r="AA2098">
        <v>9.1515150000000007E-3</v>
      </c>
      <c r="AB2098">
        <v>8.3597549000000004E-3</v>
      </c>
    </row>
    <row r="2099" spans="1:28" hidden="1" x14ac:dyDescent="0.25">
      <c r="A2099" t="s">
        <v>408</v>
      </c>
      <c r="B2099" t="s">
        <v>415</v>
      </c>
      <c r="C2099">
        <v>115</v>
      </c>
      <c r="D2099" t="s">
        <v>2</v>
      </c>
      <c r="E2099">
        <v>2.5824148849999999</v>
      </c>
      <c r="F2099">
        <v>2.4801817349999999</v>
      </c>
      <c r="G2099">
        <v>2.4373174899999999</v>
      </c>
      <c r="H2099">
        <v>2.4119852599999998</v>
      </c>
      <c r="I2099">
        <v>2.46501963</v>
      </c>
      <c r="J2099">
        <v>2.6691283750000001</v>
      </c>
      <c r="K2099">
        <v>2.6321731449999999</v>
      </c>
      <c r="L2099">
        <v>2.6302198899999998</v>
      </c>
      <c r="M2099">
        <v>2.6588627050000002</v>
      </c>
      <c r="N2099">
        <v>2.7054295650000002</v>
      </c>
      <c r="O2099">
        <v>2.8727416649999999</v>
      </c>
      <c r="P2099">
        <v>3.1129851350000002</v>
      </c>
      <c r="Q2099">
        <v>2.9306320850000001</v>
      </c>
      <c r="R2099">
        <v>3.1170640199999999</v>
      </c>
      <c r="S2099">
        <v>3.2614482749999998</v>
      </c>
      <c r="T2099">
        <v>3.3304869250000002</v>
      </c>
      <c r="U2099">
        <v>3.48573376</v>
      </c>
      <c r="V2099">
        <v>3.846794375</v>
      </c>
      <c r="W2099">
        <v>5.7248731900000003</v>
      </c>
      <c r="X2099">
        <v>5.6859735699999998</v>
      </c>
      <c r="Y2099">
        <v>5.3853761950000001</v>
      </c>
      <c r="Z2099">
        <v>3.4999867099999999</v>
      </c>
      <c r="AA2099">
        <v>2.8890552349999998</v>
      </c>
      <c r="AB2099">
        <v>2.7656682250000002</v>
      </c>
    </row>
    <row r="2100" spans="1:28" hidden="1" x14ac:dyDescent="0.25">
      <c r="A2100" t="s">
        <v>408</v>
      </c>
      <c r="B2100" t="s">
        <v>415</v>
      </c>
      <c r="C2100">
        <v>115</v>
      </c>
      <c r="D2100" t="s">
        <v>3</v>
      </c>
      <c r="E2100">
        <v>1.0239629952</v>
      </c>
      <c r="F2100">
        <v>0.9953748858</v>
      </c>
      <c r="G2100">
        <v>0.96535825760000005</v>
      </c>
      <c r="H2100">
        <v>0.98788803719999996</v>
      </c>
      <c r="I2100">
        <v>0.99228405929999997</v>
      </c>
      <c r="J2100">
        <v>0.93517732710000001</v>
      </c>
      <c r="K2100">
        <v>0.88681968820000001</v>
      </c>
      <c r="L2100">
        <v>0.8631106597</v>
      </c>
      <c r="M2100">
        <v>0.7824842018</v>
      </c>
      <c r="N2100">
        <v>0.75192089620000002</v>
      </c>
      <c r="O2100">
        <v>0.7655261686</v>
      </c>
      <c r="P2100">
        <v>0.78520980259999995</v>
      </c>
      <c r="Q2100">
        <v>0.81510083970000002</v>
      </c>
      <c r="R2100">
        <v>0.79326190320000001</v>
      </c>
      <c r="S2100">
        <v>0.79882831249999997</v>
      </c>
      <c r="T2100">
        <v>0.86015306079999998</v>
      </c>
      <c r="U2100">
        <v>0.89592756380000005</v>
      </c>
      <c r="V2100">
        <v>1.0327483018000001</v>
      </c>
      <c r="W2100">
        <v>1.2894592297</v>
      </c>
      <c r="X2100">
        <v>1.2979990092</v>
      </c>
      <c r="Y2100">
        <v>1.2715372753</v>
      </c>
      <c r="Z2100">
        <v>1.0892307156000001</v>
      </c>
      <c r="AA2100">
        <v>1.0278479251999999</v>
      </c>
      <c r="AB2100">
        <v>1.0261204124000001</v>
      </c>
    </row>
    <row r="2101" spans="1:28" hidden="1" x14ac:dyDescent="0.25">
      <c r="A2101" t="s">
        <v>408</v>
      </c>
      <c r="B2101" t="s">
        <v>415</v>
      </c>
      <c r="C2101">
        <v>115</v>
      </c>
      <c r="D2101" t="s">
        <v>4</v>
      </c>
      <c r="E2101">
        <v>3.9326115000000002E-2</v>
      </c>
      <c r="F2101">
        <v>3.7769265000000003E-2</v>
      </c>
      <c r="G2101">
        <v>3.7116509999999998E-2</v>
      </c>
      <c r="H2101">
        <v>3.6730739999999998E-2</v>
      </c>
      <c r="I2101">
        <v>3.7538370000000001E-2</v>
      </c>
      <c r="J2101">
        <v>4.0646624999999999E-2</v>
      </c>
      <c r="K2101">
        <v>4.0083855000000002E-2</v>
      </c>
      <c r="L2101">
        <v>4.0054109999999997E-2</v>
      </c>
      <c r="M2101">
        <v>4.0490295000000003E-2</v>
      </c>
      <c r="N2101">
        <v>4.1199435E-2</v>
      </c>
      <c r="O2101">
        <v>4.3747334999999998E-2</v>
      </c>
      <c r="P2101">
        <v>4.7405864999999998E-2</v>
      </c>
      <c r="Q2101">
        <v>4.4628914999999998E-2</v>
      </c>
      <c r="R2101">
        <v>4.746798E-2</v>
      </c>
      <c r="S2101">
        <v>4.9666725000000002E-2</v>
      </c>
      <c r="T2101">
        <v>5.0718075000000001E-2</v>
      </c>
      <c r="U2101">
        <v>5.3082240000000003E-2</v>
      </c>
      <c r="V2101">
        <v>5.8580624999999997E-2</v>
      </c>
      <c r="W2101">
        <v>8.7180809999999997E-2</v>
      </c>
      <c r="X2101">
        <v>8.6588429999999994E-2</v>
      </c>
      <c r="Y2101">
        <v>8.2010805000000006E-2</v>
      </c>
      <c r="Z2101">
        <v>5.3299289999999999E-2</v>
      </c>
      <c r="AA2101">
        <v>4.3995764999999999E-2</v>
      </c>
      <c r="AB2101">
        <v>4.2116775000000002E-2</v>
      </c>
    </row>
    <row r="2102" spans="1:28" hidden="1" x14ac:dyDescent="0.25">
      <c r="A2102" t="s">
        <v>408</v>
      </c>
      <c r="B2102" t="s">
        <v>416</v>
      </c>
      <c r="C2102">
        <v>115</v>
      </c>
      <c r="D2102" t="s">
        <v>2</v>
      </c>
      <c r="E2102">
        <v>2.7387560550000001</v>
      </c>
      <c r="F2102">
        <v>2.6050048750000001</v>
      </c>
      <c r="G2102">
        <v>2.6033766699999998</v>
      </c>
      <c r="H2102">
        <v>2.5052667300000002</v>
      </c>
      <c r="I2102">
        <v>2.6127065900000002</v>
      </c>
      <c r="J2102">
        <v>2.7652387649999999</v>
      </c>
      <c r="K2102">
        <v>2.7707084700000002</v>
      </c>
      <c r="L2102">
        <v>2.7778910899999998</v>
      </c>
      <c r="M2102">
        <v>2.7795921849999998</v>
      </c>
      <c r="N2102">
        <v>2.8421249099999999</v>
      </c>
      <c r="O2102">
        <v>3.0672043050000002</v>
      </c>
      <c r="P2102">
        <v>3.2689401849999999</v>
      </c>
      <c r="Q2102">
        <v>3.11244831</v>
      </c>
      <c r="R2102">
        <v>3.2056706799999999</v>
      </c>
      <c r="S2102">
        <v>3.4391659149999998</v>
      </c>
      <c r="T2102">
        <v>3.5164529550000001</v>
      </c>
      <c r="U2102">
        <v>3.6805244049999999</v>
      </c>
      <c r="V2102">
        <v>4.1168665999999998</v>
      </c>
      <c r="W2102">
        <v>6.0498493150000003</v>
      </c>
      <c r="X2102">
        <v>6.0355835600000001</v>
      </c>
      <c r="Y2102">
        <v>5.7061591749999998</v>
      </c>
      <c r="Z2102">
        <v>3.9301726549999998</v>
      </c>
      <c r="AA2102">
        <v>3.0336689950000002</v>
      </c>
      <c r="AB2102">
        <v>2.932741955</v>
      </c>
    </row>
    <row r="2103" spans="1:28" hidden="1" x14ac:dyDescent="0.25">
      <c r="A2103" t="s">
        <v>408</v>
      </c>
      <c r="B2103" t="s">
        <v>416</v>
      </c>
      <c r="C2103">
        <v>115</v>
      </c>
      <c r="D2103" t="s">
        <v>3</v>
      </c>
      <c r="E2103">
        <v>0.61359045099999998</v>
      </c>
      <c r="F2103">
        <v>0.62209347039999996</v>
      </c>
      <c r="G2103">
        <v>0.58363516459999998</v>
      </c>
      <c r="H2103">
        <v>0.61182816799999995</v>
      </c>
      <c r="I2103">
        <v>0.61963996779999997</v>
      </c>
      <c r="J2103">
        <v>0.64856685739999997</v>
      </c>
      <c r="K2103">
        <v>0.54705889750000003</v>
      </c>
      <c r="L2103">
        <v>0.48180298240000002</v>
      </c>
      <c r="M2103">
        <v>0.4063981518</v>
      </c>
      <c r="N2103">
        <v>0.37912285439999999</v>
      </c>
      <c r="O2103">
        <v>0.39571629079999998</v>
      </c>
      <c r="P2103">
        <v>0.39633945300000001</v>
      </c>
      <c r="Q2103">
        <v>0.43417787130000002</v>
      </c>
      <c r="R2103">
        <v>0.42015321700000002</v>
      </c>
      <c r="S2103">
        <v>0.4376542155</v>
      </c>
      <c r="T2103">
        <v>0.52495008060000004</v>
      </c>
      <c r="U2103">
        <v>0.54867836520000002</v>
      </c>
      <c r="V2103">
        <v>0.67116718210000004</v>
      </c>
      <c r="W2103">
        <v>0.88325311630000003</v>
      </c>
      <c r="X2103">
        <v>0.92536466969999998</v>
      </c>
      <c r="Y2103">
        <v>0.96287106870000005</v>
      </c>
      <c r="Z2103">
        <v>0.74987811049999997</v>
      </c>
      <c r="AA2103">
        <v>0.62170402349999998</v>
      </c>
      <c r="AB2103">
        <v>0.74000089319999995</v>
      </c>
    </row>
    <row r="2104" spans="1:28" hidden="1" x14ac:dyDescent="0.25">
      <c r="A2104" t="s">
        <v>408</v>
      </c>
      <c r="B2104" t="s">
        <v>416</v>
      </c>
      <c r="C2104">
        <v>115</v>
      </c>
      <c r="D2104" t="s">
        <v>4</v>
      </c>
      <c r="E2104">
        <v>4.1706945000000002E-2</v>
      </c>
      <c r="F2104">
        <v>3.9670125000000001E-2</v>
      </c>
      <c r="G2104">
        <v>3.9645329999999999E-2</v>
      </c>
      <c r="H2104">
        <v>3.8151270000000001E-2</v>
      </c>
      <c r="I2104">
        <v>3.9787410000000002E-2</v>
      </c>
      <c r="J2104">
        <v>4.2110235000000003E-2</v>
      </c>
      <c r="K2104">
        <v>4.219353E-2</v>
      </c>
      <c r="L2104">
        <v>4.2302909999999999E-2</v>
      </c>
      <c r="M2104">
        <v>4.2328814999999999E-2</v>
      </c>
      <c r="N2104">
        <v>4.3281090000000001E-2</v>
      </c>
      <c r="O2104">
        <v>4.6708695000000001E-2</v>
      </c>
      <c r="P2104">
        <v>4.9780814999999999E-2</v>
      </c>
      <c r="Q2104">
        <v>4.7397689999999999E-2</v>
      </c>
      <c r="R2104">
        <v>4.8817319999999997E-2</v>
      </c>
      <c r="S2104">
        <v>5.2373085E-2</v>
      </c>
      <c r="T2104">
        <v>5.3550044999999998E-2</v>
      </c>
      <c r="U2104">
        <v>5.6048595E-2</v>
      </c>
      <c r="V2104">
        <v>6.2693399999999996E-2</v>
      </c>
      <c r="W2104">
        <v>9.2129685000000003E-2</v>
      </c>
      <c r="X2104">
        <v>9.1912439999999998E-2</v>
      </c>
      <c r="Y2104">
        <v>8.6895824999999996E-2</v>
      </c>
      <c r="Z2104">
        <v>5.9850344999999999E-2</v>
      </c>
      <c r="AA2104">
        <v>4.6198005E-2</v>
      </c>
      <c r="AB2104">
        <v>4.4661045000000003E-2</v>
      </c>
    </row>
    <row r="2105" spans="1:28" hidden="1" x14ac:dyDescent="0.25">
      <c r="A2105" t="s">
        <v>408</v>
      </c>
      <c r="B2105" t="s">
        <v>417</v>
      </c>
      <c r="C2105">
        <v>34</v>
      </c>
      <c r="D2105" t="s">
        <v>2</v>
      </c>
      <c r="E2105">
        <v>7.9481829099999999</v>
      </c>
      <c r="F2105">
        <v>7.4341255899999998</v>
      </c>
      <c r="G2105">
        <v>7.3377580299999998</v>
      </c>
      <c r="H2105">
        <v>7.17038259</v>
      </c>
      <c r="I2105">
        <v>7.1449404599999999</v>
      </c>
      <c r="J2105">
        <v>7.5906865000000003</v>
      </c>
      <c r="K2105">
        <v>7.7735392599999997</v>
      </c>
      <c r="L2105">
        <v>8.1957899600000008</v>
      </c>
      <c r="M2105">
        <v>8.61546725</v>
      </c>
      <c r="N2105">
        <v>9.0752094200000002</v>
      </c>
      <c r="O2105">
        <v>9.9986823999999999</v>
      </c>
      <c r="P2105">
        <v>10.81083624</v>
      </c>
      <c r="Q2105">
        <v>11.0068713</v>
      </c>
      <c r="R2105">
        <v>11.365296969999999</v>
      </c>
      <c r="S2105">
        <v>11.8651176</v>
      </c>
      <c r="T2105">
        <v>11.73058442</v>
      </c>
      <c r="U2105">
        <v>11.94360709</v>
      </c>
      <c r="V2105">
        <v>12.125013579999999</v>
      </c>
      <c r="W2105">
        <v>13.59744448</v>
      </c>
      <c r="X2105">
        <v>13.83956133</v>
      </c>
      <c r="Y2105">
        <v>13.32716853</v>
      </c>
      <c r="Z2105">
        <v>11.85158998</v>
      </c>
      <c r="AA2105">
        <v>10.396019620000001</v>
      </c>
      <c r="AB2105">
        <v>9.0021160400000007</v>
      </c>
    </row>
    <row r="2106" spans="1:28" hidden="1" x14ac:dyDescent="0.25">
      <c r="A2106" t="s">
        <v>408</v>
      </c>
      <c r="B2106" t="s">
        <v>417</v>
      </c>
      <c r="C2106">
        <v>34</v>
      </c>
      <c r="D2106" t="s">
        <v>3</v>
      </c>
      <c r="E2106">
        <v>0.80978371390000004</v>
      </c>
      <c r="F2106">
        <v>0.73561491050000005</v>
      </c>
      <c r="G2106">
        <v>0.72983212190000002</v>
      </c>
      <c r="H2106">
        <v>0.6193775333</v>
      </c>
      <c r="I2106">
        <v>0.55654785210000002</v>
      </c>
      <c r="J2106">
        <v>0.60102371099999996</v>
      </c>
      <c r="K2106">
        <v>0.69121512129999996</v>
      </c>
      <c r="L2106">
        <v>0.90716107690000003</v>
      </c>
      <c r="M2106">
        <v>1.224518271</v>
      </c>
      <c r="N2106">
        <v>1.4151102525999999</v>
      </c>
      <c r="O2106">
        <v>1.7617161835999999</v>
      </c>
      <c r="P2106">
        <v>2.0441030112999998</v>
      </c>
      <c r="Q2106">
        <v>2.0296653395000002</v>
      </c>
      <c r="R2106">
        <v>2.1073946723999999</v>
      </c>
      <c r="S2106">
        <v>2.1723153405</v>
      </c>
      <c r="T2106">
        <v>1.9041721072</v>
      </c>
      <c r="U2106">
        <v>1.8821374784</v>
      </c>
      <c r="V2106">
        <v>1.7268436845999999</v>
      </c>
      <c r="W2106">
        <v>1.7094377434000001</v>
      </c>
      <c r="X2106">
        <v>1.5758097035</v>
      </c>
      <c r="Y2106">
        <v>1.5222335727</v>
      </c>
      <c r="Z2106">
        <v>1.4198518613</v>
      </c>
      <c r="AA2106">
        <v>1.1362602923</v>
      </c>
      <c r="AB2106">
        <v>0.89995489679999996</v>
      </c>
    </row>
    <row r="2107" spans="1:28" hidden="1" x14ac:dyDescent="0.25">
      <c r="A2107" t="s">
        <v>408</v>
      </c>
      <c r="B2107" t="s">
        <v>417</v>
      </c>
      <c r="C2107">
        <v>34</v>
      </c>
      <c r="D2107" t="s">
        <v>4</v>
      </c>
      <c r="E2107">
        <v>0.24582008999999999</v>
      </c>
      <c r="F2107">
        <v>0.22992140999999999</v>
      </c>
      <c r="G2107">
        <v>0.22694096999999999</v>
      </c>
      <c r="H2107">
        <v>0.22176441</v>
      </c>
      <c r="I2107">
        <v>0.22097754</v>
      </c>
      <c r="J2107">
        <v>0.23476350000000001</v>
      </c>
      <c r="K2107">
        <v>0.24041873999999999</v>
      </c>
      <c r="L2107">
        <v>0.25347804000000002</v>
      </c>
      <c r="M2107">
        <v>0.26645774999999999</v>
      </c>
      <c r="N2107">
        <v>0.28067658000000001</v>
      </c>
      <c r="O2107">
        <v>0.3092376</v>
      </c>
      <c r="P2107">
        <v>0.33435576</v>
      </c>
      <c r="Q2107">
        <v>0.34041870000000002</v>
      </c>
      <c r="R2107">
        <v>0.35150403000000002</v>
      </c>
      <c r="S2107">
        <v>0.36696240000000002</v>
      </c>
      <c r="T2107">
        <v>0.36280158000000001</v>
      </c>
      <c r="U2107">
        <v>0.36938990999999999</v>
      </c>
      <c r="V2107">
        <v>0.37500042</v>
      </c>
      <c r="W2107">
        <v>0.42053952</v>
      </c>
      <c r="X2107">
        <v>0.42802767000000003</v>
      </c>
      <c r="Y2107">
        <v>0.41218047000000002</v>
      </c>
      <c r="Z2107">
        <v>0.36654402000000003</v>
      </c>
      <c r="AA2107">
        <v>0.32152638</v>
      </c>
      <c r="AB2107">
        <v>0.27841596000000002</v>
      </c>
    </row>
    <row r="2108" spans="1:28" hidden="1" x14ac:dyDescent="0.25">
      <c r="A2108" t="s">
        <v>408</v>
      </c>
      <c r="B2108" t="s">
        <v>418</v>
      </c>
      <c r="C2108">
        <v>115</v>
      </c>
      <c r="D2108" t="s">
        <v>2</v>
      </c>
      <c r="E2108">
        <v>4.0453181699999998</v>
      </c>
      <c r="F2108">
        <v>3.8261005099999998</v>
      </c>
      <c r="G2108">
        <v>3.7095434900000002</v>
      </c>
      <c r="H2108">
        <v>3.6406319049999998</v>
      </c>
      <c r="I2108">
        <v>3.7378080649999998</v>
      </c>
      <c r="J2108">
        <v>4.0943110850000002</v>
      </c>
      <c r="K2108">
        <v>4.3694077949999999</v>
      </c>
      <c r="L2108">
        <v>4.6168161550000004</v>
      </c>
      <c r="M2108">
        <v>4.6017692950000004</v>
      </c>
      <c r="N2108">
        <v>4.9495117249999998</v>
      </c>
      <c r="O2108">
        <v>5.3624513049999996</v>
      </c>
      <c r="P2108">
        <v>5.6847147400000004</v>
      </c>
      <c r="Q2108">
        <v>5.5284484300000001</v>
      </c>
      <c r="R2108">
        <v>5.9208399250000001</v>
      </c>
      <c r="S2108">
        <v>6.0391088750000002</v>
      </c>
      <c r="T2108">
        <v>5.9306337801</v>
      </c>
      <c r="U2108">
        <v>5.7138687700000004</v>
      </c>
      <c r="V2108">
        <v>5.5849509849999999</v>
      </c>
      <c r="W2108">
        <v>6.4390651700000001</v>
      </c>
      <c r="X2108">
        <v>6.7194375400000004</v>
      </c>
      <c r="Y2108">
        <v>6.4496204300000004</v>
      </c>
      <c r="Z2108">
        <v>5.8057801050000002</v>
      </c>
      <c r="AA2108">
        <v>5.1610936650000001</v>
      </c>
      <c r="AB2108">
        <v>4.5348602150000001</v>
      </c>
    </row>
    <row r="2109" spans="1:28" hidden="1" x14ac:dyDescent="0.25">
      <c r="A2109" t="s">
        <v>408</v>
      </c>
      <c r="B2109" t="s">
        <v>418</v>
      </c>
      <c r="C2109">
        <v>115</v>
      </c>
      <c r="D2109" t="s">
        <v>3</v>
      </c>
      <c r="E2109">
        <v>1.5127746273</v>
      </c>
      <c r="F2109">
        <v>1.513374942</v>
      </c>
      <c r="G2109">
        <v>1.4951086198000001</v>
      </c>
      <c r="H2109">
        <v>1.4816713888999999</v>
      </c>
      <c r="I2109">
        <v>1.4372073791</v>
      </c>
      <c r="J2109">
        <v>1.4237840152000001</v>
      </c>
      <c r="K2109">
        <v>1.4876078406</v>
      </c>
      <c r="L2109">
        <v>1.6258791309</v>
      </c>
      <c r="M2109">
        <v>1.6246254895000001</v>
      </c>
      <c r="N2109">
        <v>1.7766596668000001</v>
      </c>
      <c r="O2109">
        <v>1.9011392005000001</v>
      </c>
      <c r="P2109">
        <v>1.9591337615</v>
      </c>
      <c r="Q2109">
        <v>1.8637760949</v>
      </c>
      <c r="R2109">
        <v>2.0504552771000002</v>
      </c>
      <c r="S2109">
        <v>2.0445512234000001</v>
      </c>
      <c r="T2109">
        <v>2.0242717042999998</v>
      </c>
      <c r="U2109">
        <v>1.8792741550000001</v>
      </c>
      <c r="V2109">
        <v>1.8179856415</v>
      </c>
      <c r="W2109">
        <v>1.8612847278</v>
      </c>
      <c r="X2109">
        <v>1.8089618184</v>
      </c>
      <c r="Y2109">
        <v>1.7656618909999999</v>
      </c>
      <c r="Z2109">
        <v>1.6428239444999999</v>
      </c>
      <c r="AA2109">
        <v>1.6145500695999999</v>
      </c>
      <c r="AB2109">
        <v>1.5549021532</v>
      </c>
    </row>
    <row r="2110" spans="1:28" hidden="1" x14ac:dyDescent="0.25">
      <c r="A2110" t="s">
        <v>408</v>
      </c>
      <c r="B2110" t="s">
        <v>418</v>
      </c>
      <c r="C2110">
        <v>115</v>
      </c>
      <c r="D2110" t="s">
        <v>4</v>
      </c>
      <c r="E2110">
        <v>6.1603829999999998E-2</v>
      </c>
      <c r="F2110">
        <v>5.8265490000000003E-2</v>
      </c>
      <c r="G2110">
        <v>5.6490510000000001E-2</v>
      </c>
      <c r="H2110">
        <v>5.5441095000000003E-2</v>
      </c>
      <c r="I2110">
        <v>5.6920934999999999E-2</v>
      </c>
      <c r="J2110">
        <v>6.2349914999999999E-2</v>
      </c>
      <c r="K2110">
        <v>6.6539205000000004E-2</v>
      </c>
      <c r="L2110">
        <v>7.0306845000000007E-2</v>
      </c>
      <c r="M2110">
        <v>7.0077705000000004E-2</v>
      </c>
      <c r="N2110">
        <v>7.5373275000000003E-2</v>
      </c>
      <c r="O2110">
        <v>8.1661695000000006E-2</v>
      </c>
      <c r="P2110">
        <v>8.6569259999999995E-2</v>
      </c>
      <c r="Q2110">
        <v>8.4189570000000005E-2</v>
      </c>
      <c r="R2110">
        <v>9.0165074999999997E-2</v>
      </c>
      <c r="S2110">
        <v>9.1966124999999996E-2</v>
      </c>
      <c r="T2110">
        <v>9.0314219900000006E-2</v>
      </c>
      <c r="U2110">
        <v>8.7013229999999997E-2</v>
      </c>
      <c r="V2110">
        <v>8.5050015000000007E-2</v>
      </c>
      <c r="W2110">
        <v>9.8056829999999998E-2</v>
      </c>
      <c r="X2110">
        <v>0.10232645999999999</v>
      </c>
      <c r="Y2110">
        <v>9.8217570000000004E-2</v>
      </c>
      <c r="Z2110">
        <v>8.8412895000000005E-2</v>
      </c>
      <c r="AA2110">
        <v>7.8595335000000002E-2</v>
      </c>
      <c r="AB2110">
        <v>6.9058784999999998E-2</v>
      </c>
    </row>
    <row r="2111" spans="1:28" hidden="1" x14ac:dyDescent="0.25">
      <c r="A2111" t="s">
        <v>408</v>
      </c>
      <c r="B2111" t="s">
        <v>419</v>
      </c>
      <c r="C2111">
        <v>34</v>
      </c>
      <c r="D2111" t="s">
        <v>2</v>
      </c>
      <c r="E2111">
        <v>0.97324659000000002</v>
      </c>
      <c r="F2111">
        <v>0.97536118999999999</v>
      </c>
      <c r="G2111">
        <v>0.90996670000000002</v>
      </c>
      <c r="H2111">
        <v>0.83724483000000005</v>
      </c>
      <c r="I2111">
        <v>0.81180463999999997</v>
      </c>
      <c r="J2111">
        <v>0.73554227000000005</v>
      </c>
      <c r="K2111">
        <v>0.88130998999999999</v>
      </c>
      <c r="L2111">
        <v>1.3307526999999999</v>
      </c>
      <c r="M2111">
        <v>1.628533</v>
      </c>
      <c r="N2111">
        <v>1.7752183399999999</v>
      </c>
      <c r="O2111">
        <v>2.0629901799999999</v>
      </c>
      <c r="P2111">
        <v>2.3970543000000002</v>
      </c>
      <c r="Q2111">
        <v>2.2365765299999998</v>
      </c>
      <c r="R2111">
        <v>2.3559544300000002</v>
      </c>
      <c r="S2111">
        <v>2.3788570999999998</v>
      </c>
      <c r="T2111">
        <v>2.3074922600000001</v>
      </c>
      <c r="U2111">
        <v>2.09997531</v>
      </c>
      <c r="V2111">
        <v>1.63667227</v>
      </c>
      <c r="W2111">
        <v>1.4810571100000001</v>
      </c>
      <c r="X2111">
        <v>1.42254671</v>
      </c>
      <c r="Y2111">
        <v>1.4085321500000001</v>
      </c>
      <c r="Z2111">
        <v>1.3014043799999999</v>
      </c>
      <c r="AA2111">
        <v>1.16144308</v>
      </c>
      <c r="AB2111">
        <v>1.1282021499999999</v>
      </c>
    </row>
    <row r="2112" spans="1:28" hidden="1" x14ac:dyDescent="0.25">
      <c r="A2112" t="s">
        <v>408</v>
      </c>
      <c r="B2112" t="s">
        <v>419</v>
      </c>
      <c r="C2112">
        <v>34</v>
      </c>
      <c r="D2112" t="s">
        <v>3</v>
      </c>
      <c r="E2112">
        <v>0.19346253769999999</v>
      </c>
      <c r="F2112">
        <v>0.19554074439999999</v>
      </c>
      <c r="G2112">
        <v>0.1757737731</v>
      </c>
      <c r="H2112">
        <v>6.3680070599999999E-2</v>
      </c>
      <c r="I2112">
        <v>9.1043144500000006E-2</v>
      </c>
      <c r="J2112">
        <v>0.1174986504</v>
      </c>
      <c r="K2112">
        <v>0.1728712677</v>
      </c>
      <c r="L2112">
        <v>0.26452781549999999</v>
      </c>
      <c r="M2112">
        <v>0.32648885189999999</v>
      </c>
      <c r="N2112">
        <v>0.34291015899999999</v>
      </c>
      <c r="O2112">
        <v>5.1379826000000003E-2</v>
      </c>
      <c r="P2112">
        <v>0.78685246990000002</v>
      </c>
      <c r="Q2112">
        <v>0.88879815600000001</v>
      </c>
      <c r="R2112">
        <v>0.74821569330000004</v>
      </c>
      <c r="S2112">
        <v>0.46802890920000001</v>
      </c>
      <c r="T2112">
        <v>1.124227232</v>
      </c>
      <c r="U2112">
        <v>0.50955759469999995</v>
      </c>
      <c r="V2112">
        <v>0.83232044179999998</v>
      </c>
      <c r="W2112">
        <v>0.1126478397</v>
      </c>
      <c r="X2112">
        <v>0.1595373065</v>
      </c>
      <c r="Y2112">
        <v>0.225004916</v>
      </c>
      <c r="Z2112">
        <v>0.25527388490000003</v>
      </c>
      <c r="AA2112">
        <v>0.23087234819999999</v>
      </c>
      <c r="AB2112">
        <v>0.2035579713</v>
      </c>
    </row>
    <row r="2113" spans="1:28" hidden="1" x14ac:dyDescent="0.25">
      <c r="A2113" t="s">
        <v>408</v>
      </c>
      <c r="B2113" t="s">
        <v>419</v>
      </c>
      <c r="C2113">
        <v>34</v>
      </c>
      <c r="D2113" t="s">
        <v>4</v>
      </c>
      <c r="E2113">
        <v>3.0100410000000001E-2</v>
      </c>
      <c r="F2113">
        <v>3.0165810000000001E-2</v>
      </c>
      <c r="G2113">
        <v>2.81433E-2</v>
      </c>
      <c r="H2113">
        <v>2.5894170000000001E-2</v>
      </c>
      <c r="I2113">
        <v>2.5107359999999999E-2</v>
      </c>
      <c r="J2113">
        <v>2.2748730000000002E-2</v>
      </c>
      <c r="K2113">
        <v>2.7257010000000002E-2</v>
      </c>
      <c r="L2113">
        <v>4.1157300000000001E-2</v>
      </c>
      <c r="M2113">
        <v>5.0367000000000002E-2</v>
      </c>
      <c r="N2113">
        <v>5.490366E-2</v>
      </c>
      <c r="O2113">
        <v>6.3803819999999997E-2</v>
      </c>
      <c r="P2113">
        <v>7.4135699999999999E-2</v>
      </c>
      <c r="Q2113">
        <v>6.917247E-2</v>
      </c>
      <c r="R2113">
        <v>7.2864570000000004E-2</v>
      </c>
      <c r="S2113">
        <v>7.3572899999999997E-2</v>
      </c>
      <c r="T2113">
        <v>7.1365739999999997E-2</v>
      </c>
      <c r="U2113">
        <v>6.4947690000000002E-2</v>
      </c>
      <c r="V2113">
        <v>5.0618730000000001E-2</v>
      </c>
      <c r="W2113">
        <v>4.5805890000000002E-2</v>
      </c>
      <c r="X2113">
        <v>4.399629E-2</v>
      </c>
      <c r="Y2113">
        <v>4.356285E-2</v>
      </c>
      <c r="Z2113">
        <v>4.024962E-2</v>
      </c>
      <c r="AA2113">
        <v>3.5920920000000002E-2</v>
      </c>
      <c r="AB2113">
        <v>3.4892850000000003E-2</v>
      </c>
    </row>
    <row r="2114" spans="1:28" hidden="1" x14ac:dyDescent="0.25">
      <c r="A2114" t="s">
        <v>408</v>
      </c>
      <c r="B2114" t="s">
        <v>420</v>
      </c>
      <c r="C2114">
        <v>34</v>
      </c>
      <c r="D2114" t="s">
        <v>2</v>
      </c>
      <c r="E2114">
        <v>1.8612660700000001</v>
      </c>
      <c r="F2114">
        <v>1.83581715</v>
      </c>
      <c r="G2114">
        <v>1.8568593600000001</v>
      </c>
      <c r="H2114">
        <v>1.80571902</v>
      </c>
      <c r="I2114">
        <v>1.78491252</v>
      </c>
      <c r="J2114">
        <v>1.9821775399999999</v>
      </c>
      <c r="K2114">
        <v>2.1991830299999999</v>
      </c>
      <c r="L2114">
        <v>2.2307254900000002</v>
      </c>
      <c r="M2114">
        <v>2.2644630600000002</v>
      </c>
      <c r="N2114">
        <v>2.2996507799999999</v>
      </c>
      <c r="O2114">
        <v>2.4517952799999998</v>
      </c>
      <c r="P2114">
        <v>2.5325662100000002</v>
      </c>
      <c r="Q2114">
        <v>2.5339775599999999</v>
      </c>
      <c r="R2114">
        <v>2.5896798099999998</v>
      </c>
      <c r="S2114">
        <v>2.6705428900000001</v>
      </c>
      <c r="T2114">
        <v>2.62048507</v>
      </c>
      <c r="U2114">
        <v>2.5374695599999999</v>
      </c>
      <c r="V2114">
        <v>2.4550079199999999</v>
      </c>
      <c r="W2114">
        <v>2.4857947500000002</v>
      </c>
      <c r="X2114">
        <v>2.4516226200000002</v>
      </c>
      <c r="Y2114">
        <v>2.34507588</v>
      </c>
      <c r="Z2114">
        <v>2.1791738700000001</v>
      </c>
      <c r="AA2114">
        <v>2.0285687600000002</v>
      </c>
      <c r="AB2114">
        <v>1.9508504200000001</v>
      </c>
    </row>
    <row r="2115" spans="1:28" hidden="1" x14ac:dyDescent="0.25">
      <c r="A2115" t="s">
        <v>408</v>
      </c>
      <c r="B2115" t="s">
        <v>420</v>
      </c>
      <c r="C2115">
        <v>34</v>
      </c>
      <c r="D2115" t="s">
        <v>3</v>
      </c>
      <c r="E2115">
        <v>0.44583690650000002</v>
      </c>
      <c r="F2115">
        <v>0.57713065159999999</v>
      </c>
      <c r="G2115">
        <v>0.5354408397</v>
      </c>
      <c r="H2115">
        <v>0.55175810059999997</v>
      </c>
      <c r="I2115">
        <v>0.51859060729999995</v>
      </c>
      <c r="J2115">
        <v>0.61474889359999996</v>
      </c>
      <c r="K2115">
        <v>0.64270577849999999</v>
      </c>
      <c r="L2115">
        <v>0.62997412779999995</v>
      </c>
      <c r="M2115">
        <v>0.66885218349999997</v>
      </c>
      <c r="N2115">
        <v>0.70363057299999998</v>
      </c>
      <c r="O2115">
        <v>0.74816449669999996</v>
      </c>
      <c r="P2115">
        <v>0.77905323859999998</v>
      </c>
      <c r="Q2115">
        <v>0.80438445660000002</v>
      </c>
      <c r="R2115">
        <v>0.78674246209999998</v>
      </c>
      <c r="S2115">
        <v>0.819805322</v>
      </c>
      <c r="T2115">
        <v>0.80355880199999996</v>
      </c>
      <c r="U2115">
        <v>0.69693282280000002</v>
      </c>
      <c r="V2115">
        <v>0.66375179289999997</v>
      </c>
      <c r="W2115">
        <v>0.60862547710000003</v>
      </c>
      <c r="X2115">
        <v>0.66273574879999997</v>
      </c>
      <c r="Y2115">
        <v>0.60854985070000001</v>
      </c>
      <c r="Z2115">
        <v>0.50878940360000002</v>
      </c>
      <c r="AA2115">
        <v>0.49305012129999998</v>
      </c>
      <c r="AB2115">
        <v>0.61393703420000001</v>
      </c>
    </row>
    <row r="2116" spans="1:28" hidden="1" x14ac:dyDescent="0.25">
      <c r="A2116" t="s">
        <v>408</v>
      </c>
      <c r="B2116" t="s">
        <v>420</v>
      </c>
      <c r="C2116">
        <v>34</v>
      </c>
      <c r="D2116" t="s">
        <v>4</v>
      </c>
      <c r="E2116">
        <v>5.756493E-2</v>
      </c>
      <c r="F2116">
        <v>5.6777849999999998E-2</v>
      </c>
      <c r="G2116">
        <v>5.7428640000000003E-2</v>
      </c>
      <c r="H2116">
        <v>5.5846979999999997E-2</v>
      </c>
      <c r="I2116">
        <v>5.5203479999999999E-2</v>
      </c>
      <c r="J2116">
        <v>6.1304459999999998E-2</v>
      </c>
      <c r="K2116">
        <v>6.8015969999999995E-2</v>
      </c>
      <c r="L2116">
        <v>6.8991510000000006E-2</v>
      </c>
      <c r="M2116">
        <v>7.0034940000000004E-2</v>
      </c>
      <c r="N2116">
        <v>7.1123220000000001E-2</v>
      </c>
      <c r="O2116">
        <v>7.5828720000000002E-2</v>
      </c>
      <c r="P2116">
        <v>7.8326789999999993E-2</v>
      </c>
      <c r="Q2116">
        <v>7.837044E-2</v>
      </c>
      <c r="R2116">
        <v>8.0093189999999995E-2</v>
      </c>
      <c r="S2116">
        <v>8.2594109999999998E-2</v>
      </c>
      <c r="T2116">
        <v>8.1045930000000002E-2</v>
      </c>
      <c r="U2116">
        <v>7.8478439999999997E-2</v>
      </c>
      <c r="V2116">
        <v>7.5928079999999995E-2</v>
      </c>
      <c r="W2116">
        <v>7.6880249999999997E-2</v>
      </c>
      <c r="X2116">
        <v>7.5823379999999996E-2</v>
      </c>
      <c r="Y2116">
        <v>7.2528120000000001E-2</v>
      </c>
      <c r="Z2116">
        <v>6.739713E-2</v>
      </c>
      <c r="AA2116">
        <v>6.2739240000000002E-2</v>
      </c>
      <c r="AB2116">
        <v>6.033558E-2</v>
      </c>
    </row>
    <row r="2117" spans="1:28" hidden="1" x14ac:dyDescent="0.25">
      <c r="A2117" t="s">
        <v>408</v>
      </c>
      <c r="B2117" t="s">
        <v>421</v>
      </c>
      <c r="C2117">
        <v>115</v>
      </c>
      <c r="D2117" t="s">
        <v>2</v>
      </c>
      <c r="E2117">
        <v>12.180622290000001</v>
      </c>
      <c r="F2117">
        <v>11.746943535</v>
      </c>
      <c r="G2117">
        <v>11.525030915</v>
      </c>
      <c r="H2117">
        <v>11.361650935</v>
      </c>
      <c r="I2117">
        <v>11.468518510000001</v>
      </c>
      <c r="J2117">
        <v>12.18682188</v>
      </c>
      <c r="K2117">
        <v>12.343506815</v>
      </c>
      <c r="L2117">
        <v>12.365377755000001</v>
      </c>
      <c r="M2117">
        <v>11.941016115</v>
      </c>
      <c r="N2117">
        <v>12.276954305</v>
      </c>
      <c r="O2117">
        <v>12.964169105</v>
      </c>
      <c r="P2117">
        <v>13.623134105</v>
      </c>
      <c r="Q2117">
        <v>13.2109579</v>
      </c>
      <c r="R2117">
        <v>14.009384125</v>
      </c>
      <c r="S2117">
        <v>14.948030025</v>
      </c>
      <c r="T2117">
        <v>15.35067143</v>
      </c>
      <c r="U2117">
        <v>15.610618840000001</v>
      </c>
      <c r="V2117">
        <v>15.861536754999999</v>
      </c>
      <c r="W2117">
        <v>17.5902876</v>
      </c>
      <c r="X2117">
        <v>17.983811845000002</v>
      </c>
      <c r="Y2117">
        <v>17.416616340000001</v>
      </c>
      <c r="Z2117">
        <v>15.837699754999999</v>
      </c>
      <c r="AA2117">
        <v>14.47741377</v>
      </c>
      <c r="AB2117">
        <v>13.339053209999999</v>
      </c>
    </row>
    <row r="2118" spans="1:28" hidden="1" x14ac:dyDescent="0.25">
      <c r="A2118" t="s">
        <v>408</v>
      </c>
      <c r="B2118" t="s">
        <v>421</v>
      </c>
      <c r="C2118">
        <v>115</v>
      </c>
      <c r="D2118" t="s">
        <v>3</v>
      </c>
      <c r="E2118">
        <v>1.4085691737999999</v>
      </c>
      <c r="F2118">
        <v>1.4083164129000001</v>
      </c>
      <c r="G2118">
        <v>1.3559465468</v>
      </c>
      <c r="H2118">
        <v>1.3436079431000001</v>
      </c>
      <c r="I2118">
        <v>1.3875856340999999</v>
      </c>
      <c r="J2118">
        <v>1.3876243412</v>
      </c>
      <c r="K2118">
        <v>1.2951916450000001</v>
      </c>
      <c r="L2118">
        <v>1.0966983576</v>
      </c>
      <c r="M2118">
        <v>0.99591817059999999</v>
      </c>
      <c r="N2118">
        <v>0.90735532939999997</v>
      </c>
      <c r="O2118">
        <v>0.8273128112</v>
      </c>
      <c r="P2118">
        <v>0.92151627420000004</v>
      </c>
      <c r="Q2118">
        <v>0.96551207390000005</v>
      </c>
      <c r="R2118">
        <v>0.86938178509999997</v>
      </c>
      <c r="S2118">
        <v>1.0653309649</v>
      </c>
      <c r="T2118">
        <v>1.1573344052000001</v>
      </c>
      <c r="U2118">
        <v>1.4162245125999999</v>
      </c>
      <c r="V2118">
        <v>1.5711420537</v>
      </c>
      <c r="W2118">
        <v>1.7369666307</v>
      </c>
      <c r="X2118">
        <v>1.7157030660000001</v>
      </c>
      <c r="Y2118">
        <v>1.6781660062999999</v>
      </c>
      <c r="Z2118">
        <v>1.6679601972</v>
      </c>
      <c r="AA2118">
        <v>1.4502653924</v>
      </c>
      <c r="AB2118">
        <v>1.4404325684999999</v>
      </c>
    </row>
    <row r="2119" spans="1:28" hidden="1" x14ac:dyDescent="0.25">
      <c r="A2119" t="s">
        <v>408</v>
      </c>
      <c r="B2119" t="s">
        <v>421</v>
      </c>
      <c r="C2119">
        <v>115</v>
      </c>
      <c r="D2119" t="s">
        <v>4</v>
      </c>
      <c r="E2119">
        <v>0.18549171</v>
      </c>
      <c r="F2119">
        <v>0.178887465</v>
      </c>
      <c r="G2119">
        <v>0.17550808500000001</v>
      </c>
      <c r="H2119">
        <v>0.173020065</v>
      </c>
      <c r="I2119">
        <v>0.17464748999999999</v>
      </c>
      <c r="J2119">
        <v>0.18558611999999999</v>
      </c>
      <c r="K2119">
        <v>0.18797218500000001</v>
      </c>
      <c r="L2119">
        <v>0.18830524500000001</v>
      </c>
      <c r="M2119">
        <v>0.18184288500000001</v>
      </c>
      <c r="N2119">
        <v>0.18695869500000001</v>
      </c>
      <c r="O2119">
        <v>0.19742389499999999</v>
      </c>
      <c r="P2119">
        <v>0.207458895</v>
      </c>
      <c r="Q2119">
        <v>0.2011821</v>
      </c>
      <c r="R2119">
        <v>0.21334087500000001</v>
      </c>
      <c r="S2119">
        <v>0.22763497499999999</v>
      </c>
      <c r="T2119">
        <v>0.23376657000000001</v>
      </c>
      <c r="U2119">
        <v>0.23772515999999999</v>
      </c>
      <c r="V2119">
        <v>0.24154624499999999</v>
      </c>
      <c r="W2119">
        <v>0.26787240000000001</v>
      </c>
      <c r="X2119">
        <v>0.27386515500000003</v>
      </c>
      <c r="Y2119">
        <v>0.26522765999999998</v>
      </c>
      <c r="Z2119">
        <v>0.24118324499999999</v>
      </c>
      <c r="AA2119">
        <v>0.22046822999999999</v>
      </c>
      <c r="AB2119">
        <v>0.20313279000000001</v>
      </c>
    </row>
    <row r="2120" spans="1:28" hidden="1" x14ac:dyDescent="0.25">
      <c r="A2120" t="s">
        <v>408</v>
      </c>
      <c r="B2120" t="s">
        <v>422</v>
      </c>
      <c r="C2120">
        <v>115</v>
      </c>
      <c r="D2120" t="s">
        <v>2</v>
      </c>
      <c r="E2120">
        <v>17.108148815</v>
      </c>
      <c r="F2120">
        <v>17.125192269999999</v>
      </c>
      <c r="G2120">
        <v>16.798743569999999</v>
      </c>
      <c r="H2120">
        <v>17.635478415000001</v>
      </c>
      <c r="I2120">
        <v>17.104768295</v>
      </c>
      <c r="J2120">
        <v>17.558029834999999</v>
      </c>
      <c r="K2120">
        <v>18.494480169999999</v>
      </c>
      <c r="L2120">
        <v>17.478147320000001</v>
      </c>
      <c r="M2120">
        <v>16.700014065000001</v>
      </c>
      <c r="N2120">
        <v>16.85624984</v>
      </c>
      <c r="O2120">
        <v>17.260023010000001</v>
      </c>
      <c r="P2120">
        <v>17.635154350000001</v>
      </c>
      <c r="Q2120">
        <v>17.910447075</v>
      </c>
      <c r="R2120">
        <v>17.939733095000001</v>
      </c>
      <c r="S2120">
        <v>17.985685315000001</v>
      </c>
      <c r="T2120">
        <v>17.768232775000001</v>
      </c>
      <c r="U2120">
        <v>18.170240825</v>
      </c>
      <c r="V2120">
        <v>18.68344257</v>
      </c>
      <c r="W2120">
        <v>18.066415915</v>
      </c>
      <c r="X2120">
        <v>19.716497765</v>
      </c>
      <c r="Y2120">
        <v>19.926270259999999</v>
      </c>
      <c r="Z2120">
        <v>17.761488480000001</v>
      </c>
      <c r="AA2120">
        <v>19.365349205000001</v>
      </c>
      <c r="AB2120">
        <v>17.668054335000001</v>
      </c>
    </row>
    <row r="2121" spans="1:28" hidden="1" x14ac:dyDescent="0.25">
      <c r="A2121" t="s">
        <v>408</v>
      </c>
      <c r="B2121" t="s">
        <v>422</v>
      </c>
      <c r="C2121">
        <v>115</v>
      </c>
      <c r="D2121" t="s">
        <v>3</v>
      </c>
      <c r="E2121">
        <v>2.9517660311</v>
      </c>
      <c r="F2121">
        <v>2.9815626167999998</v>
      </c>
      <c r="G2121">
        <v>2.9886710703000001</v>
      </c>
      <c r="H2121">
        <v>2.7883674501</v>
      </c>
      <c r="I2121">
        <v>2.8232894757999998</v>
      </c>
      <c r="J2121">
        <v>2.800225025</v>
      </c>
      <c r="K2121">
        <v>2.6975019021</v>
      </c>
      <c r="L2121">
        <v>2.5269116588</v>
      </c>
      <c r="M2121">
        <v>2.5400381981</v>
      </c>
      <c r="N2121">
        <v>2.54538924</v>
      </c>
      <c r="O2121">
        <v>2.7928828148</v>
      </c>
      <c r="P2121">
        <v>2.8941042120999998</v>
      </c>
      <c r="Q2121">
        <v>2.9888707648000001</v>
      </c>
      <c r="R2121">
        <v>2.9588434409</v>
      </c>
      <c r="S2121">
        <v>2.9788867616000001</v>
      </c>
      <c r="T2121">
        <v>3.2530823488</v>
      </c>
      <c r="U2121">
        <v>3.4376382476999998</v>
      </c>
      <c r="V2121">
        <v>3.4949708984000001</v>
      </c>
      <c r="W2121">
        <v>3.4670069126</v>
      </c>
      <c r="X2121">
        <v>3.3874417539000001</v>
      </c>
      <c r="Y2121">
        <v>3.5813048454</v>
      </c>
      <c r="Z2121">
        <v>3.3215079447</v>
      </c>
      <c r="AA2121">
        <v>3.1817286461999998</v>
      </c>
      <c r="AB2121">
        <v>3.0951263363999999</v>
      </c>
    </row>
    <row r="2122" spans="1:28" hidden="1" x14ac:dyDescent="0.25">
      <c r="A2122" t="s">
        <v>408</v>
      </c>
      <c r="B2122" t="s">
        <v>422</v>
      </c>
      <c r="C2122">
        <v>115</v>
      </c>
      <c r="D2122" t="s">
        <v>4</v>
      </c>
      <c r="E2122">
        <v>0.26053018500000003</v>
      </c>
      <c r="F2122">
        <v>0.26078973</v>
      </c>
      <c r="G2122">
        <v>0.25581842999999999</v>
      </c>
      <c r="H2122">
        <v>0.26856058500000002</v>
      </c>
      <c r="I2122">
        <v>0.26047870499999998</v>
      </c>
      <c r="J2122">
        <v>0.26738116499999998</v>
      </c>
      <c r="K2122">
        <v>0.28164182999999998</v>
      </c>
      <c r="L2122">
        <v>0.26616467999999999</v>
      </c>
      <c r="M2122">
        <v>0.25431493500000002</v>
      </c>
      <c r="N2122">
        <v>0.25669416</v>
      </c>
      <c r="O2122">
        <v>0.26284299</v>
      </c>
      <c r="P2122">
        <v>0.26855564999999998</v>
      </c>
      <c r="Q2122">
        <v>0.272747925</v>
      </c>
      <c r="R2122">
        <v>0.27319390500000001</v>
      </c>
      <c r="S2122">
        <v>0.273893685</v>
      </c>
      <c r="T2122">
        <v>0.27058222500000001</v>
      </c>
      <c r="U2122">
        <v>0.276704175</v>
      </c>
      <c r="V2122">
        <v>0.28451943000000002</v>
      </c>
      <c r="W2122">
        <v>0.27512308499999999</v>
      </c>
      <c r="X2122">
        <v>0.30025123500000001</v>
      </c>
      <c r="Y2122">
        <v>0.30344574000000002</v>
      </c>
      <c r="Z2122">
        <v>0.27047951999999997</v>
      </c>
      <c r="AA2122">
        <v>0.29490379500000002</v>
      </c>
      <c r="AB2122">
        <v>0.26905666499999997</v>
      </c>
    </row>
    <row r="2123" spans="1:28" hidden="1" x14ac:dyDescent="0.25">
      <c r="A2123" t="s">
        <v>408</v>
      </c>
      <c r="B2123" t="s">
        <v>423</v>
      </c>
      <c r="C2123">
        <v>115</v>
      </c>
      <c r="D2123" t="s">
        <v>2</v>
      </c>
      <c r="E2123">
        <v>18.397961004999999</v>
      </c>
      <c r="F2123">
        <v>17.901266875000001</v>
      </c>
      <c r="G2123">
        <v>17.532616834999999</v>
      </c>
      <c r="H2123">
        <v>17.635478415000001</v>
      </c>
      <c r="I2123">
        <v>17.134305489999999</v>
      </c>
      <c r="J2123">
        <v>17.409744979999999</v>
      </c>
      <c r="K2123">
        <v>17.823969000000002</v>
      </c>
      <c r="L2123">
        <v>17.506010015000001</v>
      </c>
      <c r="M2123">
        <v>16.511900735000001</v>
      </c>
      <c r="N2123">
        <v>16.7024677</v>
      </c>
      <c r="O2123">
        <v>17.704929780000001</v>
      </c>
      <c r="P2123">
        <v>17.512837050000002</v>
      </c>
      <c r="Q2123">
        <v>17.657753204999999</v>
      </c>
      <c r="R2123">
        <v>17.616950565</v>
      </c>
      <c r="S2123">
        <v>18.114036724999998</v>
      </c>
      <c r="T2123">
        <v>17.649890934999998</v>
      </c>
      <c r="U2123">
        <v>17.886597269999999</v>
      </c>
      <c r="V2123">
        <v>18.738841924999999</v>
      </c>
      <c r="W2123">
        <v>19.543923795000001</v>
      </c>
      <c r="X2123">
        <v>20.603969960000001</v>
      </c>
      <c r="Y2123">
        <v>20.148930494999998</v>
      </c>
      <c r="Z2123">
        <v>18.866204395</v>
      </c>
      <c r="AA2123">
        <v>18.841527190000001</v>
      </c>
      <c r="AB2123">
        <v>17.566617064999999</v>
      </c>
    </row>
    <row r="2124" spans="1:28" hidden="1" x14ac:dyDescent="0.25">
      <c r="A2124" t="s">
        <v>408</v>
      </c>
      <c r="B2124" t="s">
        <v>423</v>
      </c>
      <c r="C2124">
        <v>115</v>
      </c>
      <c r="D2124" t="s">
        <v>3</v>
      </c>
      <c r="E2124">
        <v>1.1942058423999999</v>
      </c>
      <c r="F2124">
        <v>1.8184716249999999</v>
      </c>
      <c r="G2124">
        <v>1.1885749527</v>
      </c>
      <c r="H2124">
        <v>1.4428164551</v>
      </c>
      <c r="I2124">
        <v>1.3544925006999999</v>
      </c>
      <c r="J2124">
        <v>1.3195429398</v>
      </c>
      <c r="K2124">
        <v>1.8034777056</v>
      </c>
      <c r="L2124">
        <v>1.8043857296000001</v>
      </c>
      <c r="M2124">
        <v>1.6270842604</v>
      </c>
      <c r="N2124">
        <v>1.8822502671000001</v>
      </c>
      <c r="O2124">
        <v>1.8765367894</v>
      </c>
      <c r="P2124">
        <v>2.0861043930999998</v>
      </c>
      <c r="Q2124">
        <v>2.1079041593999999</v>
      </c>
      <c r="R2124">
        <v>2.2290630691</v>
      </c>
      <c r="S2124">
        <v>2.2565108505999998</v>
      </c>
      <c r="T2124">
        <v>2.1414308739000001</v>
      </c>
      <c r="U2124">
        <v>1.7753931375000001</v>
      </c>
      <c r="V2124">
        <v>1.3060344283</v>
      </c>
      <c r="W2124">
        <v>1.8119035351999999</v>
      </c>
      <c r="X2124">
        <v>1.6958233007000001</v>
      </c>
      <c r="Y2124">
        <v>1.5590049054999999</v>
      </c>
      <c r="Z2124">
        <v>1.3472401553</v>
      </c>
      <c r="AA2124">
        <v>1.3401500035</v>
      </c>
      <c r="AB2124">
        <v>1.3476996659</v>
      </c>
    </row>
    <row r="2125" spans="1:28" hidden="1" x14ac:dyDescent="0.25">
      <c r="A2125" t="s">
        <v>408</v>
      </c>
      <c r="B2125" t="s">
        <v>423</v>
      </c>
      <c r="C2125">
        <v>115</v>
      </c>
      <c r="D2125" t="s">
        <v>4</v>
      </c>
      <c r="E2125">
        <v>0.28017199500000001</v>
      </c>
      <c r="F2125">
        <v>0.27260812499999998</v>
      </c>
      <c r="G2125">
        <v>0.26699416500000001</v>
      </c>
      <c r="H2125">
        <v>0.26856058500000002</v>
      </c>
      <c r="I2125">
        <v>0.26092851</v>
      </c>
      <c r="J2125">
        <v>0.26512301999999999</v>
      </c>
      <c r="K2125">
        <v>0.27143099999999998</v>
      </c>
      <c r="L2125">
        <v>0.266588985</v>
      </c>
      <c r="M2125">
        <v>0.25145026500000001</v>
      </c>
      <c r="N2125">
        <v>0.25435229999999998</v>
      </c>
      <c r="O2125">
        <v>0.26961822000000002</v>
      </c>
      <c r="P2125">
        <v>0.26669294999999998</v>
      </c>
      <c r="Q2125">
        <v>0.268899795</v>
      </c>
      <c r="R2125">
        <v>0.26827843499999998</v>
      </c>
      <c r="S2125">
        <v>0.27584827499999998</v>
      </c>
      <c r="T2125">
        <v>0.26878006500000001</v>
      </c>
      <c r="U2125">
        <v>0.27238473000000002</v>
      </c>
      <c r="V2125">
        <v>0.28536307500000002</v>
      </c>
      <c r="W2125">
        <v>0.297623205</v>
      </c>
      <c r="X2125">
        <v>0.31376604000000002</v>
      </c>
      <c r="Y2125">
        <v>0.30683650499999998</v>
      </c>
      <c r="Z2125">
        <v>0.28730260499999999</v>
      </c>
      <c r="AA2125">
        <v>0.28692680999999998</v>
      </c>
      <c r="AB2125">
        <v>0.26751193499999998</v>
      </c>
    </row>
    <row r="2126" spans="1:28" hidden="1" x14ac:dyDescent="0.25">
      <c r="A2126" t="s">
        <v>408</v>
      </c>
      <c r="B2126" t="s">
        <v>424</v>
      </c>
      <c r="C2126">
        <v>115</v>
      </c>
      <c r="D2126" t="s">
        <v>2</v>
      </c>
      <c r="E2126">
        <v>1.15301342</v>
      </c>
      <c r="F2126">
        <v>1.169538765</v>
      </c>
      <c r="G2126">
        <v>1.2186587449999999</v>
      </c>
      <c r="H2126">
        <v>1.140695995</v>
      </c>
      <c r="I2126">
        <v>1.106305705</v>
      </c>
      <c r="J2126">
        <v>1.046232525</v>
      </c>
      <c r="K2126">
        <v>1.21079943</v>
      </c>
      <c r="L2126">
        <v>1.42377416</v>
      </c>
      <c r="M2126">
        <v>1.4571804349999999</v>
      </c>
      <c r="N2126">
        <v>1.483714365</v>
      </c>
      <c r="O2126">
        <v>1.5380223399999999</v>
      </c>
      <c r="P2126">
        <v>1.6023615550000001</v>
      </c>
      <c r="Q2126">
        <v>1.5962850900000001</v>
      </c>
      <c r="R2126">
        <v>1.712011755</v>
      </c>
      <c r="S2126">
        <v>1.7705946299999999</v>
      </c>
      <c r="T2126">
        <v>1.7886575600000001</v>
      </c>
      <c r="U2126">
        <v>1.80438013</v>
      </c>
      <c r="V2126">
        <v>1.6758317199999999</v>
      </c>
      <c r="W2126">
        <v>1.7420237199999999</v>
      </c>
      <c r="X2126">
        <v>1.917094665</v>
      </c>
      <c r="Y2126">
        <v>1.80770549</v>
      </c>
      <c r="Z2126">
        <v>1.5555494299999999</v>
      </c>
      <c r="AA2126">
        <v>1.4268532700000001</v>
      </c>
      <c r="AB2126">
        <v>1.3037725950000001</v>
      </c>
    </row>
    <row r="2127" spans="1:28" hidden="1" x14ac:dyDescent="0.25">
      <c r="A2127" t="s">
        <v>408</v>
      </c>
      <c r="B2127" t="s">
        <v>424</v>
      </c>
      <c r="C2127">
        <v>115</v>
      </c>
      <c r="D2127" t="s">
        <v>3</v>
      </c>
      <c r="E2127">
        <v>0.1780971288</v>
      </c>
      <c r="F2127">
        <v>0.27072075769999998</v>
      </c>
      <c r="G2127">
        <v>0.22465101330000001</v>
      </c>
      <c r="H2127">
        <v>0.2073328093</v>
      </c>
      <c r="I2127">
        <v>0.2162874659</v>
      </c>
      <c r="J2127">
        <v>0.23719793610000001</v>
      </c>
      <c r="K2127">
        <v>0.27155799159999999</v>
      </c>
      <c r="L2127">
        <v>0.33818901559999998</v>
      </c>
      <c r="M2127">
        <v>0.30186356450000001</v>
      </c>
      <c r="N2127">
        <v>0.34943159899999998</v>
      </c>
      <c r="O2127">
        <v>0.40901879140000003</v>
      </c>
      <c r="P2127">
        <v>0.4758043998</v>
      </c>
      <c r="Q2127">
        <v>0.32330332249999999</v>
      </c>
      <c r="R2127">
        <v>0.41526473060000002</v>
      </c>
      <c r="S2127">
        <v>0.3653300827</v>
      </c>
      <c r="T2127">
        <v>0.43865443259999998</v>
      </c>
      <c r="U2127">
        <v>0.3016753371</v>
      </c>
      <c r="V2127">
        <v>0.3236204546</v>
      </c>
      <c r="W2127">
        <v>0.26233855319999999</v>
      </c>
      <c r="X2127">
        <v>0.2402306864</v>
      </c>
      <c r="Y2127">
        <v>0.30958668239999998</v>
      </c>
      <c r="Z2127">
        <v>0.25080606820000001</v>
      </c>
      <c r="AA2127">
        <v>0.23216237100000001</v>
      </c>
      <c r="AB2127">
        <v>0.22375993320000001</v>
      </c>
    </row>
    <row r="2128" spans="1:28" hidden="1" x14ac:dyDescent="0.25">
      <c r="A2128" t="s">
        <v>408</v>
      </c>
      <c r="B2128" t="s">
        <v>424</v>
      </c>
      <c r="C2128">
        <v>115</v>
      </c>
      <c r="D2128" t="s">
        <v>4</v>
      </c>
      <c r="E2128">
        <v>1.7558580000000001E-2</v>
      </c>
      <c r="F2128">
        <v>1.7810235000000001E-2</v>
      </c>
      <c r="G2128">
        <v>1.8558254999999999E-2</v>
      </c>
      <c r="H2128">
        <v>1.7371004999999998E-2</v>
      </c>
      <c r="I2128">
        <v>1.6847295000000002E-2</v>
      </c>
      <c r="J2128">
        <v>1.5932475000000001E-2</v>
      </c>
      <c r="K2128">
        <v>1.8438570000000001E-2</v>
      </c>
      <c r="L2128">
        <v>2.1681840000000001E-2</v>
      </c>
      <c r="M2128">
        <v>2.2190564999999999E-2</v>
      </c>
      <c r="N2128">
        <v>2.2594634999999998E-2</v>
      </c>
      <c r="O2128">
        <v>2.342166E-2</v>
      </c>
      <c r="P2128">
        <v>2.4401445000000001E-2</v>
      </c>
      <c r="Q2128">
        <v>2.430891E-2</v>
      </c>
      <c r="R2128">
        <v>2.6071245E-2</v>
      </c>
      <c r="S2128">
        <v>2.696337E-2</v>
      </c>
      <c r="T2128">
        <v>2.7238439999999999E-2</v>
      </c>
      <c r="U2128">
        <v>2.7477870000000001E-2</v>
      </c>
      <c r="V2128">
        <v>2.5520279999999999E-2</v>
      </c>
      <c r="W2128">
        <v>2.6528280000000001E-2</v>
      </c>
      <c r="X2128">
        <v>2.9194334999999998E-2</v>
      </c>
      <c r="Y2128">
        <v>2.7528509999999999E-2</v>
      </c>
      <c r="Z2128">
        <v>2.3688569999999999E-2</v>
      </c>
      <c r="AA2128">
        <v>2.1728730000000002E-2</v>
      </c>
      <c r="AB2128">
        <v>1.9854404999999999E-2</v>
      </c>
    </row>
    <row r="2129" spans="1:28" hidden="1" x14ac:dyDescent="0.25">
      <c r="A2129" t="s">
        <v>408</v>
      </c>
      <c r="B2129" t="s">
        <v>425</v>
      </c>
      <c r="C2129">
        <v>110</v>
      </c>
      <c r="D2129" t="s">
        <v>2</v>
      </c>
      <c r="E2129">
        <v>4.9107756150000004</v>
      </c>
      <c r="F2129">
        <v>4.6428782699999998</v>
      </c>
      <c r="G2129">
        <v>4.5157334850000002</v>
      </c>
      <c r="H2129">
        <v>4.5121451300000004</v>
      </c>
      <c r="I2129">
        <v>4.5138324350000003</v>
      </c>
      <c r="J2129">
        <v>4.7451163449999996</v>
      </c>
      <c r="K2129">
        <v>4.6270837949999999</v>
      </c>
      <c r="L2129">
        <v>4.6307479950000001</v>
      </c>
      <c r="M2129">
        <v>4.8095363300000002</v>
      </c>
      <c r="N2129">
        <v>5.2399901949999999</v>
      </c>
      <c r="O2129">
        <v>5.686555705</v>
      </c>
      <c r="P2129">
        <v>6.0761320699999999</v>
      </c>
      <c r="Q2129">
        <v>6.24338704</v>
      </c>
      <c r="R2129">
        <v>6.1993181399999999</v>
      </c>
      <c r="S2129">
        <v>6.3254326150000004</v>
      </c>
      <c r="T2129">
        <v>6.2180360950000004</v>
      </c>
      <c r="U2129">
        <v>6.1888860049999996</v>
      </c>
      <c r="V2129">
        <v>6.2566677950000003</v>
      </c>
      <c r="W2129">
        <v>7.2288332449999997</v>
      </c>
      <c r="X2129">
        <v>7.6568551449999998</v>
      </c>
      <c r="Y2129">
        <v>7.3968732599999996</v>
      </c>
      <c r="Z2129">
        <v>6.7693947699999999</v>
      </c>
      <c r="AA2129">
        <v>6.1605337650000003</v>
      </c>
      <c r="AB2129">
        <v>5.4746506850000003</v>
      </c>
    </row>
    <row r="2130" spans="1:28" hidden="1" x14ac:dyDescent="0.25">
      <c r="A2130" t="s">
        <v>408</v>
      </c>
      <c r="B2130" t="s">
        <v>425</v>
      </c>
      <c r="C2130">
        <v>110</v>
      </c>
      <c r="D2130" t="s">
        <v>3</v>
      </c>
      <c r="E2130">
        <v>0.75820045280000004</v>
      </c>
      <c r="F2130">
        <v>0.72273484040000002</v>
      </c>
      <c r="G2130">
        <v>0.68066289290000004</v>
      </c>
      <c r="H2130">
        <v>0.72721622050000001</v>
      </c>
      <c r="I2130">
        <v>0.77000331820000001</v>
      </c>
      <c r="J2130">
        <v>0.78978192329999997</v>
      </c>
      <c r="K2130">
        <v>0.82375116599999998</v>
      </c>
      <c r="L2130">
        <v>0.86022525770000002</v>
      </c>
      <c r="M2130">
        <v>0.94702964479999996</v>
      </c>
      <c r="N2130">
        <v>1.0494053692</v>
      </c>
      <c r="O2130">
        <v>1.1686151876999999</v>
      </c>
      <c r="P2130">
        <v>1.2565182629</v>
      </c>
      <c r="Q2130">
        <v>1.3335747900999999</v>
      </c>
      <c r="R2130">
        <v>1.3530586219</v>
      </c>
      <c r="S2130">
        <v>1.3339060672</v>
      </c>
      <c r="T2130">
        <v>1.2749367079</v>
      </c>
      <c r="U2130">
        <v>1.2830186551</v>
      </c>
      <c r="V2130">
        <v>1.2037702815</v>
      </c>
      <c r="W2130">
        <v>1.1697136283</v>
      </c>
      <c r="X2130">
        <v>1.1146171667</v>
      </c>
      <c r="Y2130">
        <v>1.0192168625</v>
      </c>
      <c r="Z2130">
        <v>0.88829402540000002</v>
      </c>
      <c r="AA2130">
        <v>0.85207495690000001</v>
      </c>
      <c r="AB2130">
        <v>0.76208112949999995</v>
      </c>
    </row>
    <row r="2131" spans="1:28" hidden="1" x14ac:dyDescent="0.25">
      <c r="A2131" t="s">
        <v>408</v>
      </c>
      <c r="B2131" t="s">
        <v>425</v>
      </c>
      <c r="C2131">
        <v>110</v>
      </c>
      <c r="D2131" t="s">
        <v>4</v>
      </c>
      <c r="E2131">
        <v>7.4783384999999994E-2</v>
      </c>
      <c r="F2131">
        <v>7.0703730000000006E-2</v>
      </c>
      <c r="G2131">
        <v>6.8767515000000001E-2</v>
      </c>
      <c r="H2131">
        <v>6.8712869999999995E-2</v>
      </c>
      <c r="I2131">
        <v>6.8738565000000001E-2</v>
      </c>
      <c r="J2131">
        <v>7.2260654999999993E-2</v>
      </c>
      <c r="K2131">
        <v>7.0463205000000001E-2</v>
      </c>
      <c r="L2131">
        <v>7.0519004999999996E-2</v>
      </c>
      <c r="M2131">
        <v>7.3241669999999995E-2</v>
      </c>
      <c r="N2131">
        <v>7.9796804999999998E-2</v>
      </c>
      <c r="O2131">
        <v>8.6597295000000005E-2</v>
      </c>
      <c r="P2131">
        <v>9.2529929999999996E-2</v>
      </c>
      <c r="Q2131">
        <v>9.5076960000000002E-2</v>
      </c>
      <c r="R2131">
        <v>9.4405859999999994E-2</v>
      </c>
      <c r="S2131">
        <v>9.6326385E-2</v>
      </c>
      <c r="T2131">
        <v>9.4690905000000006E-2</v>
      </c>
      <c r="U2131">
        <v>9.4246995E-2</v>
      </c>
      <c r="V2131">
        <v>9.5279205000000006E-2</v>
      </c>
      <c r="W2131">
        <v>0.11008375500000001</v>
      </c>
      <c r="X2131">
        <v>0.116601855</v>
      </c>
      <c r="Y2131">
        <v>0.11264274000000001</v>
      </c>
      <c r="Z2131">
        <v>0.10308723</v>
      </c>
      <c r="AA2131">
        <v>9.3815234999999997E-2</v>
      </c>
      <c r="AB2131">
        <v>8.3370315E-2</v>
      </c>
    </row>
    <row r="2132" spans="1:28" hidden="1" x14ac:dyDescent="0.25">
      <c r="A2132" t="s">
        <v>408</v>
      </c>
      <c r="B2132" t="s">
        <v>426</v>
      </c>
      <c r="C2132">
        <v>115</v>
      </c>
      <c r="D2132" t="s">
        <v>2</v>
      </c>
      <c r="E2132">
        <v>7.2782221299999996</v>
      </c>
      <c r="F2132">
        <v>6.9683874250000004</v>
      </c>
      <c r="G2132">
        <v>6.8619867399999999</v>
      </c>
      <c r="H2132">
        <v>6.6229656549999998</v>
      </c>
      <c r="I2132">
        <v>6.7183875300000002</v>
      </c>
      <c r="J2132">
        <v>7.2934196949999999</v>
      </c>
      <c r="K2132">
        <v>7.5169329400000002</v>
      </c>
      <c r="L2132">
        <v>7.8182178450000004</v>
      </c>
      <c r="M2132">
        <v>8.3247383349999993</v>
      </c>
      <c r="N2132">
        <v>8.8709612199999999</v>
      </c>
      <c r="O2132">
        <v>9.7378587349999997</v>
      </c>
      <c r="P2132">
        <v>10.317497745000001</v>
      </c>
      <c r="Q2132">
        <v>10.298815250000001</v>
      </c>
      <c r="R2132">
        <v>10.522069439999999</v>
      </c>
      <c r="S2132">
        <v>11.05469637</v>
      </c>
      <c r="T2132">
        <v>11.17826462</v>
      </c>
      <c r="U2132">
        <v>11.352555445</v>
      </c>
      <c r="V2132">
        <v>11.169900985</v>
      </c>
      <c r="W2132">
        <v>12.039238344999999</v>
      </c>
      <c r="X2132">
        <v>11.994330225000001</v>
      </c>
      <c r="Y2132">
        <v>11.317970125</v>
      </c>
      <c r="Z2132">
        <v>10.066334565</v>
      </c>
      <c r="AA2132">
        <v>9.0431618749999991</v>
      </c>
      <c r="AB2132">
        <v>8.1358970900000003</v>
      </c>
    </row>
    <row r="2133" spans="1:28" hidden="1" x14ac:dyDescent="0.25">
      <c r="A2133" t="s">
        <v>408</v>
      </c>
      <c r="B2133" t="s">
        <v>426</v>
      </c>
      <c r="C2133">
        <v>115</v>
      </c>
      <c r="D2133" t="s">
        <v>3</v>
      </c>
      <c r="E2133">
        <v>2.4562042145</v>
      </c>
      <c r="F2133">
        <v>2.5157567168999999</v>
      </c>
      <c r="G2133">
        <v>2.4429237851000001</v>
      </c>
      <c r="H2133">
        <v>2.4466295709999999</v>
      </c>
      <c r="I2133">
        <v>2.4606694696</v>
      </c>
      <c r="J2133">
        <v>2.5979873817999999</v>
      </c>
      <c r="K2133">
        <v>2.1953502936999998</v>
      </c>
      <c r="L2133">
        <v>1.4286976881</v>
      </c>
      <c r="M2133">
        <v>0.85228759310000002</v>
      </c>
      <c r="N2133">
        <v>0.78879675400000004</v>
      </c>
      <c r="O2133">
        <v>0.43581721220000003</v>
      </c>
      <c r="P2133">
        <v>0.2353204938</v>
      </c>
      <c r="Q2133">
        <v>0.51542435559999999</v>
      </c>
      <c r="R2133">
        <v>0.5050567131</v>
      </c>
      <c r="S2133">
        <v>0.1849997434</v>
      </c>
      <c r="T2133">
        <v>0</v>
      </c>
      <c r="U2133">
        <v>0.2827412024</v>
      </c>
      <c r="V2133">
        <v>0.72503474769999998</v>
      </c>
      <c r="W2133">
        <v>1.8892660623999999</v>
      </c>
      <c r="X2133">
        <v>1.7822384983999999</v>
      </c>
      <c r="Y2133">
        <v>2.0636817419</v>
      </c>
      <c r="Z2133">
        <v>2.1576955053</v>
      </c>
      <c r="AA2133">
        <v>2.5086360462999999</v>
      </c>
      <c r="AB2133">
        <v>2.5799897876000002</v>
      </c>
    </row>
    <row r="2134" spans="1:28" hidden="1" x14ac:dyDescent="0.25">
      <c r="A2134" t="s">
        <v>408</v>
      </c>
      <c r="B2134" t="s">
        <v>426</v>
      </c>
      <c r="C2134">
        <v>115</v>
      </c>
      <c r="D2134" t="s">
        <v>4</v>
      </c>
      <c r="E2134">
        <v>0.11083587</v>
      </c>
      <c r="F2134">
        <v>0.10611757500000001</v>
      </c>
      <c r="G2134">
        <v>0.10449725999999999</v>
      </c>
      <c r="H2134">
        <v>0.100857345</v>
      </c>
      <c r="I2134">
        <v>0.10231047</v>
      </c>
      <c r="J2134">
        <v>0.11106730500000001</v>
      </c>
      <c r="K2134">
        <v>0.11447106</v>
      </c>
      <c r="L2134">
        <v>0.119059155</v>
      </c>
      <c r="M2134">
        <v>0.12677266500000001</v>
      </c>
      <c r="N2134">
        <v>0.13509077999999999</v>
      </c>
      <c r="O2134">
        <v>0.14829226500000001</v>
      </c>
      <c r="P2134">
        <v>0.15711925500000001</v>
      </c>
      <c r="Q2134">
        <v>0.15683474999999999</v>
      </c>
      <c r="R2134">
        <v>0.16023456</v>
      </c>
      <c r="S2134">
        <v>0.16834563</v>
      </c>
      <c r="T2134">
        <v>0.17022738000000001</v>
      </c>
      <c r="U2134">
        <v>0.17288155499999999</v>
      </c>
      <c r="V2134">
        <v>0.17010001499999999</v>
      </c>
      <c r="W2134">
        <v>0.18333865499999999</v>
      </c>
      <c r="X2134">
        <v>0.18265477499999999</v>
      </c>
      <c r="Y2134">
        <v>0.17235487499999999</v>
      </c>
      <c r="Z2134">
        <v>0.15329443500000001</v>
      </c>
      <c r="AA2134">
        <v>0.13771312499999999</v>
      </c>
      <c r="AB2134">
        <v>0.12389691</v>
      </c>
    </row>
    <row r="2135" spans="1:28" x14ac:dyDescent="0.25">
      <c r="A2135" t="s">
        <v>408</v>
      </c>
      <c r="B2135" t="s">
        <v>427</v>
      </c>
      <c r="C2135">
        <v>115</v>
      </c>
      <c r="D2135" t="s">
        <v>2</v>
      </c>
      <c r="E2135">
        <v>2.0770990500000002</v>
      </c>
      <c r="F2135">
        <v>2.0025975900000001</v>
      </c>
      <c r="G2135">
        <v>1.9739597</v>
      </c>
      <c r="H2135">
        <v>1.8762851300000001</v>
      </c>
      <c r="I2135">
        <v>1.85547799</v>
      </c>
      <c r="J2135">
        <v>1.9222117400000001</v>
      </c>
      <c r="K2135">
        <v>1.7760239499999999</v>
      </c>
      <c r="L2135">
        <v>1.7915583850000001</v>
      </c>
      <c r="M2135">
        <v>1.8474463000000001</v>
      </c>
      <c r="N2135">
        <v>2.004866045</v>
      </c>
      <c r="O2135">
        <v>2.153819715</v>
      </c>
      <c r="P2135">
        <v>2.2995731199999998</v>
      </c>
      <c r="Q2135">
        <v>2.2742448300000002</v>
      </c>
      <c r="R2135">
        <v>2.2879570149999999</v>
      </c>
      <c r="S2135">
        <v>2.3366583699999999</v>
      </c>
      <c r="T2135">
        <v>2.3127445400000002</v>
      </c>
      <c r="U2135">
        <v>2.3579964250000001</v>
      </c>
      <c r="V2135">
        <v>2.4237235049999999</v>
      </c>
      <c r="W2135">
        <v>2.7887497300000001</v>
      </c>
      <c r="X2135">
        <v>3.0197125300000001</v>
      </c>
      <c r="Y2135">
        <v>2.9096880299999999</v>
      </c>
      <c r="Z2135">
        <v>2.6292920199999998</v>
      </c>
      <c r="AA2135">
        <v>2.4487878150000002</v>
      </c>
      <c r="AB2135">
        <v>2.2495292099999999</v>
      </c>
    </row>
    <row r="2136" spans="1:28" x14ac:dyDescent="0.25">
      <c r="A2136" t="s">
        <v>408</v>
      </c>
      <c r="B2136" t="s">
        <v>427</v>
      </c>
      <c r="C2136">
        <v>115</v>
      </c>
      <c r="D2136" t="s">
        <v>3</v>
      </c>
      <c r="E2136">
        <v>0.23964571700000001</v>
      </c>
      <c r="F2136">
        <v>0.39367826099999997</v>
      </c>
      <c r="G2136">
        <v>0.25072092769999998</v>
      </c>
      <c r="H2136">
        <v>0.39281239870000001</v>
      </c>
      <c r="I2136">
        <v>3.4217630999999998E-2</v>
      </c>
      <c r="J2136">
        <v>0.27845273920000002</v>
      </c>
      <c r="K2136">
        <v>0.22927536849999999</v>
      </c>
      <c r="L2136">
        <v>1.13310366E-2</v>
      </c>
      <c r="M2136">
        <v>0.16965311850000001</v>
      </c>
      <c r="N2136">
        <v>0.1285718663</v>
      </c>
      <c r="O2136">
        <v>9.4935018800000007E-2</v>
      </c>
      <c r="P2136">
        <v>0.1248245977</v>
      </c>
      <c r="Q2136">
        <v>0.35113261010000002</v>
      </c>
      <c r="R2136">
        <v>0.13553536569999999</v>
      </c>
      <c r="S2136">
        <v>7.6106372500000005E-2</v>
      </c>
      <c r="T2136">
        <v>9.9813157E-2</v>
      </c>
      <c r="U2136">
        <v>0.21705708000000001</v>
      </c>
      <c r="V2136">
        <v>0.27920877579999998</v>
      </c>
      <c r="W2136">
        <v>0.1735133197</v>
      </c>
      <c r="X2136">
        <v>4.4793484000000001E-2</v>
      </c>
      <c r="Y2136">
        <v>0.21662885840000001</v>
      </c>
      <c r="Z2136">
        <v>0.22650166199999999</v>
      </c>
      <c r="AA2136">
        <v>5.0193367000000003E-2</v>
      </c>
      <c r="AB2136">
        <v>0.43020499029999998</v>
      </c>
    </row>
    <row r="2137" spans="1:28" x14ac:dyDescent="0.25">
      <c r="A2137" t="s">
        <v>408</v>
      </c>
      <c r="B2137" t="s">
        <v>427</v>
      </c>
      <c r="C2137">
        <v>115</v>
      </c>
      <c r="D2137" t="s">
        <v>4</v>
      </c>
      <c r="E2137">
        <v>3.1630949999999998E-2</v>
      </c>
      <c r="F2137">
        <v>3.0496410000000002E-2</v>
      </c>
      <c r="G2137">
        <v>3.0060300000000002E-2</v>
      </c>
      <c r="H2137">
        <v>2.857287E-2</v>
      </c>
      <c r="I2137">
        <v>2.8256010000000002E-2</v>
      </c>
      <c r="J2137">
        <v>2.9272260000000001E-2</v>
      </c>
      <c r="K2137">
        <v>2.7046049999999999E-2</v>
      </c>
      <c r="L2137">
        <v>2.7282615E-2</v>
      </c>
      <c r="M2137">
        <v>2.8133700000000001E-2</v>
      </c>
      <c r="N2137">
        <v>3.0530954999999999E-2</v>
      </c>
      <c r="O2137">
        <v>3.2799284999999997E-2</v>
      </c>
      <c r="P2137">
        <v>3.5018880000000002E-2</v>
      </c>
      <c r="Q2137">
        <v>3.4633169999999998E-2</v>
      </c>
      <c r="R2137">
        <v>3.4841984999999999E-2</v>
      </c>
      <c r="S2137">
        <v>3.5583629999999998E-2</v>
      </c>
      <c r="T2137">
        <v>3.5219460000000001E-2</v>
      </c>
      <c r="U2137">
        <v>3.5908574999999998E-2</v>
      </c>
      <c r="V2137">
        <v>3.6909495E-2</v>
      </c>
      <c r="W2137">
        <v>4.2468270000000002E-2</v>
      </c>
      <c r="X2137">
        <v>4.5985470000000001E-2</v>
      </c>
      <c r="Y2137">
        <v>4.4309969999999997E-2</v>
      </c>
      <c r="Z2137">
        <v>4.0039980000000003E-2</v>
      </c>
      <c r="AA2137">
        <v>3.7291184999999998E-2</v>
      </c>
      <c r="AB2137">
        <v>3.4256790000000002E-2</v>
      </c>
    </row>
    <row r="2138" spans="1:28" x14ac:dyDescent="0.25">
      <c r="A2138" t="s">
        <v>408</v>
      </c>
      <c r="B2138" t="s">
        <v>428</v>
      </c>
      <c r="C2138">
        <v>115</v>
      </c>
      <c r="D2138" t="s">
        <v>2</v>
      </c>
      <c r="E2138">
        <v>9.7545485749999994</v>
      </c>
      <c r="F2138">
        <v>9.2938965800000002</v>
      </c>
      <c r="G2138">
        <v>9.0582510900000006</v>
      </c>
      <c r="H2138">
        <v>8.8457235500000007</v>
      </c>
      <c r="I2138">
        <v>8.7752566499999993</v>
      </c>
      <c r="J2138">
        <v>8.9822199250000008</v>
      </c>
      <c r="K2138">
        <v>8.4811386049999999</v>
      </c>
      <c r="L2138">
        <v>8.2863075750000004</v>
      </c>
      <c r="M2138">
        <v>8.4847752249999999</v>
      </c>
      <c r="N2138">
        <v>9.0674608400000007</v>
      </c>
      <c r="O2138">
        <v>9.8969647999999992</v>
      </c>
      <c r="P2138">
        <v>10.644698</v>
      </c>
      <c r="Q2138">
        <v>10.88124378</v>
      </c>
      <c r="R2138">
        <v>10.89864873</v>
      </c>
      <c r="S2138">
        <v>10.93292673</v>
      </c>
      <c r="T2138">
        <v>10.789426020000001</v>
      </c>
      <c r="U2138">
        <v>10.932217530000001</v>
      </c>
      <c r="V2138">
        <v>11.20106343</v>
      </c>
      <c r="W2138">
        <v>12.878131325</v>
      </c>
      <c r="X2138">
        <v>13.769276585</v>
      </c>
      <c r="Y2138">
        <v>13.499293010000001</v>
      </c>
      <c r="Z2138">
        <v>12.551084729999999</v>
      </c>
      <c r="AA2138">
        <v>11.65263077</v>
      </c>
      <c r="AB2138">
        <v>10.68377295</v>
      </c>
    </row>
    <row r="2139" spans="1:28" x14ac:dyDescent="0.25">
      <c r="A2139" t="s">
        <v>408</v>
      </c>
      <c r="B2139" t="s">
        <v>428</v>
      </c>
      <c r="C2139">
        <v>115</v>
      </c>
      <c r="D2139" t="s">
        <v>3</v>
      </c>
      <c r="E2139">
        <v>1.9447286203</v>
      </c>
      <c r="F2139">
        <v>1.9022285501</v>
      </c>
      <c r="G2139">
        <v>1.8964033148999999</v>
      </c>
      <c r="H2139">
        <v>1.8451396176999999</v>
      </c>
      <c r="I2139">
        <v>1.8196501887000001</v>
      </c>
      <c r="J2139">
        <v>1.3686200584999999</v>
      </c>
      <c r="K2139">
        <v>1.0007649437999999</v>
      </c>
      <c r="L2139">
        <v>1.0644424958000001</v>
      </c>
      <c r="M2139">
        <v>1.1804683116000001</v>
      </c>
      <c r="N2139">
        <v>1.3592659885</v>
      </c>
      <c r="O2139">
        <v>1.5320239734000001</v>
      </c>
      <c r="P2139">
        <v>1.6662007366</v>
      </c>
      <c r="Q2139">
        <v>1.6572349246</v>
      </c>
      <c r="R2139">
        <v>1.7388696767</v>
      </c>
      <c r="S2139">
        <v>1.7774913810999999</v>
      </c>
      <c r="T2139">
        <v>1.7298511258</v>
      </c>
      <c r="U2139">
        <v>1.7068552148</v>
      </c>
      <c r="V2139">
        <v>1.6025337814</v>
      </c>
      <c r="W2139">
        <v>2.1539048840000001</v>
      </c>
      <c r="X2139">
        <v>2.3328057056999998</v>
      </c>
      <c r="Y2139">
        <v>2.2290259216999999</v>
      </c>
      <c r="Z2139">
        <v>2.0405738995</v>
      </c>
      <c r="AA2139">
        <v>2.03715205</v>
      </c>
      <c r="AB2139">
        <v>2.0021382495000002</v>
      </c>
    </row>
    <row r="2140" spans="1:28" x14ac:dyDescent="0.25">
      <c r="A2140" t="s">
        <v>408</v>
      </c>
      <c r="B2140" t="s">
        <v>428</v>
      </c>
      <c r="C2140">
        <v>115</v>
      </c>
      <c r="D2140" t="s">
        <v>4</v>
      </c>
      <c r="E2140">
        <v>0.14854642500000001</v>
      </c>
      <c r="F2140">
        <v>0.14153141999999999</v>
      </c>
      <c r="G2140">
        <v>0.13794291</v>
      </c>
      <c r="H2140">
        <v>0.13470645000000001</v>
      </c>
      <c r="I2140">
        <v>0.13363335000000001</v>
      </c>
      <c r="J2140">
        <v>0.13678507500000001</v>
      </c>
      <c r="K2140">
        <v>0.12915439500000001</v>
      </c>
      <c r="L2140">
        <v>0.12618742499999999</v>
      </c>
      <c r="M2140">
        <v>0.129209775</v>
      </c>
      <c r="N2140">
        <v>0.13808316000000001</v>
      </c>
      <c r="O2140">
        <v>0.15071519999999999</v>
      </c>
      <c r="P2140">
        <v>0.162102</v>
      </c>
      <c r="Q2140">
        <v>0.16570422000000001</v>
      </c>
      <c r="R2140">
        <v>0.16596927</v>
      </c>
      <c r="S2140">
        <v>0.16649127</v>
      </c>
      <c r="T2140">
        <v>0.16430597999999999</v>
      </c>
      <c r="U2140">
        <v>0.16648046999999999</v>
      </c>
      <c r="V2140">
        <v>0.17057457000000001</v>
      </c>
      <c r="W2140">
        <v>0.19611367499999999</v>
      </c>
      <c r="X2140">
        <v>0.20968441500000001</v>
      </c>
      <c r="Y2140">
        <v>0.20557299000000001</v>
      </c>
      <c r="Z2140">
        <v>0.19113326999999999</v>
      </c>
      <c r="AA2140">
        <v>0.17745122999999999</v>
      </c>
      <c r="AB2140">
        <v>0.16269705000000001</v>
      </c>
    </row>
    <row r="2141" spans="1:28" x14ac:dyDescent="0.25">
      <c r="A2141" t="s">
        <v>408</v>
      </c>
      <c r="B2141" t="s">
        <v>429</v>
      </c>
      <c r="C2141">
        <v>34</v>
      </c>
      <c r="D2141" t="s">
        <v>2</v>
      </c>
      <c r="E2141">
        <v>0.47012796000000001</v>
      </c>
      <c r="F2141">
        <v>0.39281702000000002</v>
      </c>
      <c r="G2141">
        <v>0.37453639999999999</v>
      </c>
      <c r="H2141">
        <v>0.34119653</v>
      </c>
      <c r="I2141">
        <v>0.33847276999999998</v>
      </c>
      <c r="J2141">
        <v>0.57329037000000005</v>
      </c>
      <c r="K2141">
        <v>0.56480286999999996</v>
      </c>
      <c r="L2141">
        <v>0.44998687999999998</v>
      </c>
      <c r="M2141">
        <v>0.66634344000000001</v>
      </c>
      <c r="N2141">
        <v>0.80768214000000005</v>
      </c>
      <c r="O2141">
        <v>0.99522582000000004</v>
      </c>
      <c r="P2141">
        <v>1.1503453100000001</v>
      </c>
      <c r="Q2141">
        <v>1.22602083</v>
      </c>
      <c r="R2141">
        <v>1.03150867</v>
      </c>
      <c r="S2141">
        <v>0.89126121999999997</v>
      </c>
      <c r="T2141">
        <v>0.76916441000000002</v>
      </c>
      <c r="U2141">
        <v>0.80095227999999996</v>
      </c>
      <c r="V2141">
        <v>0.72968347</v>
      </c>
      <c r="W2141">
        <v>0.84844445000000002</v>
      </c>
      <c r="X2141">
        <v>0.88909132999999996</v>
      </c>
      <c r="Y2141">
        <v>0.87336471999999998</v>
      </c>
      <c r="Z2141">
        <v>0.76931961000000004</v>
      </c>
      <c r="AA2141">
        <v>0.81332656999999997</v>
      </c>
      <c r="AB2141">
        <v>0.70806411000000002</v>
      </c>
    </row>
    <row r="2142" spans="1:28" x14ac:dyDescent="0.25">
      <c r="A2142" t="s">
        <v>408</v>
      </c>
      <c r="B2142" t="s">
        <v>429</v>
      </c>
      <c r="C2142">
        <v>34</v>
      </c>
      <c r="D2142" t="s">
        <v>3</v>
      </c>
      <c r="E2142">
        <v>5.3065051199999998E-2</v>
      </c>
      <c r="F2142">
        <v>9.9134198300000004E-2</v>
      </c>
      <c r="G2142">
        <v>4.4870452399999997E-2</v>
      </c>
      <c r="H2142">
        <v>2.4268443000000001E-2</v>
      </c>
      <c r="I2142">
        <v>2.72705663E-2</v>
      </c>
      <c r="J2142">
        <v>4.3603937500000002E-2</v>
      </c>
      <c r="K2142">
        <v>6.3342122900000006E-2</v>
      </c>
      <c r="L2142">
        <v>7.1882817900000007E-2</v>
      </c>
      <c r="M2142">
        <v>0.13070501470000001</v>
      </c>
      <c r="N2142">
        <v>0.16055153759999999</v>
      </c>
      <c r="O2142">
        <v>0.19952321219999999</v>
      </c>
      <c r="P2142">
        <v>0.22220652199999999</v>
      </c>
      <c r="Q2142">
        <v>0.58776840910000006</v>
      </c>
      <c r="R2142">
        <v>0.22058619339999999</v>
      </c>
      <c r="S2142">
        <v>0.17069255250000001</v>
      </c>
      <c r="T2142">
        <v>5.8501936599999999E-2</v>
      </c>
      <c r="U2142">
        <v>8.9826062299999995E-2</v>
      </c>
      <c r="V2142">
        <v>0.1165627407</v>
      </c>
      <c r="W2142">
        <v>0.16642460579999999</v>
      </c>
      <c r="X2142">
        <v>0.17673410489999999</v>
      </c>
      <c r="Y2142">
        <v>0.1750924572</v>
      </c>
      <c r="Z2142">
        <v>0.1486056694</v>
      </c>
      <c r="AA2142">
        <v>0.17392836079999999</v>
      </c>
      <c r="AB2142">
        <v>0.13560701119999999</v>
      </c>
    </row>
    <row r="2143" spans="1:28" x14ac:dyDescent="0.25">
      <c r="A2143" t="s">
        <v>408</v>
      </c>
      <c r="B2143" t="s">
        <v>429</v>
      </c>
      <c r="C2143">
        <v>34</v>
      </c>
      <c r="D2143" t="s">
        <v>4</v>
      </c>
      <c r="E2143">
        <v>1.4540040000000001E-2</v>
      </c>
      <c r="F2143">
        <v>1.214898E-2</v>
      </c>
      <c r="G2143">
        <v>1.1583599999999999E-2</v>
      </c>
      <c r="H2143">
        <v>1.055247E-2</v>
      </c>
      <c r="I2143">
        <v>1.046823E-2</v>
      </c>
      <c r="J2143">
        <v>1.7730630000000001E-2</v>
      </c>
      <c r="K2143">
        <v>1.7468129999999998E-2</v>
      </c>
      <c r="L2143">
        <v>1.391712E-2</v>
      </c>
      <c r="M2143">
        <v>2.0608560000000001E-2</v>
      </c>
      <c r="N2143">
        <v>2.497986E-2</v>
      </c>
      <c r="O2143">
        <v>3.0780180000000001E-2</v>
      </c>
      <c r="P2143">
        <v>3.5577690000000002E-2</v>
      </c>
      <c r="Q2143">
        <v>3.7918170000000001E-2</v>
      </c>
      <c r="R2143">
        <v>3.190233E-2</v>
      </c>
      <c r="S2143">
        <v>2.7564780000000001E-2</v>
      </c>
      <c r="T2143">
        <v>2.3788589999999998E-2</v>
      </c>
      <c r="U2143">
        <v>2.4771720000000001E-2</v>
      </c>
      <c r="V2143">
        <v>2.2567529999999999E-2</v>
      </c>
      <c r="W2143">
        <v>2.6240550000000001E-2</v>
      </c>
      <c r="X2143">
        <v>2.7497669999999998E-2</v>
      </c>
      <c r="Y2143">
        <v>2.7011279999999999E-2</v>
      </c>
      <c r="Z2143">
        <v>2.3793390000000001E-2</v>
      </c>
      <c r="AA2143">
        <v>2.5154429999999998E-2</v>
      </c>
      <c r="AB2143">
        <v>2.1898890000000001E-2</v>
      </c>
    </row>
    <row r="2144" spans="1:28" x14ac:dyDescent="0.25">
      <c r="A2144" t="s">
        <v>408</v>
      </c>
      <c r="B2144" t="s">
        <v>430</v>
      </c>
      <c r="C2144">
        <v>34</v>
      </c>
      <c r="D2144" t="s">
        <v>2</v>
      </c>
      <c r="E2144">
        <v>4.7480151700000004</v>
      </c>
      <c r="F2144">
        <v>4.7244907300000003</v>
      </c>
      <c r="G2144">
        <v>4.6896240799999998</v>
      </c>
      <c r="H2144">
        <v>4.7872536099999996</v>
      </c>
      <c r="I2144">
        <v>4.6513507900000004</v>
      </c>
      <c r="J2144">
        <v>4.6917852399999997</v>
      </c>
      <c r="K2144">
        <v>4.5948191899999999</v>
      </c>
      <c r="L2144">
        <v>4.6754688700000004</v>
      </c>
      <c r="M2144">
        <v>4.3713263400000004</v>
      </c>
      <c r="N2144">
        <v>4.2992262400000003</v>
      </c>
      <c r="O2144">
        <v>4.42193609</v>
      </c>
      <c r="P2144">
        <v>4.4568347499999996</v>
      </c>
      <c r="Q2144">
        <v>4.14844071</v>
      </c>
      <c r="R2144">
        <v>4.5436255000000001</v>
      </c>
      <c r="S2144">
        <v>4.7415093800000001</v>
      </c>
      <c r="T2144">
        <v>4.8314157700000004</v>
      </c>
      <c r="U2144">
        <v>5.1153231300000002</v>
      </c>
      <c r="V2144">
        <v>5.1180100299999998</v>
      </c>
      <c r="W2144">
        <v>5.4516298900000004</v>
      </c>
      <c r="X2144">
        <v>5.5539842899999998</v>
      </c>
      <c r="Y2144">
        <v>5.44087356</v>
      </c>
      <c r="Z2144">
        <v>5.14800243</v>
      </c>
      <c r="AA2144">
        <v>4.9780632799999998</v>
      </c>
      <c r="AB2144">
        <v>5.0152123399999997</v>
      </c>
    </row>
    <row r="2145" spans="1:28" x14ac:dyDescent="0.25">
      <c r="A2145" t="s">
        <v>408</v>
      </c>
      <c r="B2145" t="s">
        <v>430</v>
      </c>
      <c r="C2145">
        <v>34</v>
      </c>
      <c r="D2145" t="s">
        <v>3</v>
      </c>
      <c r="E2145">
        <v>0.1163283197</v>
      </c>
      <c r="F2145">
        <v>2.1128775700000001E-2</v>
      </c>
      <c r="G2145">
        <v>0.1069604938</v>
      </c>
      <c r="H2145">
        <v>6.4231743499999994E-2</v>
      </c>
      <c r="I2145">
        <v>0.1120441276</v>
      </c>
      <c r="J2145">
        <v>0.17054516980000001</v>
      </c>
      <c r="K2145">
        <v>0.1027628062</v>
      </c>
      <c r="L2145">
        <v>0</v>
      </c>
      <c r="M2145">
        <v>2.7647247999999999E-2</v>
      </c>
      <c r="N2145">
        <v>6.3773395600000005E-2</v>
      </c>
      <c r="O2145">
        <v>0.173629753</v>
      </c>
      <c r="P2145">
        <v>0.32014495189999997</v>
      </c>
      <c r="Q2145">
        <v>0.4667490889</v>
      </c>
      <c r="R2145">
        <v>0.3388919332</v>
      </c>
      <c r="S2145">
        <v>0.40285668159999999</v>
      </c>
      <c r="T2145">
        <v>0.55098270110000003</v>
      </c>
      <c r="U2145">
        <v>0.8003559213</v>
      </c>
      <c r="V2145">
        <v>0.87400771369999997</v>
      </c>
      <c r="W2145">
        <v>0.59023945050000004</v>
      </c>
      <c r="X2145">
        <v>0.49763252130000002</v>
      </c>
      <c r="Y2145">
        <v>0.37999651379999999</v>
      </c>
      <c r="Z2145">
        <v>0.37410149970000001</v>
      </c>
      <c r="AA2145">
        <v>0.26650782880000001</v>
      </c>
      <c r="AB2145">
        <v>0.1982008801</v>
      </c>
    </row>
    <row r="2146" spans="1:28" x14ac:dyDescent="0.25">
      <c r="A2146" t="s">
        <v>408</v>
      </c>
      <c r="B2146" t="s">
        <v>430</v>
      </c>
      <c r="C2146">
        <v>34</v>
      </c>
      <c r="D2146" t="s">
        <v>4</v>
      </c>
      <c r="E2146">
        <v>0.14684583000000001</v>
      </c>
      <c r="F2146">
        <v>0.14611826999999999</v>
      </c>
      <c r="G2146">
        <v>0.14503991999999999</v>
      </c>
      <c r="H2146">
        <v>0.14805939000000001</v>
      </c>
      <c r="I2146">
        <v>0.14385621000000001</v>
      </c>
      <c r="J2146">
        <v>0.14510676</v>
      </c>
      <c r="K2146">
        <v>0.14210781</v>
      </c>
      <c r="L2146">
        <v>0.14460213</v>
      </c>
      <c r="M2146">
        <v>0.13519566</v>
      </c>
      <c r="N2146">
        <v>0.13296575999999999</v>
      </c>
      <c r="O2146">
        <v>0.13676091000000001</v>
      </c>
      <c r="P2146">
        <v>0.13784025</v>
      </c>
      <c r="Q2146">
        <v>0.12830229000000001</v>
      </c>
      <c r="R2146">
        <v>0.1405245</v>
      </c>
      <c r="S2146">
        <v>0.14664462</v>
      </c>
      <c r="T2146">
        <v>0.14942522999999999</v>
      </c>
      <c r="U2146">
        <v>0.15820587</v>
      </c>
      <c r="V2146">
        <v>0.15828897</v>
      </c>
      <c r="W2146">
        <v>0.16860711</v>
      </c>
      <c r="X2146">
        <v>0.17177271</v>
      </c>
      <c r="Y2146">
        <v>0.16827444</v>
      </c>
      <c r="Z2146">
        <v>0.15921657</v>
      </c>
      <c r="AA2146">
        <v>0.15396072</v>
      </c>
      <c r="AB2146">
        <v>0.15510966000000001</v>
      </c>
    </row>
    <row r="2147" spans="1:28" x14ac:dyDescent="0.25">
      <c r="A2147" t="s">
        <v>408</v>
      </c>
      <c r="B2147" t="s">
        <v>431</v>
      </c>
      <c r="C2147">
        <v>34</v>
      </c>
      <c r="D2147" t="s">
        <v>2</v>
      </c>
      <c r="E2147">
        <v>13.41101242</v>
      </c>
      <c r="F2147">
        <v>13.403873219999999</v>
      </c>
      <c r="G2147">
        <v>13.4147508</v>
      </c>
      <c r="H2147">
        <v>13.367041349999999</v>
      </c>
      <c r="I2147">
        <v>13.216288799999999</v>
      </c>
      <c r="J2147">
        <v>13.374968190000001</v>
      </c>
      <c r="K2147">
        <v>14.37381793</v>
      </c>
      <c r="L2147">
        <v>16.635780329999999</v>
      </c>
      <c r="M2147">
        <v>18.574682289999998</v>
      </c>
      <c r="N2147">
        <v>17.73535875</v>
      </c>
      <c r="O2147">
        <v>17.444016340000001</v>
      </c>
      <c r="P2147">
        <v>16.72216465</v>
      </c>
      <c r="Q2147">
        <v>16.839572480000001</v>
      </c>
      <c r="R2147">
        <v>18.249294819999999</v>
      </c>
      <c r="S2147">
        <v>18.69704003</v>
      </c>
      <c r="T2147">
        <v>20.51437189</v>
      </c>
      <c r="U2147">
        <v>18.39833823</v>
      </c>
      <c r="V2147">
        <v>15.4870103</v>
      </c>
      <c r="W2147">
        <v>14.140747299999999</v>
      </c>
      <c r="X2147">
        <v>14.024946760000001</v>
      </c>
      <c r="Y2147">
        <v>14.029575599999999</v>
      </c>
      <c r="Z2147">
        <v>13.590185</v>
      </c>
      <c r="AA2147">
        <v>13.57970124</v>
      </c>
      <c r="AB2147">
        <v>13.57956253</v>
      </c>
    </row>
    <row r="2148" spans="1:28" x14ac:dyDescent="0.25">
      <c r="A2148" t="s">
        <v>408</v>
      </c>
      <c r="B2148" t="s">
        <v>431</v>
      </c>
      <c r="C2148">
        <v>34</v>
      </c>
      <c r="D2148" t="s">
        <v>3</v>
      </c>
      <c r="E2148">
        <v>5.4273023196999999</v>
      </c>
      <c r="F2148">
        <v>5.3960942351999996</v>
      </c>
      <c r="G2148">
        <v>5.3586359049999999</v>
      </c>
      <c r="H2148">
        <v>5.0800605891000004</v>
      </c>
      <c r="I2148">
        <v>5.3435781895999996</v>
      </c>
      <c r="J2148">
        <v>5.8454774991000003</v>
      </c>
      <c r="K2148">
        <v>2.8023553300000001</v>
      </c>
      <c r="L2148">
        <v>2.6520576477</v>
      </c>
      <c r="M2148">
        <v>2.3396977537999999</v>
      </c>
      <c r="N2148">
        <v>2.4411096155999998</v>
      </c>
      <c r="O2148">
        <v>2.4462313485</v>
      </c>
      <c r="P2148">
        <v>2.4008571778999999</v>
      </c>
      <c r="Q2148">
        <v>2.2950565665</v>
      </c>
      <c r="R2148">
        <v>2.4131907574999998</v>
      </c>
      <c r="S2148">
        <v>2.4767480335999998</v>
      </c>
      <c r="T2148">
        <v>2.4100005222999998</v>
      </c>
      <c r="U2148">
        <v>2.2889025064999999</v>
      </c>
      <c r="V2148">
        <v>2.3141060727</v>
      </c>
      <c r="W2148">
        <v>4.7276435790000004</v>
      </c>
      <c r="X2148">
        <v>5.6770606399999997</v>
      </c>
      <c r="Y2148">
        <v>5.6984978463999996</v>
      </c>
      <c r="Z2148">
        <v>5.4791305150999996</v>
      </c>
      <c r="AA2148">
        <v>5.4749037962999996</v>
      </c>
      <c r="AB2148">
        <v>5.4507518368000003</v>
      </c>
    </row>
    <row r="2149" spans="1:28" x14ac:dyDescent="0.25">
      <c r="A2149" t="s">
        <v>408</v>
      </c>
      <c r="B2149" t="s">
        <v>431</v>
      </c>
      <c r="C2149">
        <v>34</v>
      </c>
      <c r="D2149" t="s">
        <v>4</v>
      </c>
      <c r="E2149">
        <v>0.41477357999999998</v>
      </c>
      <c r="F2149">
        <v>0.41455278000000001</v>
      </c>
      <c r="G2149">
        <v>0.41488920000000001</v>
      </c>
      <c r="H2149">
        <v>0.41341365000000002</v>
      </c>
      <c r="I2149">
        <v>0.40875119999999998</v>
      </c>
      <c r="J2149">
        <v>0.41365880999999999</v>
      </c>
      <c r="K2149">
        <v>0.44455106999999999</v>
      </c>
      <c r="L2149">
        <v>0.51450867</v>
      </c>
      <c r="M2149">
        <v>0.57447471000000006</v>
      </c>
      <c r="N2149">
        <v>0.54851625000000004</v>
      </c>
      <c r="O2149">
        <v>0.53950566</v>
      </c>
      <c r="P2149">
        <v>0.51718034999999996</v>
      </c>
      <c r="Q2149">
        <v>0.52081151999999997</v>
      </c>
      <c r="R2149">
        <v>0.56441118000000001</v>
      </c>
      <c r="S2149">
        <v>0.57825897000000004</v>
      </c>
      <c r="T2149">
        <v>0.63446511000000005</v>
      </c>
      <c r="U2149">
        <v>0.56902076999999995</v>
      </c>
      <c r="V2149">
        <v>0.47897970000000001</v>
      </c>
      <c r="W2149">
        <v>0.43734269999999997</v>
      </c>
      <c r="X2149">
        <v>0.43376123999999999</v>
      </c>
      <c r="Y2149">
        <v>0.43390440000000002</v>
      </c>
      <c r="Z2149">
        <v>0.42031499999999999</v>
      </c>
      <c r="AA2149">
        <v>0.41999076000000002</v>
      </c>
      <c r="AB2149">
        <v>0.41998647</v>
      </c>
    </row>
    <row r="2150" spans="1:28" hidden="1" x14ac:dyDescent="0.25">
      <c r="A2150" t="s">
        <v>408</v>
      </c>
      <c r="B2150" t="s">
        <v>432</v>
      </c>
      <c r="C2150">
        <v>115</v>
      </c>
      <c r="D2150" t="s">
        <v>2</v>
      </c>
      <c r="E2150">
        <v>8.3614404199999992</v>
      </c>
      <c r="F2150">
        <v>7.9506914799999997</v>
      </c>
      <c r="G2150">
        <v>7.4458710999999997</v>
      </c>
      <c r="H2150">
        <v>7.3159121699999998</v>
      </c>
      <c r="I2150">
        <v>7.3064482899999996</v>
      </c>
      <c r="J2150">
        <v>7.9250036650000002</v>
      </c>
      <c r="K2150">
        <v>7.533556785</v>
      </c>
      <c r="L2150">
        <v>7.50058588</v>
      </c>
      <c r="M2150">
        <v>7.9822026150000003</v>
      </c>
      <c r="N2150">
        <v>8.5463091599999998</v>
      </c>
      <c r="O2150">
        <v>9.37250549</v>
      </c>
      <c r="P2150">
        <v>10.16460112</v>
      </c>
      <c r="Q2150">
        <v>10.63779512</v>
      </c>
      <c r="R2150">
        <v>10.768902560000001</v>
      </c>
      <c r="S2150">
        <v>11.107353485000001</v>
      </c>
      <c r="T2150">
        <v>11.070065325</v>
      </c>
      <c r="U2150">
        <v>11.2158601</v>
      </c>
      <c r="V2150">
        <v>11.22530034</v>
      </c>
      <c r="W2150">
        <v>12.79877677</v>
      </c>
      <c r="X2150">
        <v>13.219888895</v>
      </c>
      <c r="Y2150">
        <v>12.929432094999999</v>
      </c>
      <c r="Z2150">
        <v>11.87311317</v>
      </c>
      <c r="AA2150">
        <v>10.69496846</v>
      </c>
      <c r="AB2150">
        <v>9.460553655</v>
      </c>
    </row>
    <row r="2151" spans="1:28" hidden="1" x14ac:dyDescent="0.25">
      <c r="A2151" t="s">
        <v>408</v>
      </c>
      <c r="B2151" t="s">
        <v>432</v>
      </c>
      <c r="C2151">
        <v>115</v>
      </c>
      <c r="D2151" t="s">
        <v>3</v>
      </c>
      <c r="E2151">
        <v>2.1126977899999999</v>
      </c>
      <c r="F2151">
        <v>2.0547530797000002</v>
      </c>
      <c r="G2151">
        <v>2.0595298873000001</v>
      </c>
      <c r="H2151">
        <v>2.0019261321999999</v>
      </c>
      <c r="I2151">
        <v>1.9648818512999999</v>
      </c>
      <c r="J2151">
        <v>1.9903472503999999</v>
      </c>
      <c r="K2151">
        <v>2.0522618917000002</v>
      </c>
      <c r="L2151">
        <v>2.1238794331999999</v>
      </c>
      <c r="M2151">
        <v>2.2982999800999999</v>
      </c>
      <c r="N2151">
        <v>2.4348616635</v>
      </c>
      <c r="O2151">
        <v>2.6517053626</v>
      </c>
      <c r="P2151">
        <v>2.9191075431</v>
      </c>
      <c r="Q2151">
        <v>2.9936153368</v>
      </c>
      <c r="R2151">
        <v>3.0292233733999998</v>
      </c>
      <c r="S2151">
        <v>3.0588180528</v>
      </c>
      <c r="T2151">
        <v>3.0056972761999998</v>
      </c>
      <c r="U2151">
        <v>3.0420641973000002</v>
      </c>
      <c r="V2151">
        <v>2.9286846651</v>
      </c>
      <c r="W2151">
        <v>2.8178827092000001</v>
      </c>
      <c r="X2151">
        <v>2.7440108036000002</v>
      </c>
      <c r="Y2151">
        <v>2.6002957019999999</v>
      </c>
      <c r="Z2151">
        <v>2.4134223696000001</v>
      </c>
      <c r="AA2151">
        <v>2.3316475435999999</v>
      </c>
      <c r="AB2151">
        <v>2.2035617208999998</v>
      </c>
    </row>
    <row r="2152" spans="1:28" hidden="1" x14ac:dyDescent="0.25">
      <c r="A2152" t="s">
        <v>408</v>
      </c>
      <c r="B2152" t="s">
        <v>432</v>
      </c>
      <c r="C2152">
        <v>115</v>
      </c>
      <c r="D2152" t="s">
        <v>4</v>
      </c>
      <c r="E2152">
        <v>0.12733158</v>
      </c>
      <c r="F2152">
        <v>0.12107652000000001</v>
      </c>
      <c r="G2152">
        <v>0.1133889</v>
      </c>
      <c r="H2152">
        <v>0.11140983</v>
      </c>
      <c r="I2152">
        <v>0.11126571</v>
      </c>
      <c r="J2152">
        <v>0.120685335</v>
      </c>
      <c r="K2152">
        <v>0.114724215</v>
      </c>
      <c r="L2152">
        <v>0.11422212</v>
      </c>
      <c r="M2152">
        <v>0.121556385</v>
      </c>
      <c r="N2152">
        <v>0.13014684000000001</v>
      </c>
      <c r="O2152">
        <v>0.14272851</v>
      </c>
      <c r="P2152">
        <v>0.15479087999999999</v>
      </c>
      <c r="Q2152">
        <v>0.16199688000000001</v>
      </c>
      <c r="R2152">
        <v>0.16399343999999999</v>
      </c>
      <c r="S2152">
        <v>0.169147515</v>
      </c>
      <c r="T2152">
        <v>0.16857967500000001</v>
      </c>
      <c r="U2152">
        <v>0.1707999</v>
      </c>
      <c r="V2152">
        <v>0.17094366</v>
      </c>
      <c r="W2152">
        <v>0.19490523000000001</v>
      </c>
      <c r="X2152">
        <v>0.201318105</v>
      </c>
      <c r="Y2152">
        <v>0.19689490500000001</v>
      </c>
      <c r="Z2152">
        <v>0.18080883</v>
      </c>
      <c r="AA2152">
        <v>0.16286754000000001</v>
      </c>
      <c r="AB2152">
        <v>0.14406934499999999</v>
      </c>
    </row>
    <row r="2153" spans="1:28" hidden="1" x14ac:dyDescent="0.25">
      <c r="A2153" t="s">
        <v>408</v>
      </c>
      <c r="B2153" t="s">
        <v>433</v>
      </c>
      <c r="C2153">
        <v>115</v>
      </c>
      <c r="D2153" t="s">
        <v>2</v>
      </c>
      <c r="E2153">
        <v>8.8416298900000001</v>
      </c>
      <c r="F2153">
        <v>8.43641665</v>
      </c>
      <c r="G2153">
        <v>8.0672534250000005</v>
      </c>
      <c r="H2153">
        <v>7.931567705</v>
      </c>
      <c r="I2153">
        <v>8.0771024400000009</v>
      </c>
      <c r="J2153">
        <v>8.5648251900000005</v>
      </c>
      <c r="K2153">
        <v>8.2040679549999993</v>
      </c>
      <c r="L2153">
        <v>8.1191333750000005</v>
      </c>
      <c r="M2153">
        <v>8.1647014450000004</v>
      </c>
      <c r="N2153">
        <v>8.4580265650000008</v>
      </c>
      <c r="O2153">
        <v>8.9423303799999996</v>
      </c>
      <c r="P2153">
        <v>9.5254907650000007</v>
      </c>
      <c r="Q2153">
        <v>9.8766314449999992</v>
      </c>
      <c r="R2153">
        <v>10.192958285</v>
      </c>
      <c r="S2153">
        <v>10.495215385</v>
      </c>
      <c r="T2153">
        <v>10.610222015</v>
      </c>
      <c r="U2153">
        <v>10.880957145</v>
      </c>
      <c r="V2153">
        <v>11.20106343</v>
      </c>
      <c r="W2153">
        <v>12.817670055000001</v>
      </c>
      <c r="X2153">
        <v>13.488819505</v>
      </c>
      <c r="Y2153">
        <v>13.144545259999999</v>
      </c>
      <c r="Z2153">
        <v>11.921293459999999</v>
      </c>
      <c r="AA2153">
        <v>10.759241680000001</v>
      </c>
      <c r="AB2153">
        <v>9.7111642499999995</v>
      </c>
    </row>
    <row r="2154" spans="1:28" hidden="1" x14ac:dyDescent="0.25">
      <c r="A2154" t="s">
        <v>408</v>
      </c>
      <c r="B2154" t="s">
        <v>433</v>
      </c>
      <c r="C2154">
        <v>115</v>
      </c>
      <c r="D2154" t="s">
        <v>3</v>
      </c>
      <c r="E2154">
        <v>1.8510522689</v>
      </c>
      <c r="F2154">
        <v>1.8896882074000001</v>
      </c>
      <c r="G2154">
        <v>1.8370184274000001</v>
      </c>
      <c r="H2154">
        <v>1.7338641053999999</v>
      </c>
      <c r="I2154">
        <v>1.7826483587999999</v>
      </c>
      <c r="J2154">
        <v>1.8009397378000001</v>
      </c>
      <c r="K2154">
        <v>1.9325290136</v>
      </c>
      <c r="L2154">
        <v>2.0223918787000001</v>
      </c>
      <c r="M2154">
        <v>2.2215250667999999</v>
      </c>
      <c r="N2154">
        <v>2.3656760837999999</v>
      </c>
      <c r="O2154">
        <v>2.6757821972000002</v>
      </c>
      <c r="P2154">
        <v>2.7411643368999998</v>
      </c>
      <c r="Q2154">
        <v>2.9500909447999999</v>
      </c>
      <c r="R2154">
        <v>3.0309756547000002</v>
      </c>
      <c r="S2154">
        <v>3.0296636118000002</v>
      </c>
      <c r="T2154">
        <v>2.9102882061000002</v>
      </c>
      <c r="U2154">
        <v>2.9306444850000002</v>
      </c>
      <c r="V2154">
        <v>2.7846504043999998</v>
      </c>
      <c r="W2154">
        <v>2.7621161914000001</v>
      </c>
      <c r="X2154">
        <v>2.7439583866000001</v>
      </c>
      <c r="Y2154">
        <v>2.5598399189999999</v>
      </c>
      <c r="Z2154">
        <v>2.2447456614000001</v>
      </c>
      <c r="AA2154">
        <v>2.0504855028</v>
      </c>
      <c r="AB2154">
        <v>1.9744752583</v>
      </c>
    </row>
    <row r="2155" spans="1:28" hidden="1" x14ac:dyDescent="0.25">
      <c r="A2155" t="s">
        <v>408</v>
      </c>
      <c r="B2155" t="s">
        <v>433</v>
      </c>
      <c r="C2155">
        <v>115</v>
      </c>
      <c r="D2155" t="s">
        <v>4</v>
      </c>
      <c r="E2155">
        <v>0.13464411000000001</v>
      </c>
      <c r="F2155">
        <v>0.12847334999999999</v>
      </c>
      <c r="G2155">
        <v>0.122851575</v>
      </c>
      <c r="H2155">
        <v>0.120785295</v>
      </c>
      <c r="I2155">
        <v>0.12300156</v>
      </c>
      <c r="J2155">
        <v>0.13042881000000001</v>
      </c>
      <c r="K2155">
        <v>0.12493504499999999</v>
      </c>
      <c r="L2155">
        <v>0.123641625</v>
      </c>
      <c r="M2155">
        <v>0.124335555</v>
      </c>
      <c r="N2155">
        <v>0.12880243499999999</v>
      </c>
      <c r="O2155">
        <v>0.13617762</v>
      </c>
      <c r="P2155">
        <v>0.14505823500000001</v>
      </c>
      <c r="Q2155">
        <v>0.150405555</v>
      </c>
      <c r="R2155">
        <v>0.15522271500000001</v>
      </c>
      <c r="S2155">
        <v>0.159825615</v>
      </c>
      <c r="T2155">
        <v>0.16157698500000001</v>
      </c>
      <c r="U2155">
        <v>0.16569985500000001</v>
      </c>
      <c r="V2155">
        <v>0.17057457000000001</v>
      </c>
      <c r="W2155">
        <v>0.19519294500000001</v>
      </c>
      <c r="X2155">
        <v>0.205413495</v>
      </c>
      <c r="Y2155">
        <v>0.20017074000000001</v>
      </c>
      <c r="Z2155">
        <v>0.18154254</v>
      </c>
      <c r="AA2155">
        <v>0.16384631999999999</v>
      </c>
      <c r="AB2155">
        <v>0.14788575000000001</v>
      </c>
    </row>
    <row r="2156" spans="1:28" x14ac:dyDescent="0.25">
      <c r="A2156" t="s">
        <v>408</v>
      </c>
      <c r="B2156" t="s">
        <v>434</v>
      </c>
      <c r="C2156">
        <v>115</v>
      </c>
      <c r="D2156" t="s">
        <v>2</v>
      </c>
      <c r="E2156">
        <v>0.83474809999999999</v>
      </c>
      <c r="F2156">
        <v>0.79778302000000001</v>
      </c>
      <c r="G2156">
        <v>0.79815436500000003</v>
      </c>
      <c r="H2156">
        <v>0.79955306500000001</v>
      </c>
      <c r="I2156">
        <v>0.80287645500000004</v>
      </c>
      <c r="J2156">
        <v>0.80183727999999999</v>
      </c>
      <c r="K2156">
        <v>0.98914290999999999</v>
      </c>
      <c r="L2156">
        <v>1.223164135</v>
      </c>
      <c r="M2156">
        <v>1.302758045</v>
      </c>
      <c r="N2156">
        <v>1.338476115</v>
      </c>
      <c r="O2156">
        <v>1.4849869849999999</v>
      </c>
      <c r="P2156">
        <v>1.550377195</v>
      </c>
      <c r="Q2156">
        <v>1.36208164</v>
      </c>
      <c r="R2156">
        <v>1.499988535</v>
      </c>
      <c r="S2156">
        <v>1.56654794</v>
      </c>
      <c r="T2156">
        <v>1.5283043300000001</v>
      </c>
      <c r="U2156">
        <v>1.411379905</v>
      </c>
      <c r="V2156">
        <v>1.1460750799999999</v>
      </c>
      <c r="W2156">
        <v>1.1752054700000001</v>
      </c>
      <c r="X2156">
        <v>1.12951132</v>
      </c>
      <c r="Y2156">
        <v>1.0491481250000001</v>
      </c>
      <c r="Z2156">
        <v>0.92231755500000001</v>
      </c>
      <c r="AA2156">
        <v>0.87089464500000002</v>
      </c>
      <c r="AB2156">
        <v>0.87117044499999996</v>
      </c>
    </row>
    <row r="2157" spans="1:28" x14ac:dyDescent="0.25">
      <c r="A2157" t="s">
        <v>408</v>
      </c>
      <c r="B2157" t="s">
        <v>434</v>
      </c>
      <c r="C2157">
        <v>115</v>
      </c>
      <c r="D2157" t="s">
        <v>3</v>
      </c>
      <c r="E2157">
        <v>0.1730088155</v>
      </c>
      <c r="F2157">
        <v>0.16274660429999999</v>
      </c>
      <c r="G2157">
        <v>0.17631111290000001</v>
      </c>
      <c r="H2157">
        <v>0.1833526325</v>
      </c>
      <c r="I2157">
        <v>0.1672676528</v>
      </c>
      <c r="J2157">
        <v>0.13688151400000001</v>
      </c>
      <c r="K2157">
        <v>0.2308514582</v>
      </c>
      <c r="L2157">
        <v>0.34216305759999999</v>
      </c>
      <c r="M2157">
        <v>0.40763888510000001</v>
      </c>
      <c r="N2157">
        <v>0.41585499390000003</v>
      </c>
      <c r="O2157">
        <v>0.48502845789999999</v>
      </c>
      <c r="P2157">
        <v>0.50980437489999997</v>
      </c>
      <c r="Q2157">
        <v>0.393671985</v>
      </c>
      <c r="R2157">
        <v>0.45850699890000002</v>
      </c>
      <c r="S2157">
        <v>0.50707456579999999</v>
      </c>
      <c r="T2157">
        <v>0.48741992490000002</v>
      </c>
      <c r="U2157">
        <v>0.43735702669999998</v>
      </c>
      <c r="V2157">
        <v>0.30349370730000003</v>
      </c>
      <c r="W2157">
        <v>0.26587886550000001</v>
      </c>
      <c r="X2157">
        <v>0.25928414329999999</v>
      </c>
      <c r="Y2157">
        <v>0.22430588309999999</v>
      </c>
      <c r="Z2157">
        <v>0.18333883370000001</v>
      </c>
      <c r="AA2157">
        <v>0.1700278472</v>
      </c>
      <c r="AB2157">
        <v>0.18794725900000001</v>
      </c>
    </row>
    <row r="2158" spans="1:28" x14ac:dyDescent="0.25">
      <c r="A2158" t="s">
        <v>408</v>
      </c>
      <c r="B2158" t="s">
        <v>434</v>
      </c>
      <c r="C2158">
        <v>115</v>
      </c>
      <c r="D2158" t="s">
        <v>4</v>
      </c>
      <c r="E2158">
        <v>1.27119E-2</v>
      </c>
      <c r="F2158">
        <v>1.214898E-2</v>
      </c>
      <c r="G2158">
        <v>1.2154635E-2</v>
      </c>
      <c r="H2158">
        <v>1.2175935000000001E-2</v>
      </c>
      <c r="I2158">
        <v>1.2226545E-2</v>
      </c>
      <c r="J2158">
        <v>1.221072E-2</v>
      </c>
      <c r="K2158">
        <v>1.5063089999999999E-2</v>
      </c>
      <c r="L2158">
        <v>1.8626864999999999E-2</v>
      </c>
      <c r="M2158">
        <v>1.9838954999999998E-2</v>
      </c>
      <c r="N2158">
        <v>2.0382885E-2</v>
      </c>
      <c r="O2158">
        <v>2.2614015000000001E-2</v>
      </c>
      <c r="P2158">
        <v>2.3609805000000001E-2</v>
      </c>
      <c r="Q2158">
        <v>2.0742360000000001E-2</v>
      </c>
      <c r="R2158">
        <v>2.2842464999999999E-2</v>
      </c>
      <c r="S2158">
        <v>2.3856059999999998E-2</v>
      </c>
      <c r="T2158">
        <v>2.327367E-2</v>
      </c>
      <c r="U2158">
        <v>2.1493095E-2</v>
      </c>
      <c r="V2158">
        <v>1.745292E-2</v>
      </c>
      <c r="W2158">
        <v>1.7896530000000001E-2</v>
      </c>
      <c r="X2158">
        <v>1.7200679999999999E-2</v>
      </c>
      <c r="Y2158">
        <v>1.5976875000000001E-2</v>
      </c>
      <c r="Z2158">
        <v>1.4045445E-2</v>
      </c>
      <c r="AA2158">
        <v>1.3262355E-2</v>
      </c>
      <c r="AB2158">
        <v>1.3266554999999999E-2</v>
      </c>
    </row>
    <row r="2159" spans="1:28" x14ac:dyDescent="0.25">
      <c r="A2159" t="s">
        <v>408</v>
      </c>
      <c r="B2159" t="s">
        <v>435</v>
      </c>
      <c r="C2159">
        <v>34</v>
      </c>
      <c r="D2159" t="s">
        <v>2</v>
      </c>
      <c r="E2159">
        <v>2.8372626099999998</v>
      </c>
      <c r="F2159">
        <v>2.79247383</v>
      </c>
      <c r="G2159">
        <v>2.7668250900000002</v>
      </c>
      <c r="H2159">
        <v>2.7348238199999999</v>
      </c>
      <c r="I2159">
        <v>2.73422242</v>
      </c>
      <c r="J2159">
        <v>2.7745084599999998</v>
      </c>
      <c r="K2159">
        <v>2.83492685</v>
      </c>
      <c r="L2159">
        <v>3.1060040199999999</v>
      </c>
      <c r="M2159">
        <v>3.1879438000000002</v>
      </c>
      <c r="N2159">
        <v>3.1802497600000001</v>
      </c>
      <c r="O2159">
        <v>3.4151042199999999</v>
      </c>
      <c r="P2159">
        <v>3.5353541499999999</v>
      </c>
      <c r="Q2159">
        <v>3.2835499100000001</v>
      </c>
      <c r="R2159">
        <v>3.6056064000000001</v>
      </c>
      <c r="S2159">
        <v>3.74005616</v>
      </c>
      <c r="T2159">
        <v>3.7392694899999999</v>
      </c>
      <c r="U2159">
        <v>3.5975534599999999</v>
      </c>
      <c r="V2159">
        <v>3.2767540899999998</v>
      </c>
      <c r="W2159">
        <v>3.4644830400000002</v>
      </c>
      <c r="X2159">
        <v>3.5071824399999998</v>
      </c>
      <c r="Y2159">
        <v>3.61238379</v>
      </c>
      <c r="Z2159">
        <v>3.4297424900000002</v>
      </c>
      <c r="AA2159">
        <v>3.22165809</v>
      </c>
      <c r="AB2159">
        <v>3.0467341100000001</v>
      </c>
    </row>
    <row r="2160" spans="1:28" x14ac:dyDescent="0.25">
      <c r="A2160" t="s">
        <v>408</v>
      </c>
      <c r="B2160" t="s">
        <v>435</v>
      </c>
      <c r="C2160">
        <v>34</v>
      </c>
      <c r="D2160" t="s">
        <v>3</v>
      </c>
      <c r="E2160">
        <v>0.37912889049999998</v>
      </c>
      <c r="F2160">
        <v>0.63865554420000004</v>
      </c>
      <c r="G2160">
        <v>0.49045141510000001</v>
      </c>
      <c r="H2160">
        <v>0.44305474280000001</v>
      </c>
      <c r="I2160">
        <v>0.43890458389999998</v>
      </c>
      <c r="J2160">
        <v>0.3557431767</v>
      </c>
      <c r="K2160">
        <v>0.4237976114</v>
      </c>
      <c r="L2160">
        <v>0.46022373080000001</v>
      </c>
      <c r="M2160">
        <v>0.44892472480000001</v>
      </c>
      <c r="N2160">
        <v>0.4080207032</v>
      </c>
      <c r="O2160">
        <v>0.40884718170000001</v>
      </c>
      <c r="P2160">
        <v>0.27123011720000001</v>
      </c>
      <c r="Q2160">
        <v>0.13142086189999999</v>
      </c>
      <c r="R2160">
        <v>0.29631900839999997</v>
      </c>
      <c r="S2160">
        <v>0.32086934179999999</v>
      </c>
      <c r="T2160">
        <v>0.27584853069999998</v>
      </c>
      <c r="U2160">
        <v>7.0138862400000002E-2</v>
      </c>
      <c r="V2160">
        <v>0.12441119790000001</v>
      </c>
      <c r="W2160">
        <v>0.16483926460000001</v>
      </c>
      <c r="X2160">
        <v>0.23249277469999999</v>
      </c>
      <c r="Y2160">
        <v>0.2864852819</v>
      </c>
      <c r="Z2160">
        <v>0.27847344880000002</v>
      </c>
      <c r="AA2160">
        <v>0.2207828818</v>
      </c>
      <c r="AB2160">
        <v>0.35871954029999997</v>
      </c>
    </row>
    <row r="2161" spans="1:28" x14ac:dyDescent="0.25">
      <c r="A2161" t="s">
        <v>408</v>
      </c>
      <c r="B2161" t="s">
        <v>435</v>
      </c>
      <c r="C2161">
        <v>34</v>
      </c>
      <c r="D2161" t="s">
        <v>4</v>
      </c>
      <c r="E2161">
        <v>8.7750389999999998E-2</v>
      </c>
      <c r="F2161">
        <v>8.6365170000000005E-2</v>
      </c>
      <c r="G2161">
        <v>8.5571910000000001E-2</v>
      </c>
      <c r="H2161">
        <v>8.4582180000000007E-2</v>
      </c>
      <c r="I2161">
        <v>8.4563579999999999E-2</v>
      </c>
      <c r="J2161">
        <v>8.5809540000000004E-2</v>
      </c>
      <c r="K2161">
        <v>8.7678149999999996E-2</v>
      </c>
      <c r="L2161">
        <v>9.6061980000000005E-2</v>
      </c>
      <c r="M2161">
        <v>9.8596199999999995E-2</v>
      </c>
      <c r="N2161">
        <v>9.835824E-2</v>
      </c>
      <c r="O2161">
        <v>0.10562178</v>
      </c>
      <c r="P2161">
        <v>0.10934085</v>
      </c>
      <c r="Q2161">
        <v>0.10155309</v>
      </c>
      <c r="R2161">
        <v>0.1115136</v>
      </c>
      <c r="S2161">
        <v>0.11567184</v>
      </c>
      <c r="T2161">
        <v>0.11564751</v>
      </c>
      <c r="U2161">
        <v>0.11126454</v>
      </c>
      <c r="V2161">
        <v>0.10134290999999999</v>
      </c>
      <c r="W2161">
        <v>0.10714896</v>
      </c>
      <c r="X2161">
        <v>0.10846956000000001</v>
      </c>
      <c r="Y2161">
        <v>0.11172321</v>
      </c>
      <c r="Z2161">
        <v>0.10607451</v>
      </c>
      <c r="AA2161">
        <v>9.9638909999999997E-2</v>
      </c>
      <c r="AB2161">
        <v>9.4228889999999996E-2</v>
      </c>
    </row>
    <row r="2162" spans="1:28" x14ac:dyDescent="0.25">
      <c r="A2162" t="s">
        <v>408</v>
      </c>
      <c r="B2162" t="s">
        <v>436</v>
      </c>
      <c r="C2162">
        <v>34</v>
      </c>
      <c r="D2162" t="s">
        <v>2</v>
      </c>
      <c r="E2162">
        <v>1.66056822</v>
      </c>
      <c r="F2162">
        <v>1.65410608</v>
      </c>
      <c r="G2162">
        <v>1.6801408799999999</v>
      </c>
      <c r="H2162">
        <v>1.7164828999999999</v>
      </c>
      <c r="I2162">
        <v>1.72938196</v>
      </c>
      <c r="J2162">
        <v>1.82263</v>
      </c>
      <c r="K2162">
        <v>1.7298785999999999</v>
      </c>
      <c r="L2162">
        <v>1.48715065</v>
      </c>
      <c r="M2162">
        <v>1.2718601199999999</v>
      </c>
      <c r="N2162">
        <v>1.1554348999999999</v>
      </c>
      <c r="O2162">
        <v>1.0039305999999999</v>
      </c>
      <c r="P2162">
        <v>0.98471975</v>
      </c>
      <c r="Q2162">
        <v>1.0257303799999999</v>
      </c>
      <c r="R2162">
        <v>1.00034548</v>
      </c>
      <c r="S2162">
        <v>1.0500676799999999</v>
      </c>
      <c r="T2162">
        <v>1.0521900399999999</v>
      </c>
      <c r="U2162">
        <v>1.1172945000000001</v>
      </c>
      <c r="V2162">
        <v>1.2684205</v>
      </c>
      <c r="W2162">
        <v>1.4922208400000001</v>
      </c>
      <c r="X2162">
        <v>1.5360473800000001</v>
      </c>
      <c r="Y2162">
        <v>1.4828613100000001</v>
      </c>
      <c r="Z2162">
        <v>1.4979709999999999</v>
      </c>
      <c r="AA2162">
        <v>1.5981700599999999</v>
      </c>
      <c r="AB2162">
        <v>1.6864274500000001</v>
      </c>
    </row>
    <row r="2163" spans="1:28" x14ac:dyDescent="0.25">
      <c r="A2163" t="s">
        <v>408</v>
      </c>
      <c r="B2163" t="s">
        <v>436</v>
      </c>
      <c r="C2163">
        <v>34</v>
      </c>
      <c r="D2163" t="s">
        <v>3</v>
      </c>
      <c r="E2163">
        <v>4.1357301200000002E-2</v>
      </c>
      <c r="F2163">
        <v>0.67098981430000004</v>
      </c>
      <c r="G2163">
        <v>0.67030588300000005</v>
      </c>
      <c r="H2163">
        <v>0.82475622150000005</v>
      </c>
      <c r="I2163">
        <v>4.3071142600000001E-2</v>
      </c>
      <c r="J2163">
        <v>0.90696627090000004</v>
      </c>
      <c r="K2163">
        <v>0.36993129260000002</v>
      </c>
      <c r="L2163">
        <v>0.2848160951</v>
      </c>
      <c r="M2163">
        <v>0.60299773440000004</v>
      </c>
      <c r="N2163">
        <v>0.1706386469</v>
      </c>
      <c r="O2163">
        <v>0.13142354310000001</v>
      </c>
      <c r="P2163">
        <v>0.1196401686</v>
      </c>
      <c r="Q2163">
        <v>0.47474740630000001</v>
      </c>
      <c r="R2163">
        <v>0.40579116170000001</v>
      </c>
      <c r="S2163">
        <v>0.41893305009999998</v>
      </c>
      <c r="T2163">
        <v>0.29420908839999999</v>
      </c>
      <c r="U2163">
        <v>0.2469173321</v>
      </c>
      <c r="V2163">
        <v>0.4222418785</v>
      </c>
      <c r="W2163">
        <v>0.69586747869999999</v>
      </c>
      <c r="X2163">
        <v>0.70938677049999999</v>
      </c>
      <c r="Y2163">
        <v>0.2714884487</v>
      </c>
      <c r="Z2163">
        <v>0.28340198970000002</v>
      </c>
      <c r="AA2163">
        <v>0.29895763739999998</v>
      </c>
      <c r="AB2163">
        <v>0.32363118689999998</v>
      </c>
    </row>
    <row r="2164" spans="1:28" x14ac:dyDescent="0.25">
      <c r="A2164" t="s">
        <v>408</v>
      </c>
      <c r="B2164" t="s">
        <v>436</v>
      </c>
      <c r="C2164">
        <v>34</v>
      </c>
      <c r="D2164" t="s">
        <v>4</v>
      </c>
      <c r="E2164">
        <v>5.1357779999999999E-2</v>
      </c>
      <c r="F2164">
        <v>5.1157920000000003E-2</v>
      </c>
      <c r="G2164">
        <v>5.1963120000000002E-2</v>
      </c>
      <c r="H2164">
        <v>5.3087099999999998E-2</v>
      </c>
      <c r="I2164">
        <v>5.3486039999999999E-2</v>
      </c>
      <c r="J2164">
        <v>5.6370000000000003E-2</v>
      </c>
      <c r="K2164">
        <v>5.3501399999999998E-2</v>
      </c>
      <c r="L2164">
        <v>4.5994350000000003E-2</v>
      </c>
      <c r="M2164">
        <v>3.9335879999999997E-2</v>
      </c>
      <c r="N2164">
        <v>3.5735099999999999E-2</v>
      </c>
      <c r="O2164">
        <v>3.1049400000000001E-2</v>
      </c>
      <c r="P2164">
        <v>3.045525E-2</v>
      </c>
      <c r="Q2164">
        <v>3.1723620000000001E-2</v>
      </c>
      <c r="R2164">
        <v>3.0938520000000001E-2</v>
      </c>
      <c r="S2164">
        <v>3.2476320000000003E-2</v>
      </c>
      <c r="T2164">
        <v>3.2541960000000002E-2</v>
      </c>
      <c r="U2164">
        <v>3.4555500000000003E-2</v>
      </c>
      <c r="V2164">
        <v>3.92295E-2</v>
      </c>
      <c r="W2164">
        <v>4.6151159999999997E-2</v>
      </c>
      <c r="X2164">
        <v>4.7506619999999999E-2</v>
      </c>
      <c r="Y2164">
        <v>4.5861689999999997E-2</v>
      </c>
      <c r="Z2164">
        <v>4.6329000000000002E-2</v>
      </c>
      <c r="AA2164">
        <v>4.9427939999999997E-2</v>
      </c>
      <c r="AB2164">
        <v>5.2157549999999997E-2</v>
      </c>
    </row>
    <row r="2165" spans="1:28" hidden="1" x14ac:dyDescent="0.25">
      <c r="A2165" t="s">
        <v>408</v>
      </c>
      <c r="B2165" t="s">
        <v>437</v>
      </c>
      <c r="C2165">
        <v>115</v>
      </c>
      <c r="D2165" t="s">
        <v>2</v>
      </c>
      <c r="E2165">
        <v>4.9191510699999998</v>
      </c>
      <c r="F2165">
        <v>4.7704150849999998</v>
      </c>
      <c r="G2165">
        <v>4.6791144500000001</v>
      </c>
      <c r="H2165">
        <v>4.6747213500000004</v>
      </c>
      <c r="I2165">
        <v>4.8306872350000001</v>
      </c>
      <c r="J2165">
        <v>5.1762409949999997</v>
      </c>
      <c r="K2165">
        <v>5.2809701349999996</v>
      </c>
      <c r="L2165">
        <v>5.2102875199999996</v>
      </c>
      <c r="M2165">
        <v>4.8179600499999999</v>
      </c>
      <c r="N2165">
        <v>4.8213602699999996</v>
      </c>
      <c r="O2165">
        <v>4.9646876200000003</v>
      </c>
      <c r="P2165">
        <v>5.1954445549999999</v>
      </c>
      <c r="Q2165">
        <v>5.1339992700000003</v>
      </c>
      <c r="R2165">
        <v>5.3797045649999999</v>
      </c>
      <c r="S2165">
        <v>5.8548094649999998</v>
      </c>
      <c r="T2165">
        <v>6.0422135949999998</v>
      </c>
      <c r="U2165">
        <v>6.4451898999999999</v>
      </c>
      <c r="V2165">
        <v>6.7760376100000004</v>
      </c>
      <c r="W2165">
        <v>7.939246765</v>
      </c>
      <c r="X2165">
        <v>8.1678238949999997</v>
      </c>
      <c r="Y2165">
        <v>7.7327513650000004</v>
      </c>
      <c r="Z2165">
        <v>6.8519909600000002</v>
      </c>
      <c r="AA2165">
        <v>6.0994745999999997</v>
      </c>
      <c r="AB2165">
        <v>5.4537657299999998</v>
      </c>
    </row>
    <row r="2166" spans="1:28" hidden="1" x14ac:dyDescent="0.25">
      <c r="A2166" t="s">
        <v>408</v>
      </c>
      <c r="B2166" t="s">
        <v>437</v>
      </c>
      <c r="C2166">
        <v>115</v>
      </c>
      <c r="D2166" t="s">
        <v>3</v>
      </c>
      <c r="E2166">
        <v>0.29389719869999997</v>
      </c>
      <c r="F2166">
        <v>0.25628436789999998</v>
      </c>
      <c r="G2166">
        <v>0.35774580439999998</v>
      </c>
      <c r="H2166">
        <v>0.34035638550000002</v>
      </c>
      <c r="I2166">
        <v>0.35833811729999998</v>
      </c>
      <c r="J2166">
        <v>0.23739228970000001</v>
      </c>
      <c r="K2166">
        <v>4.72363217E-2</v>
      </c>
      <c r="L2166">
        <v>0.33495177170000001</v>
      </c>
      <c r="M2166">
        <v>0.65335905650000003</v>
      </c>
      <c r="N2166">
        <v>1.0069243396000001</v>
      </c>
      <c r="O2166">
        <v>1.2967583323</v>
      </c>
      <c r="P2166">
        <v>1.5137266136</v>
      </c>
      <c r="Q2166">
        <v>1.4217233567000001</v>
      </c>
      <c r="R2166">
        <v>1.4333561560000001</v>
      </c>
      <c r="S2166">
        <v>1.4457211408999999</v>
      </c>
      <c r="T2166">
        <v>1.2212214116</v>
      </c>
      <c r="U2166">
        <v>0.94005951259999998</v>
      </c>
      <c r="V2166">
        <v>0.5408226196</v>
      </c>
      <c r="W2166">
        <v>0.36756607740000002</v>
      </c>
      <c r="X2166">
        <v>0.22523621460000001</v>
      </c>
      <c r="Y2166">
        <v>7.7331379899999997E-2</v>
      </c>
      <c r="Z2166">
        <v>3.0643341000000001E-2</v>
      </c>
      <c r="AA2166">
        <v>0.18905341340000001</v>
      </c>
      <c r="AB2166">
        <v>9.1268473200000005E-2</v>
      </c>
    </row>
    <row r="2167" spans="1:28" hidden="1" x14ac:dyDescent="0.25">
      <c r="A2167" t="s">
        <v>408</v>
      </c>
      <c r="B2167" t="s">
        <v>437</v>
      </c>
      <c r="C2167">
        <v>115</v>
      </c>
      <c r="D2167" t="s">
        <v>4</v>
      </c>
      <c r="E2167">
        <v>7.4910930000000001E-2</v>
      </c>
      <c r="F2167">
        <v>7.2645915000000005E-2</v>
      </c>
      <c r="G2167">
        <v>7.1255550000000001E-2</v>
      </c>
      <c r="H2167">
        <v>7.1188650000000006E-2</v>
      </c>
      <c r="I2167">
        <v>7.3563765000000003E-2</v>
      </c>
      <c r="J2167">
        <v>7.8826005000000005E-2</v>
      </c>
      <c r="K2167">
        <v>8.0420864999999994E-2</v>
      </c>
      <c r="L2167">
        <v>7.9344479999999995E-2</v>
      </c>
      <c r="M2167">
        <v>7.3369950000000003E-2</v>
      </c>
      <c r="N2167">
        <v>7.3421730000000004E-2</v>
      </c>
      <c r="O2167">
        <v>7.5604379999999999E-2</v>
      </c>
      <c r="P2167">
        <v>7.9118444999999996E-2</v>
      </c>
      <c r="Q2167">
        <v>7.8182730000000006E-2</v>
      </c>
      <c r="R2167">
        <v>8.1924435000000004E-2</v>
      </c>
      <c r="S2167">
        <v>8.9159534999999998E-2</v>
      </c>
      <c r="T2167">
        <v>9.2013405000000006E-2</v>
      </c>
      <c r="U2167">
        <v>9.8150100000000004E-2</v>
      </c>
      <c r="V2167">
        <v>0.10318839</v>
      </c>
      <c r="W2167">
        <v>0.120902235</v>
      </c>
      <c r="X2167">
        <v>0.12438310499999999</v>
      </c>
      <c r="Y2167">
        <v>0.117757635</v>
      </c>
      <c r="Z2167">
        <v>0.10434504</v>
      </c>
      <c r="AA2167">
        <v>9.2885400000000007E-2</v>
      </c>
      <c r="AB2167">
        <v>8.3052269999999997E-2</v>
      </c>
    </row>
    <row r="2168" spans="1:28" hidden="1" x14ac:dyDescent="0.25">
      <c r="A2168" t="s">
        <v>408</v>
      </c>
      <c r="B2168" t="s">
        <v>438</v>
      </c>
      <c r="C2168">
        <v>115</v>
      </c>
      <c r="D2168" t="s">
        <v>2</v>
      </c>
      <c r="E2168">
        <v>1.6499538</v>
      </c>
      <c r="F2168">
        <v>1.5602892500000001</v>
      </c>
      <c r="G2168">
        <v>1.5159583400000001</v>
      </c>
      <c r="H2168">
        <v>1.48983417</v>
      </c>
      <c r="I2168">
        <v>1.52519764</v>
      </c>
      <c r="J2168">
        <v>1.6695779550000001</v>
      </c>
      <c r="K2168">
        <v>1.78156556</v>
      </c>
      <c r="L2168">
        <v>1.92529873</v>
      </c>
      <c r="M2168">
        <v>1.9794067500000001</v>
      </c>
      <c r="N2168">
        <v>2.201365665</v>
      </c>
      <c r="O2168">
        <v>2.3983715750000001</v>
      </c>
      <c r="P2168">
        <v>2.5656137399999999</v>
      </c>
      <c r="Q2168">
        <v>2.4252443449999999</v>
      </c>
      <c r="R2168">
        <v>2.4904868050000002</v>
      </c>
      <c r="S2168">
        <v>2.6460183050000001</v>
      </c>
      <c r="T2168">
        <v>2.5663347600000002</v>
      </c>
      <c r="U2168">
        <v>2.5357002749999999</v>
      </c>
      <c r="V2168">
        <v>2.4929719600000002</v>
      </c>
      <c r="W2168">
        <v>2.8265382699999999</v>
      </c>
      <c r="X2168">
        <v>2.9006151949999999</v>
      </c>
      <c r="Y2168">
        <v>2.7323141550000001</v>
      </c>
      <c r="Z2168">
        <v>2.4365688900000002</v>
      </c>
      <c r="AA2168">
        <v>2.1306387249999998</v>
      </c>
      <c r="AB2168">
        <v>1.8467617249999999</v>
      </c>
    </row>
    <row r="2169" spans="1:28" hidden="1" x14ac:dyDescent="0.25">
      <c r="A2169" t="s">
        <v>408</v>
      </c>
      <c r="B2169" t="s">
        <v>438</v>
      </c>
      <c r="C2169">
        <v>115</v>
      </c>
      <c r="D2169" t="s">
        <v>3</v>
      </c>
      <c r="E2169">
        <v>0.1833847129</v>
      </c>
      <c r="F2169">
        <v>0.18343616339999999</v>
      </c>
      <c r="G2169">
        <v>0.1834170658</v>
      </c>
      <c r="H2169">
        <v>0.18312896300000001</v>
      </c>
      <c r="I2169">
        <v>0.1807617541</v>
      </c>
      <c r="J2169">
        <v>0.182169682</v>
      </c>
      <c r="K2169">
        <v>0.1804423674</v>
      </c>
      <c r="L2169">
        <v>0.17053700629999999</v>
      </c>
      <c r="M2169">
        <v>0.16340161440000001</v>
      </c>
      <c r="N2169">
        <v>0.49118088989999997</v>
      </c>
      <c r="O2169">
        <v>0.52252341349999998</v>
      </c>
      <c r="P2169">
        <v>0.55439893520000005</v>
      </c>
      <c r="Q2169">
        <v>0.4646115361</v>
      </c>
      <c r="R2169">
        <v>0.35288850189999998</v>
      </c>
      <c r="S2169">
        <v>0.40064989280000002</v>
      </c>
      <c r="T2169">
        <v>0.27737031690000002</v>
      </c>
      <c r="U2169">
        <v>0.24618662050000001</v>
      </c>
      <c r="V2169">
        <v>0.21210880900000001</v>
      </c>
      <c r="W2169">
        <v>0.1932892671</v>
      </c>
      <c r="X2169">
        <v>0.19184233740000001</v>
      </c>
      <c r="Y2169">
        <v>0.1916143106</v>
      </c>
      <c r="Z2169">
        <v>0.18629001419999999</v>
      </c>
      <c r="AA2169">
        <v>0.18701415330000001</v>
      </c>
      <c r="AB2169">
        <v>0.1859315436</v>
      </c>
    </row>
    <row r="2170" spans="1:28" hidden="1" x14ac:dyDescent="0.25">
      <c r="A2170" t="s">
        <v>408</v>
      </c>
      <c r="B2170" t="s">
        <v>438</v>
      </c>
      <c r="C2170">
        <v>115</v>
      </c>
      <c r="D2170" t="s">
        <v>4</v>
      </c>
      <c r="E2170">
        <v>2.5126200000000001E-2</v>
      </c>
      <c r="F2170">
        <v>2.3760750000000001E-2</v>
      </c>
      <c r="G2170">
        <v>2.3085660000000001E-2</v>
      </c>
      <c r="H2170">
        <v>2.2687829999999999E-2</v>
      </c>
      <c r="I2170">
        <v>2.3226360000000001E-2</v>
      </c>
      <c r="J2170">
        <v>2.5425045E-2</v>
      </c>
      <c r="K2170">
        <v>2.7130439999999999E-2</v>
      </c>
      <c r="L2170">
        <v>2.9319270000000001E-2</v>
      </c>
      <c r="M2170">
        <v>3.014325E-2</v>
      </c>
      <c r="N2170">
        <v>3.3523335000000001E-2</v>
      </c>
      <c r="O2170">
        <v>3.6523424999999998E-2</v>
      </c>
      <c r="P2170">
        <v>3.9070260000000002E-2</v>
      </c>
      <c r="Q2170">
        <v>3.6932655000000002E-2</v>
      </c>
      <c r="R2170">
        <v>3.7926195000000003E-2</v>
      </c>
      <c r="S2170">
        <v>4.0294694999999998E-2</v>
      </c>
      <c r="T2170">
        <v>3.9081240000000003E-2</v>
      </c>
      <c r="U2170">
        <v>3.8614725000000003E-2</v>
      </c>
      <c r="V2170">
        <v>3.7964039999999998E-2</v>
      </c>
      <c r="W2170">
        <v>4.3043730000000002E-2</v>
      </c>
      <c r="X2170">
        <v>4.4171805000000001E-2</v>
      </c>
      <c r="Y2170">
        <v>4.1608844999999998E-2</v>
      </c>
      <c r="Z2170">
        <v>3.7105109999999997E-2</v>
      </c>
      <c r="AA2170">
        <v>3.2446274999999997E-2</v>
      </c>
      <c r="AB2170">
        <v>2.8123275E-2</v>
      </c>
    </row>
    <row r="2171" spans="1:28" hidden="1" x14ac:dyDescent="0.25">
      <c r="A2171" t="s">
        <v>408</v>
      </c>
      <c r="B2171" t="s">
        <v>439</v>
      </c>
      <c r="C2171">
        <v>115</v>
      </c>
      <c r="D2171" t="s">
        <v>2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</row>
    <row r="2172" spans="1:28" hidden="1" x14ac:dyDescent="0.25">
      <c r="A2172" t="s">
        <v>408</v>
      </c>
      <c r="B2172" t="s">
        <v>439</v>
      </c>
      <c r="C2172">
        <v>115</v>
      </c>
      <c r="D2172" t="s">
        <v>3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0</v>
      </c>
      <c r="AA2172">
        <v>0</v>
      </c>
      <c r="AB2172">
        <v>0</v>
      </c>
    </row>
    <row r="2173" spans="1:28" hidden="1" x14ac:dyDescent="0.25">
      <c r="A2173" t="s">
        <v>408</v>
      </c>
      <c r="B2173" t="s">
        <v>439</v>
      </c>
      <c r="C2173">
        <v>115</v>
      </c>
      <c r="D2173" t="s">
        <v>4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</row>
    <row r="2174" spans="1:28" hidden="1" x14ac:dyDescent="0.25">
      <c r="A2174" t="s">
        <v>408</v>
      </c>
      <c r="B2174" t="s">
        <v>440</v>
      </c>
      <c r="C2174">
        <v>115</v>
      </c>
      <c r="D2174" t="s">
        <v>2</v>
      </c>
      <c r="E2174">
        <v>4.3942928349999999</v>
      </c>
      <c r="F2174">
        <v>4.2087109549999999</v>
      </c>
      <c r="G2174">
        <v>4.1112993800000002</v>
      </c>
      <c r="H2174">
        <v>3.9044848399999998</v>
      </c>
      <c r="I2174">
        <v>3.898920575</v>
      </c>
      <c r="J2174">
        <v>4.6435135949999999</v>
      </c>
      <c r="K2174">
        <v>4.8653641600000004</v>
      </c>
      <c r="L2174">
        <v>5.6254394100000003</v>
      </c>
      <c r="M2174">
        <v>5.8539899450000004</v>
      </c>
      <c r="N2174">
        <v>6.208249135</v>
      </c>
      <c r="O2174">
        <v>6.9770800499999996</v>
      </c>
      <c r="P2174">
        <v>7.654030165</v>
      </c>
      <c r="Q2174">
        <v>7.42057039</v>
      </c>
      <c r="R2174">
        <v>7.7467748099999998</v>
      </c>
      <c r="S2174">
        <v>8.2276695400000008</v>
      </c>
      <c r="T2174">
        <v>8.4225823250000005</v>
      </c>
      <c r="U2174">
        <v>8.7177513649999998</v>
      </c>
      <c r="V2174">
        <v>8.102159855</v>
      </c>
      <c r="W2174">
        <v>9.2769398049999996</v>
      </c>
      <c r="X2174">
        <v>9.3357541550000001</v>
      </c>
      <c r="Y2174">
        <v>8.6120736699999991</v>
      </c>
      <c r="Z2174">
        <v>7.6022339399999996</v>
      </c>
      <c r="AA2174">
        <v>6.4304789250000001</v>
      </c>
      <c r="AB2174">
        <v>5.2419404949999997</v>
      </c>
    </row>
    <row r="2175" spans="1:28" hidden="1" x14ac:dyDescent="0.25">
      <c r="A2175" t="s">
        <v>408</v>
      </c>
      <c r="B2175" t="s">
        <v>440</v>
      </c>
      <c r="C2175">
        <v>115</v>
      </c>
      <c r="D2175" t="s">
        <v>3</v>
      </c>
      <c r="E2175">
        <v>1.3979571446000001</v>
      </c>
      <c r="F2175">
        <v>1.7072678811999999</v>
      </c>
      <c r="G2175">
        <v>1.6402363601000001</v>
      </c>
      <c r="H2175">
        <v>1.9342805094</v>
      </c>
      <c r="I2175">
        <v>1.4149898674000001</v>
      </c>
      <c r="J2175">
        <v>2.1979363786000001</v>
      </c>
      <c r="K2175">
        <v>1.9501959813</v>
      </c>
      <c r="L2175">
        <v>2.2538057289000002</v>
      </c>
      <c r="M2175">
        <v>1.5580182294</v>
      </c>
      <c r="N2175">
        <v>1.0886859144000001</v>
      </c>
      <c r="O2175">
        <v>1.1441230876999999</v>
      </c>
      <c r="P2175">
        <v>0.89184060890000005</v>
      </c>
      <c r="Q2175">
        <v>0.88137928539999999</v>
      </c>
      <c r="R2175">
        <v>0.77051397369999997</v>
      </c>
      <c r="S2175">
        <v>0.87441151969999997</v>
      </c>
      <c r="T2175">
        <v>0.9843378143</v>
      </c>
      <c r="U2175">
        <v>1.1795604848000001</v>
      </c>
      <c r="V2175">
        <v>1.0446588531000001</v>
      </c>
      <c r="W2175">
        <v>1.0052716418000001</v>
      </c>
      <c r="X2175">
        <v>1.4376330314000001</v>
      </c>
      <c r="Y2175">
        <v>1.7073159577000001</v>
      </c>
      <c r="Z2175">
        <v>1.9695557489</v>
      </c>
      <c r="AA2175">
        <v>2.4707023955</v>
      </c>
      <c r="AB2175">
        <v>1.6017348764999999</v>
      </c>
    </row>
    <row r="2176" spans="1:28" hidden="1" x14ac:dyDescent="0.25">
      <c r="A2176" t="s">
        <v>408</v>
      </c>
      <c r="B2176" t="s">
        <v>440</v>
      </c>
      <c r="C2176">
        <v>115</v>
      </c>
      <c r="D2176" t="s">
        <v>4</v>
      </c>
      <c r="E2176">
        <v>6.6918165000000002E-2</v>
      </c>
      <c r="F2176">
        <v>6.4092045E-2</v>
      </c>
      <c r="G2176">
        <v>6.2608620000000004E-2</v>
      </c>
      <c r="H2176">
        <v>5.9459159999999997E-2</v>
      </c>
      <c r="I2176">
        <v>5.9374425000000002E-2</v>
      </c>
      <c r="J2176">
        <v>7.0713404999999993E-2</v>
      </c>
      <c r="K2176">
        <v>7.4091840000000006E-2</v>
      </c>
      <c r="L2176">
        <v>8.5666590000000001E-2</v>
      </c>
      <c r="M2176">
        <v>8.9147055000000003E-2</v>
      </c>
      <c r="N2176">
        <v>9.4541865000000003E-2</v>
      </c>
      <c r="O2176">
        <v>0.10624995</v>
      </c>
      <c r="P2176">
        <v>0.116558835</v>
      </c>
      <c r="Q2176">
        <v>0.11300361</v>
      </c>
      <c r="R2176">
        <v>0.11797119</v>
      </c>
      <c r="S2176">
        <v>0.12529446</v>
      </c>
      <c r="T2176">
        <v>0.12826267499999999</v>
      </c>
      <c r="U2176">
        <v>0.13275763500000001</v>
      </c>
      <c r="V2176">
        <v>0.123383145</v>
      </c>
      <c r="W2176">
        <v>0.14127319499999999</v>
      </c>
      <c r="X2176">
        <v>0.14216884499999999</v>
      </c>
      <c r="Y2176">
        <v>0.13114833000000001</v>
      </c>
      <c r="Z2176">
        <v>0.11577005999999999</v>
      </c>
      <c r="AA2176">
        <v>9.7926075000000001E-2</v>
      </c>
      <c r="AB2176">
        <v>7.9826505000000006E-2</v>
      </c>
    </row>
    <row r="2177" spans="1:28" hidden="1" x14ac:dyDescent="0.25">
      <c r="A2177" t="s">
        <v>408</v>
      </c>
      <c r="B2177" t="s">
        <v>441</v>
      </c>
      <c r="C2177">
        <v>115</v>
      </c>
      <c r="D2177" t="s">
        <v>2</v>
      </c>
      <c r="E2177">
        <v>13.819409145</v>
      </c>
      <c r="F2177">
        <v>13.28823706</v>
      </c>
      <c r="G2177">
        <v>13.02223978</v>
      </c>
      <c r="H2177">
        <v>12.90745379</v>
      </c>
      <c r="I2177">
        <v>12.867511055</v>
      </c>
      <c r="J2177">
        <v>13.609258410000001</v>
      </c>
      <c r="K2177">
        <v>13.52105757</v>
      </c>
      <c r="L2177">
        <v>13.791938480000001</v>
      </c>
      <c r="M2177">
        <v>14.100113459999999</v>
      </c>
      <c r="N2177">
        <v>14.839993255</v>
      </c>
      <c r="O2177">
        <v>15.751465960000001</v>
      </c>
      <c r="P2177">
        <v>16.311065145000001</v>
      </c>
      <c r="Q2177">
        <v>16.403529065000001</v>
      </c>
      <c r="R2177">
        <v>17.180244904999999</v>
      </c>
      <c r="S2177">
        <v>18.090999544999999</v>
      </c>
      <c r="T2177">
        <v>18.46476075</v>
      </c>
      <c r="U2177">
        <v>19.171534694999998</v>
      </c>
      <c r="V2177">
        <v>19.157799855</v>
      </c>
      <c r="W2177">
        <v>21.021432659999999</v>
      </c>
      <c r="X2177">
        <v>21.064995270000001</v>
      </c>
      <c r="Y2177">
        <v>20.122513779999998</v>
      </c>
      <c r="Z2177">
        <v>18.353423244999998</v>
      </c>
      <c r="AA2177">
        <v>16.797657115</v>
      </c>
      <c r="AB2177">
        <v>15.439409095</v>
      </c>
    </row>
    <row r="2178" spans="1:28" hidden="1" x14ac:dyDescent="0.25">
      <c r="A2178" t="s">
        <v>408</v>
      </c>
      <c r="B2178" t="s">
        <v>441</v>
      </c>
      <c r="C2178">
        <v>115</v>
      </c>
      <c r="D2178" t="s">
        <v>3</v>
      </c>
      <c r="E2178">
        <v>6.7430654563000001</v>
      </c>
      <c r="F2178">
        <v>6.6402995982000004</v>
      </c>
      <c r="G2178">
        <v>6.4091419996000001</v>
      </c>
      <c r="H2178">
        <v>6.3827560113999997</v>
      </c>
      <c r="I2178">
        <v>6.2775048775000002</v>
      </c>
      <c r="J2178">
        <v>6.3201149944999999</v>
      </c>
      <c r="K2178">
        <v>6.4251094449000004</v>
      </c>
      <c r="L2178">
        <v>6.3638884951000003</v>
      </c>
      <c r="M2178">
        <v>5.8856657691000001</v>
      </c>
      <c r="N2178">
        <v>6.3477292018</v>
      </c>
      <c r="O2178">
        <v>6.9406796024000004</v>
      </c>
      <c r="P2178">
        <v>7.4628637758999998</v>
      </c>
      <c r="Q2178">
        <v>7.5065994889000001</v>
      </c>
      <c r="R2178">
        <v>7.9138896885000003</v>
      </c>
      <c r="S2178">
        <v>8.0479930147999994</v>
      </c>
      <c r="T2178">
        <v>7.8291704396000004</v>
      </c>
      <c r="U2178">
        <v>8.1015897183999996</v>
      </c>
      <c r="V2178">
        <v>8.1606110237999996</v>
      </c>
      <c r="W2178">
        <v>8.5247604477000003</v>
      </c>
      <c r="X2178">
        <v>7.9293901934999997</v>
      </c>
      <c r="Y2178">
        <v>7.8269988198</v>
      </c>
      <c r="Z2178">
        <v>7.5949040813000002</v>
      </c>
      <c r="AA2178">
        <v>7.4775843713999999</v>
      </c>
      <c r="AB2178">
        <v>7.2460471542000002</v>
      </c>
    </row>
    <row r="2179" spans="1:28" hidden="1" x14ac:dyDescent="0.25">
      <c r="A2179" t="s">
        <v>408</v>
      </c>
      <c r="B2179" t="s">
        <v>441</v>
      </c>
      <c r="C2179">
        <v>115</v>
      </c>
      <c r="D2179" t="s">
        <v>4</v>
      </c>
      <c r="E2179">
        <v>0.21044785499999999</v>
      </c>
      <c r="F2179">
        <v>0.20235893999999999</v>
      </c>
      <c r="G2179">
        <v>0.19830822000000001</v>
      </c>
      <c r="H2179">
        <v>0.19656021000000001</v>
      </c>
      <c r="I2179">
        <v>0.19595194499999999</v>
      </c>
      <c r="J2179">
        <v>0.20724759000000001</v>
      </c>
      <c r="K2179">
        <v>0.20590443</v>
      </c>
      <c r="L2179">
        <v>0.21002952</v>
      </c>
      <c r="M2179">
        <v>0.21472253999999999</v>
      </c>
      <c r="N2179">
        <v>0.22598974499999999</v>
      </c>
      <c r="O2179">
        <v>0.23987004000000001</v>
      </c>
      <c r="P2179">
        <v>0.24839185499999999</v>
      </c>
      <c r="Q2179">
        <v>0.249799935</v>
      </c>
      <c r="R2179">
        <v>0.261628095</v>
      </c>
      <c r="S2179">
        <v>0.275497455</v>
      </c>
      <c r="T2179">
        <v>0.28118925</v>
      </c>
      <c r="U2179">
        <v>0.29195230500000002</v>
      </c>
      <c r="V2179">
        <v>0.29174314499999998</v>
      </c>
      <c r="W2179">
        <v>0.32012333999999998</v>
      </c>
      <c r="X2179">
        <v>0.32078673000000002</v>
      </c>
      <c r="Y2179">
        <v>0.30643421999999998</v>
      </c>
      <c r="Z2179">
        <v>0.27949375500000001</v>
      </c>
      <c r="AA2179">
        <v>0.25580188500000001</v>
      </c>
      <c r="AB2179">
        <v>0.23511790499999999</v>
      </c>
    </row>
    <row r="2180" spans="1:28" hidden="1" x14ac:dyDescent="0.25">
      <c r="A2180" t="s">
        <v>408</v>
      </c>
      <c r="B2180" t="s">
        <v>442</v>
      </c>
      <c r="C2180">
        <v>34</v>
      </c>
      <c r="D2180" t="s">
        <v>2</v>
      </c>
      <c r="E2180">
        <v>1.17669439</v>
      </c>
      <c r="F2180">
        <v>1.15172853</v>
      </c>
      <c r="G2180">
        <v>1.13679829</v>
      </c>
      <c r="H2180">
        <v>1.0918300599999999</v>
      </c>
      <c r="I2180">
        <v>1.0259942200000001</v>
      </c>
      <c r="J2180">
        <v>1.1898475900000001</v>
      </c>
      <c r="K2180">
        <v>1.3642574700000001</v>
      </c>
      <c r="L2180">
        <v>1.6572673099999999</v>
      </c>
      <c r="M2180">
        <v>2.1372776299999998</v>
      </c>
      <c r="N2180">
        <v>2.9755244699999999</v>
      </c>
      <c r="O2180">
        <v>3.5108548599999998</v>
      </c>
      <c r="P2180">
        <v>3.7070024400000001</v>
      </c>
      <c r="Q2180">
        <v>3.7599983899999998</v>
      </c>
      <c r="R2180">
        <v>3.4871858900000001</v>
      </c>
      <c r="S2180">
        <v>3.14696227</v>
      </c>
      <c r="T2180">
        <v>2.9401378999999999</v>
      </c>
      <c r="U2180">
        <v>2.33218361</v>
      </c>
      <c r="V2180">
        <v>1.8378463899999999</v>
      </c>
      <c r="W2180">
        <v>1.7229382499999999</v>
      </c>
      <c r="X2180">
        <v>1.71386584</v>
      </c>
      <c r="Y2180">
        <v>1.6092203</v>
      </c>
      <c r="Z2180">
        <v>1.4234109800000001</v>
      </c>
      <c r="AA2180">
        <v>1.3956301799999999</v>
      </c>
      <c r="AB2180">
        <v>1.38674886</v>
      </c>
    </row>
    <row r="2181" spans="1:28" hidden="1" x14ac:dyDescent="0.25">
      <c r="A2181" t="s">
        <v>408</v>
      </c>
      <c r="B2181" t="s">
        <v>442</v>
      </c>
      <c r="C2181">
        <v>34</v>
      </c>
      <c r="D2181" t="s">
        <v>3</v>
      </c>
      <c r="E2181">
        <v>0.56408726580000002</v>
      </c>
      <c r="F2181">
        <v>0.53333051649999996</v>
      </c>
      <c r="G2181">
        <v>0.12551372620000001</v>
      </c>
      <c r="H2181">
        <v>0.12568023019999999</v>
      </c>
      <c r="I2181">
        <v>9.5119207999999997E-2</v>
      </c>
      <c r="J2181">
        <v>4.5799736299999998E-2</v>
      </c>
      <c r="K2181">
        <v>0.158123598</v>
      </c>
      <c r="L2181">
        <v>0.1738953771</v>
      </c>
      <c r="M2181">
        <v>0.9174848739</v>
      </c>
      <c r="N2181">
        <v>0.91475946949999998</v>
      </c>
      <c r="O2181">
        <v>0.81513766990000003</v>
      </c>
      <c r="P2181">
        <v>0.81995218030000006</v>
      </c>
      <c r="Q2181">
        <v>0.96786931190000003</v>
      </c>
      <c r="R2181">
        <v>0.69095063619999997</v>
      </c>
      <c r="S2181">
        <v>0.67986553500000002</v>
      </c>
      <c r="T2181">
        <v>0.41144084749999998</v>
      </c>
      <c r="U2181">
        <v>0.36705706809999999</v>
      </c>
      <c r="V2181">
        <v>0.79423335149999996</v>
      </c>
      <c r="W2181">
        <v>4.29106587E-2</v>
      </c>
      <c r="X2181">
        <v>0.63895800700000005</v>
      </c>
      <c r="Y2181">
        <v>0.34677546120000002</v>
      </c>
      <c r="Z2181">
        <v>0.28955688029999999</v>
      </c>
      <c r="AA2181">
        <v>0.27179257820000002</v>
      </c>
      <c r="AB2181">
        <v>0.70167746509999995</v>
      </c>
    </row>
    <row r="2182" spans="1:28" hidden="1" x14ac:dyDescent="0.25">
      <c r="A2182" t="s">
        <v>408</v>
      </c>
      <c r="B2182" t="s">
        <v>442</v>
      </c>
      <c r="C2182">
        <v>34</v>
      </c>
      <c r="D2182" t="s">
        <v>4</v>
      </c>
      <c r="E2182">
        <v>3.6392609999999999E-2</v>
      </c>
      <c r="F2182">
        <v>3.5620470000000001E-2</v>
      </c>
      <c r="G2182">
        <v>3.5158710000000003E-2</v>
      </c>
      <c r="H2182">
        <v>3.3767940000000003E-2</v>
      </c>
      <c r="I2182">
        <v>3.1731780000000001E-2</v>
      </c>
      <c r="J2182">
        <v>3.6799409999999998E-2</v>
      </c>
      <c r="K2182">
        <v>4.219353E-2</v>
      </c>
      <c r="L2182">
        <v>5.125569E-2</v>
      </c>
      <c r="M2182">
        <v>6.6101370000000007E-2</v>
      </c>
      <c r="N2182">
        <v>9.2026529999999995E-2</v>
      </c>
      <c r="O2182">
        <v>0.10858313999999999</v>
      </c>
      <c r="P2182">
        <v>0.11464956</v>
      </c>
      <c r="Q2182">
        <v>0.11628861</v>
      </c>
      <c r="R2182">
        <v>0.10785111</v>
      </c>
      <c r="S2182">
        <v>9.7328730000000002E-2</v>
      </c>
      <c r="T2182">
        <v>9.0932100000000002E-2</v>
      </c>
      <c r="U2182">
        <v>7.2129390000000002E-2</v>
      </c>
      <c r="V2182">
        <v>5.684061E-2</v>
      </c>
      <c r="W2182">
        <v>5.3286750000000001E-2</v>
      </c>
      <c r="X2182">
        <v>5.3006159999999997E-2</v>
      </c>
      <c r="Y2182">
        <v>4.97697E-2</v>
      </c>
      <c r="Z2182">
        <v>4.4023020000000003E-2</v>
      </c>
      <c r="AA2182">
        <v>4.3163819999999999E-2</v>
      </c>
      <c r="AB2182">
        <v>4.2889139999999999E-2</v>
      </c>
    </row>
    <row r="2183" spans="1:28" hidden="1" x14ac:dyDescent="0.25">
      <c r="A2183" t="s">
        <v>408</v>
      </c>
      <c r="B2183" t="s">
        <v>443</v>
      </c>
      <c r="C2183">
        <v>34</v>
      </c>
      <c r="D2183" t="s">
        <v>2</v>
      </c>
      <c r="E2183">
        <v>10.667225800000001</v>
      </c>
      <c r="F2183">
        <v>10.57398843</v>
      </c>
      <c r="G2183">
        <v>10.708589509999999</v>
      </c>
      <c r="H2183">
        <v>10.16504031</v>
      </c>
      <c r="I2183">
        <v>10.16210412</v>
      </c>
      <c r="J2183">
        <v>8.6372117399999997</v>
      </c>
      <c r="K2183">
        <v>8.0191054299999998</v>
      </c>
      <c r="L2183">
        <v>8.2835924199999997</v>
      </c>
      <c r="M2183">
        <v>9.2182184599999992</v>
      </c>
      <c r="N2183">
        <v>8.6825854299999996</v>
      </c>
      <c r="O2183">
        <v>8.9773432100000008</v>
      </c>
      <c r="P2183">
        <v>8.3384973299999992</v>
      </c>
      <c r="Q2183">
        <v>9.3256449900000007</v>
      </c>
      <c r="R2183">
        <v>9.0810187500000001</v>
      </c>
      <c r="S2183">
        <v>8.5820352300000007</v>
      </c>
      <c r="T2183">
        <v>9.8459665699999999</v>
      </c>
      <c r="U2183">
        <v>8.2619206799999994</v>
      </c>
      <c r="V2183">
        <v>11.80790797</v>
      </c>
      <c r="W2183">
        <v>12.49223327</v>
      </c>
      <c r="X2183">
        <v>11.872209270000001</v>
      </c>
      <c r="Y2183">
        <v>13.32716853</v>
      </c>
      <c r="Z2183">
        <v>12.156607449999999</v>
      </c>
      <c r="AA2183">
        <v>11.13022814</v>
      </c>
      <c r="AB2183">
        <v>11.18800813</v>
      </c>
    </row>
    <row r="2184" spans="1:28" hidden="1" x14ac:dyDescent="0.25">
      <c r="A2184" t="s">
        <v>408</v>
      </c>
      <c r="B2184" t="s">
        <v>443</v>
      </c>
      <c r="C2184">
        <v>34</v>
      </c>
      <c r="D2184" t="s">
        <v>3</v>
      </c>
      <c r="E2184">
        <v>1.2260093033999999</v>
      </c>
      <c r="F2184">
        <v>0.53552026679999998</v>
      </c>
      <c r="G2184">
        <v>1.1654263089000001</v>
      </c>
      <c r="H2184">
        <v>9.0922520300000004E-2</v>
      </c>
      <c r="I2184">
        <v>1.0097114669</v>
      </c>
      <c r="J2184">
        <v>0.69155186989999995</v>
      </c>
      <c r="K2184">
        <v>0.14788361420000001</v>
      </c>
      <c r="L2184">
        <v>1.1320867206</v>
      </c>
      <c r="M2184">
        <v>1.0270935394</v>
      </c>
      <c r="N2184">
        <v>0.89664469570000005</v>
      </c>
      <c r="O2184">
        <v>0.81544263360000002</v>
      </c>
      <c r="P2184">
        <v>0.92907504559999998</v>
      </c>
      <c r="Q2184">
        <v>0.46296441620000001</v>
      </c>
      <c r="R2184">
        <v>0.72364262359999998</v>
      </c>
      <c r="S2184">
        <v>0.95934335390000003</v>
      </c>
      <c r="T2184">
        <v>1.1149009452</v>
      </c>
      <c r="U2184">
        <v>1.1421067378</v>
      </c>
      <c r="V2184">
        <v>0.8331491848</v>
      </c>
      <c r="W2184">
        <v>0.88143420429999997</v>
      </c>
      <c r="X2184">
        <v>1.0296820285999999</v>
      </c>
      <c r="Y2184">
        <v>0.81178707620000001</v>
      </c>
      <c r="Z2184">
        <v>0.79845036940000003</v>
      </c>
      <c r="AA2184">
        <v>0.72761786880000001</v>
      </c>
      <c r="AB2184">
        <v>1.0212208699000001</v>
      </c>
    </row>
    <row r="2185" spans="1:28" hidden="1" x14ac:dyDescent="0.25">
      <c r="A2185" t="s">
        <v>408</v>
      </c>
      <c r="B2185" t="s">
        <v>443</v>
      </c>
      <c r="C2185">
        <v>34</v>
      </c>
      <c r="D2185" t="s">
        <v>4</v>
      </c>
      <c r="E2185">
        <v>0.32991419999999999</v>
      </c>
      <c r="F2185">
        <v>0.32703057000000002</v>
      </c>
      <c r="G2185">
        <v>0.33119348999999998</v>
      </c>
      <c r="H2185">
        <v>0.31438269000000002</v>
      </c>
      <c r="I2185">
        <v>0.31429188000000002</v>
      </c>
      <c r="J2185">
        <v>0.26713026000000001</v>
      </c>
      <c r="K2185">
        <v>0.24801356999999999</v>
      </c>
      <c r="L2185">
        <v>0.25619357999999998</v>
      </c>
      <c r="M2185">
        <v>0.28509953999999998</v>
      </c>
      <c r="N2185">
        <v>0.26853357</v>
      </c>
      <c r="O2185">
        <v>0.27764979000000001</v>
      </c>
      <c r="P2185">
        <v>0.25789167000000002</v>
      </c>
      <c r="Q2185">
        <v>0.28842201000000001</v>
      </c>
      <c r="R2185">
        <v>0.28085624999999997</v>
      </c>
      <c r="S2185">
        <v>0.26542377</v>
      </c>
      <c r="T2185">
        <v>0.30451443</v>
      </c>
      <c r="U2185">
        <v>0.25552332</v>
      </c>
      <c r="V2185">
        <v>0.36519302999999997</v>
      </c>
      <c r="W2185">
        <v>0.38635773000000001</v>
      </c>
      <c r="X2185">
        <v>0.36718172999999998</v>
      </c>
      <c r="Y2185">
        <v>0.41218047000000002</v>
      </c>
      <c r="Z2185">
        <v>0.37597754999999999</v>
      </c>
      <c r="AA2185">
        <v>0.34423386</v>
      </c>
      <c r="AB2185">
        <v>0.34602086999999998</v>
      </c>
    </row>
    <row r="2186" spans="1:28" x14ac:dyDescent="0.25">
      <c r="A2186" t="s">
        <v>408</v>
      </c>
      <c r="B2186" t="s">
        <v>444</v>
      </c>
      <c r="C2186">
        <v>115</v>
      </c>
      <c r="D2186" t="s">
        <v>2</v>
      </c>
      <c r="E2186">
        <v>16.493953049999998</v>
      </c>
      <c r="F2186">
        <v>16.172737654999999</v>
      </c>
      <c r="G2186">
        <v>16.755889175</v>
      </c>
      <c r="H2186">
        <v>16.537426024999998</v>
      </c>
      <c r="I2186">
        <v>16.371706669999998</v>
      </c>
      <c r="J2186">
        <v>16.141085664999999</v>
      </c>
      <c r="K2186">
        <v>16.643646454999999</v>
      </c>
      <c r="L2186">
        <v>15.410749535000001</v>
      </c>
      <c r="M2186">
        <v>14.36403436</v>
      </c>
      <c r="N2186">
        <v>14.418515695</v>
      </c>
      <c r="O2186">
        <v>14.888169605</v>
      </c>
      <c r="P2186">
        <v>15.519058165000001</v>
      </c>
      <c r="Q2186">
        <v>16.002916760000002</v>
      </c>
      <c r="R2186">
        <v>16.135948890000002</v>
      </c>
      <c r="S2186">
        <v>15.958387865000001</v>
      </c>
      <c r="T2186">
        <v>16.699771755</v>
      </c>
      <c r="U2186">
        <v>17.38765931</v>
      </c>
      <c r="V2186">
        <v>17.540830750000001</v>
      </c>
      <c r="W2186">
        <v>18.353604485000002</v>
      </c>
      <c r="X2186">
        <v>19.017275815000001</v>
      </c>
      <c r="Y2186">
        <v>19.44698305</v>
      </c>
      <c r="Z2186">
        <v>19.169054464999999</v>
      </c>
      <c r="AA2186">
        <v>17.999555099999998</v>
      </c>
      <c r="AB2186">
        <v>16.695446619999998</v>
      </c>
    </row>
    <row r="2187" spans="1:28" x14ac:dyDescent="0.25">
      <c r="A2187" t="s">
        <v>408</v>
      </c>
      <c r="B2187" t="s">
        <v>444</v>
      </c>
      <c r="C2187">
        <v>115</v>
      </c>
      <c r="D2187" t="s">
        <v>3</v>
      </c>
      <c r="E2187">
        <v>4.9679451940000003</v>
      </c>
      <c r="F2187">
        <v>4.9839888498000002</v>
      </c>
      <c r="G2187">
        <v>5.0061596041999996</v>
      </c>
      <c r="H2187">
        <v>4.7544650301000004</v>
      </c>
      <c r="I2187">
        <v>4.6862584825000004</v>
      </c>
      <c r="J2187">
        <v>4.7762435894999999</v>
      </c>
      <c r="K2187">
        <v>4.3655202214999997</v>
      </c>
      <c r="L2187">
        <v>3.4474366868000001</v>
      </c>
      <c r="M2187">
        <v>3.3276200836999998</v>
      </c>
      <c r="N2187">
        <v>3.6079437620000001</v>
      </c>
      <c r="O2187">
        <v>3.5145510358999998</v>
      </c>
      <c r="P2187">
        <v>3.9427419143</v>
      </c>
      <c r="Q2187">
        <v>4.4676177686000003</v>
      </c>
      <c r="R2187">
        <v>4.2608269001999997</v>
      </c>
      <c r="S2187">
        <v>4.3453642678</v>
      </c>
      <c r="T2187">
        <v>4.3350285171999996</v>
      </c>
      <c r="U2187">
        <v>4.9469163391000004</v>
      </c>
      <c r="V2187">
        <v>6.0481398950000003</v>
      </c>
      <c r="W2187">
        <v>6.5997914839999998</v>
      </c>
      <c r="X2187">
        <v>6.4594616821999997</v>
      </c>
      <c r="Y2187">
        <v>6.0513767974999997</v>
      </c>
      <c r="Z2187">
        <v>5.7649756623000004</v>
      </c>
      <c r="AA2187">
        <v>5.2978323475</v>
      </c>
      <c r="AB2187">
        <v>4.842923045</v>
      </c>
    </row>
    <row r="2188" spans="1:28" x14ac:dyDescent="0.25">
      <c r="A2188" t="s">
        <v>408</v>
      </c>
      <c r="B2188" t="s">
        <v>444</v>
      </c>
      <c r="C2188">
        <v>115</v>
      </c>
      <c r="D2188" t="s">
        <v>4</v>
      </c>
      <c r="E2188">
        <v>0.25117695000000001</v>
      </c>
      <c r="F2188">
        <v>0.24628534499999999</v>
      </c>
      <c r="G2188">
        <v>0.25516582500000001</v>
      </c>
      <c r="H2188">
        <v>0.25183897500000002</v>
      </c>
      <c r="I2188">
        <v>0.24931533</v>
      </c>
      <c r="J2188">
        <v>0.24580333500000001</v>
      </c>
      <c r="K2188">
        <v>0.25345654499999998</v>
      </c>
      <c r="L2188">
        <v>0.23468146500000001</v>
      </c>
      <c r="M2188">
        <v>0.21874163999999999</v>
      </c>
      <c r="N2188">
        <v>0.21957130499999999</v>
      </c>
      <c r="O2188">
        <v>0.22672339499999999</v>
      </c>
      <c r="P2188">
        <v>0.23633083499999999</v>
      </c>
      <c r="Q2188">
        <v>0.24369924000000001</v>
      </c>
      <c r="R2188">
        <v>0.24572511</v>
      </c>
      <c r="S2188">
        <v>0.243021135</v>
      </c>
      <c r="T2188">
        <v>0.25431124500000002</v>
      </c>
      <c r="U2188">
        <v>0.26478668999999999</v>
      </c>
      <c r="V2188">
        <v>0.26711924999999997</v>
      </c>
      <c r="W2188">
        <v>0.279496515</v>
      </c>
      <c r="X2188">
        <v>0.28960318499999999</v>
      </c>
      <c r="Y2188">
        <v>0.29614695000000002</v>
      </c>
      <c r="Z2188">
        <v>0.29191453499999998</v>
      </c>
      <c r="AA2188">
        <v>0.27410489999999998</v>
      </c>
      <c r="AB2188">
        <v>0.25424538000000002</v>
      </c>
    </row>
    <row r="2189" spans="1:28" hidden="1" x14ac:dyDescent="0.25">
      <c r="A2189" t="s">
        <v>408</v>
      </c>
      <c r="B2189" t="s">
        <v>445</v>
      </c>
      <c r="C2189">
        <v>115</v>
      </c>
      <c r="D2189" t="s">
        <v>2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</row>
    <row r="2190" spans="1:28" hidden="1" x14ac:dyDescent="0.25">
      <c r="A2190" t="s">
        <v>408</v>
      </c>
      <c r="B2190" t="s">
        <v>445</v>
      </c>
      <c r="C2190">
        <v>115</v>
      </c>
      <c r="D2190" t="s">
        <v>3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0</v>
      </c>
      <c r="AA2190">
        <v>0</v>
      </c>
      <c r="AB2190">
        <v>0</v>
      </c>
    </row>
    <row r="2191" spans="1:28" hidden="1" x14ac:dyDescent="0.25">
      <c r="A2191" t="s">
        <v>408</v>
      </c>
      <c r="B2191" t="s">
        <v>445</v>
      </c>
      <c r="C2191">
        <v>115</v>
      </c>
      <c r="D2191" t="s">
        <v>4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0</v>
      </c>
      <c r="AA2191">
        <v>0</v>
      </c>
      <c r="AB2191">
        <v>0</v>
      </c>
    </row>
    <row r="2192" spans="1:28" x14ac:dyDescent="0.25">
      <c r="A2192" t="s">
        <v>408</v>
      </c>
      <c r="B2192" t="s">
        <v>446</v>
      </c>
      <c r="C2192">
        <v>220</v>
      </c>
      <c r="D2192" t="s">
        <v>2</v>
      </c>
      <c r="E2192">
        <v>1.4228259999999999</v>
      </c>
      <c r="F2192">
        <v>1.3471310000000001</v>
      </c>
      <c r="G2192">
        <v>1.3133539999999999</v>
      </c>
      <c r="H2192">
        <v>1.2798259999999999</v>
      </c>
      <c r="I2192">
        <v>1.4284760000000001</v>
      </c>
      <c r="J2192">
        <v>1.904091</v>
      </c>
      <c r="K2192">
        <v>2.2897020000000001</v>
      </c>
      <c r="L2192">
        <v>2.132825</v>
      </c>
      <c r="M2192">
        <v>1.969644</v>
      </c>
      <c r="N2192">
        <v>1.983355</v>
      </c>
      <c r="O2192">
        <v>2.2075580000000001</v>
      </c>
      <c r="P2192">
        <v>2.4618769999999999</v>
      </c>
      <c r="Q2192">
        <v>2.6029629999999999</v>
      </c>
      <c r="R2192">
        <v>2.4898600000000002</v>
      </c>
      <c r="S2192">
        <v>2.3755829999999998</v>
      </c>
      <c r="T2192">
        <v>2.282743</v>
      </c>
      <c r="U2192">
        <v>2.4251299999999998</v>
      </c>
      <c r="V2192">
        <v>2.6363919999999998</v>
      </c>
      <c r="W2192">
        <v>3.04989</v>
      </c>
      <c r="X2192">
        <v>2.964289</v>
      </c>
      <c r="Y2192">
        <v>2.658982</v>
      </c>
      <c r="Z2192">
        <v>2.1871749999999999</v>
      </c>
      <c r="AA2192">
        <v>1.755263</v>
      </c>
      <c r="AB2192">
        <v>1.535649</v>
      </c>
    </row>
    <row r="2193" spans="1:28" x14ac:dyDescent="0.25">
      <c r="A2193" t="s">
        <v>408</v>
      </c>
      <c r="B2193" t="s">
        <v>446</v>
      </c>
      <c r="C2193">
        <v>220</v>
      </c>
      <c r="D2193" t="s">
        <v>3</v>
      </c>
      <c r="E2193">
        <v>0.44021864420000001</v>
      </c>
      <c r="F2193">
        <v>0.42537369860000002</v>
      </c>
      <c r="G2193">
        <v>0.41446830400000001</v>
      </c>
      <c r="H2193">
        <v>0.33671315660000001</v>
      </c>
      <c r="I2193">
        <v>0.33832513349999999</v>
      </c>
      <c r="J2193">
        <v>0.31632233869999998</v>
      </c>
      <c r="K2193">
        <v>0.31737352340000002</v>
      </c>
      <c r="L2193">
        <v>0.39402167910000002</v>
      </c>
      <c r="M2193">
        <v>0.51145953150000001</v>
      </c>
      <c r="N2193">
        <v>0.46122713929999998</v>
      </c>
      <c r="O2193">
        <v>0.55142995900000003</v>
      </c>
      <c r="P2193">
        <v>0.50093500970000004</v>
      </c>
      <c r="Q2193">
        <v>0.51963492200000005</v>
      </c>
      <c r="R2193">
        <v>0.59346208509999998</v>
      </c>
      <c r="S2193">
        <v>0.58723044179999995</v>
      </c>
      <c r="T2193">
        <v>0.543158272</v>
      </c>
      <c r="U2193">
        <v>0.51715244839999996</v>
      </c>
      <c r="V2193">
        <v>0.51127398800000001</v>
      </c>
      <c r="W2193">
        <v>0.44137425120000001</v>
      </c>
      <c r="X2193">
        <v>0.41590955880000002</v>
      </c>
      <c r="Y2193">
        <v>0.4445567084</v>
      </c>
      <c r="Z2193">
        <v>0.44549628419999998</v>
      </c>
      <c r="AA2193">
        <v>0.48854653419999999</v>
      </c>
      <c r="AB2193">
        <v>0.4649688233</v>
      </c>
    </row>
    <row r="2194" spans="1:28" x14ac:dyDescent="0.25">
      <c r="A2194" t="s">
        <v>408</v>
      </c>
      <c r="B2194" t="s">
        <v>446</v>
      </c>
      <c r="C2194">
        <v>220</v>
      </c>
      <c r="D2194" t="s">
        <v>4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</row>
    <row r="2195" spans="1:28" hidden="1" x14ac:dyDescent="0.25">
      <c r="A2195" t="s">
        <v>408</v>
      </c>
      <c r="B2195" t="s">
        <v>447</v>
      </c>
      <c r="C2195">
        <v>115</v>
      </c>
      <c r="D2195" t="s">
        <v>2</v>
      </c>
      <c r="E2195">
        <v>5.1508703499999999</v>
      </c>
      <c r="F2195">
        <v>5.1665929200000003</v>
      </c>
      <c r="G2195">
        <v>5.1719345749999999</v>
      </c>
      <c r="H2195">
        <v>5.1304660750000002</v>
      </c>
      <c r="I2195">
        <v>5.0804113299999996</v>
      </c>
      <c r="J2195">
        <v>5.1213213350000002</v>
      </c>
      <c r="K2195">
        <v>4.9706508100000004</v>
      </c>
      <c r="L2195">
        <v>4.7366256450000002</v>
      </c>
      <c r="M2195">
        <v>4.5512309149999997</v>
      </c>
      <c r="N2195">
        <v>4.5992299650000001</v>
      </c>
      <c r="O2195">
        <v>4.7171896249999996</v>
      </c>
      <c r="P2195">
        <v>4.8254332450000001</v>
      </c>
      <c r="Q2195">
        <v>4.9121221100000003</v>
      </c>
      <c r="R2195">
        <v>4.8955307699999997</v>
      </c>
      <c r="S2195">
        <v>4.91356415</v>
      </c>
      <c r="T2195">
        <v>4.8452672049999999</v>
      </c>
      <c r="U2195">
        <v>4.9278702900000004</v>
      </c>
      <c r="V2195">
        <v>5.0413442599999998</v>
      </c>
      <c r="W2195">
        <v>5.3810027949999997</v>
      </c>
      <c r="X2195">
        <v>5.3786240200000002</v>
      </c>
      <c r="Y2195">
        <v>5.3853761950000001</v>
      </c>
      <c r="Z2195">
        <v>5.227610715</v>
      </c>
      <c r="AA2195">
        <v>5.2092985799999996</v>
      </c>
      <c r="AB2195">
        <v>5.2150893949999997</v>
      </c>
    </row>
    <row r="2196" spans="1:28" hidden="1" x14ac:dyDescent="0.25">
      <c r="A2196" t="s">
        <v>408</v>
      </c>
      <c r="B2196" t="s">
        <v>447</v>
      </c>
      <c r="C2196">
        <v>115</v>
      </c>
      <c r="D2196" t="s">
        <v>3</v>
      </c>
      <c r="E2196">
        <v>1.6997625659</v>
      </c>
      <c r="F2196">
        <v>1.6919352821</v>
      </c>
      <c r="G2196">
        <v>1.6914754809999999</v>
      </c>
      <c r="H2196">
        <v>1.7100345083999999</v>
      </c>
      <c r="I2196">
        <v>1.6472062436999999</v>
      </c>
      <c r="J2196">
        <v>1.6688963813</v>
      </c>
      <c r="K2196">
        <v>1.6155338629</v>
      </c>
      <c r="L2196">
        <v>1.5370989728</v>
      </c>
      <c r="M2196">
        <v>1.477587663</v>
      </c>
      <c r="N2196">
        <v>1.4834342857</v>
      </c>
      <c r="O2196">
        <v>1.5153644503999999</v>
      </c>
      <c r="P2196">
        <v>1.5579552048</v>
      </c>
      <c r="Q2196">
        <v>1.5779851592</v>
      </c>
      <c r="R2196">
        <v>1.5735380743</v>
      </c>
      <c r="S2196">
        <v>1.5740131345999999</v>
      </c>
      <c r="T2196">
        <v>1.5573821890999999</v>
      </c>
      <c r="U2196">
        <v>1.6021583061</v>
      </c>
      <c r="V2196">
        <v>1.6370672036</v>
      </c>
      <c r="W2196">
        <v>1.7508282779</v>
      </c>
      <c r="X2196">
        <v>1.7454361134</v>
      </c>
      <c r="Y2196">
        <v>1.7493622542</v>
      </c>
      <c r="Z2196">
        <v>1.6979273444</v>
      </c>
      <c r="AA2196">
        <v>1.698681361</v>
      </c>
      <c r="AB2196">
        <v>1.7072600321</v>
      </c>
    </row>
    <row r="2197" spans="1:28" hidden="1" x14ac:dyDescent="0.25">
      <c r="A2197" t="s">
        <v>408</v>
      </c>
      <c r="B2197" t="s">
        <v>447</v>
      </c>
      <c r="C2197">
        <v>115</v>
      </c>
      <c r="D2197" t="s">
        <v>4</v>
      </c>
      <c r="E2197">
        <v>7.843965E-2</v>
      </c>
      <c r="F2197">
        <v>7.8679079999999998E-2</v>
      </c>
      <c r="G2197">
        <v>7.8760424999999995E-2</v>
      </c>
      <c r="H2197">
        <v>7.8128925000000002E-2</v>
      </c>
      <c r="I2197">
        <v>7.7366669999999998E-2</v>
      </c>
      <c r="J2197">
        <v>7.7989665E-2</v>
      </c>
      <c r="K2197">
        <v>7.5695189999999996E-2</v>
      </c>
      <c r="L2197">
        <v>7.2131354999999994E-2</v>
      </c>
      <c r="M2197">
        <v>6.9308085000000005E-2</v>
      </c>
      <c r="N2197">
        <v>7.0039034999999999E-2</v>
      </c>
      <c r="O2197">
        <v>7.1835375000000007E-2</v>
      </c>
      <c r="P2197">
        <v>7.3483754999999998E-2</v>
      </c>
      <c r="Q2197">
        <v>7.4803889999999998E-2</v>
      </c>
      <c r="R2197">
        <v>7.4551229999999996E-2</v>
      </c>
      <c r="S2197">
        <v>7.4825849999999999E-2</v>
      </c>
      <c r="T2197">
        <v>7.3785795000000001E-2</v>
      </c>
      <c r="U2197">
        <v>7.504371E-2</v>
      </c>
      <c r="V2197">
        <v>7.6771740000000005E-2</v>
      </c>
      <c r="W2197">
        <v>8.1944205000000006E-2</v>
      </c>
      <c r="X2197">
        <v>8.1907980000000005E-2</v>
      </c>
      <c r="Y2197">
        <v>8.2010805000000006E-2</v>
      </c>
      <c r="Z2197">
        <v>7.9608285000000001E-2</v>
      </c>
      <c r="AA2197">
        <v>7.9329419999999998E-2</v>
      </c>
      <c r="AB2197">
        <v>7.9417605000000002E-2</v>
      </c>
    </row>
    <row r="2198" spans="1:28" x14ac:dyDescent="0.25">
      <c r="A2198" t="s">
        <v>408</v>
      </c>
      <c r="B2198" t="s">
        <v>448</v>
      </c>
      <c r="C2198">
        <v>115</v>
      </c>
      <c r="D2198" t="s">
        <v>2</v>
      </c>
      <c r="E2198">
        <v>1.5047805599999999</v>
      </c>
      <c r="F2198">
        <v>1.4191850450000001</v>
      </c>
      <c r="G2198">
        <v>1.41418026</v>
      </c>
      <c r="H2198">
        <v>1.3805622099999999</v>
      </c>
      <c r="I2198">
        <v>1.4016776550000001</v>
      </c>
      <c r="J2198">
        <v>1.4306750699999999</v>
      </c>
      <c r="K2198">
        <v>1.435226755</v>
      </c>
      <c r="L2198">
        <v>1.501789115</v>
      </c>
      <c r="M2198">
        <v>1.6284482950000001</v>
      </c>
      <c r="N2198">
        <v>1.8624744449999999</v>
      </c>
      <c r="O2198">
        <v>2.0065001599999999</v>
      </c>
      <c r="P2198">
        <v>2.1313863400000002</v>
      </c>
      <c r="Q2198">
        <v>2.2495912649999998</v>
      </c>
      <c r="R2198">
        <v>2.19618555</v>
      </c>
      <c r="S2198">
        <v>2.1753961400000001</v>
      </c>
      <c r="T2198">
        <v>2.0997284399999998</v>
      </c>
      <c r="U2198">
        <v>2.0880226999999998</v>
      </c>
      <c r="V2198">
        <v>2.0740140299999998</v>
      </c>
      <c r="W2198">
        <v>2.0178759249999998</v>
      </c>
      <c r="X2198">
        <v>1.9363041350000001</v>
      </c>
      <c r="Y2198">
        <v>1.8643134400000001</v>
      </c>
      <c r="Z2198">
        <v>1.75515574</v>
      </c>
      <c r="AA2198">
        <v>1.680730125</v>
      </c>
      <c r="AB2198">
        <v>1.6021182599999999</v>
      </c>
    </row>
    <row r="2199" spans="1:28" x14ac:dyDescent="0.25">
      <c r="A2199" t="s">
        <v>408</v>
      </c>
      <c r="B2199" t="s">
        <v>448</v>
      </c>
      <c r="C2199">
        <v>115</v>
      </c>
      <c r="D2199" t="s">
        <v>3</v>
      </c>
      <c r="E2199">
        <v>4.8546659200000002E-2</v>
      </c>
      <c r="F2199">
        <v>0.1585143363</v>
      </c>
      <c r="G2199">
        <v>0.29707480600000002</v>
      </c>
      <c r="H2199">
        <v>5.6283404600000003E-2</v>
      </c>
      <c r="I2199">
        <v>0.1959434229</v>
      </c>
      <c r="J2199">
        <v>0.4741379147</v>
      </c>
      <c r="K2199">
        <v>0.1016765999</v>
      </c>
      <c r="L2199">
        <v>9.4165369999999998E-2</v>
      </c>
      <c r="M2199">
        <v>0.42362111050000001</v>
      </c>
      <c r="N2199">
        <v>0.41367650569999997</v>
      </c>
      <c r="O2199">
        <v>0.377031581</v>
      </c>
      <c r="P2199">
        <v>0.15310250780000001</v>
      </c>
      <c r="Q2199">
        <v>7.4641379399999999E-2</v>
      </c>
      <c r="R2199">
        <v>0.16261331479999999</v>
      </c>
      <c r="S2199">
        <v>0.15224544800000001</v>
      </c>
      <c r="T2199">
        <v>0.39100390419999997</v>
      </c>
      <c r="U2199">
        <v>0.32821602459999999</v>
      </c>
      <c r="V2199">
        <v>0.16710217829999999</v>
      </c>
      <c r="W2199">
        <v>0.35156235450000001</v>
      </c>
      <c r="X2199">
        <v>9.1719790400000001E-2</v>
      </c>
      <c r="Y2199">
        <v>0.2830504694</v>
      </c>
      <c r="Z2199">
        <v>0.22672068619999999</v>
      </c>
      <c r="AA2199">
        <v>4.5733398600000003E-2</v>
      </c>
      <c r="AB2199">
        <v>0.25790114240000001</v>
      </c>
    </row>
    <row r="2200" spans="1:28" x14ac:dyDescent="0.25">
      <c r="A2200" t="s">
        <v>408</v>
      </c>
      <c r="B2200" t="s">
        <v>448</v>
      </c>
      <c r="C2200">
        <v>115</v>
      </c>
      <c r="D2200" t="s">
        <v>4</v>
      </c>
      <c r="E2200">
        <v>2.2915439999999999E-2</v>
      </c>
      <c r="F2200">
        <v>2.1611954999999999E-2</v>
      </c>
      <c r="G2200">
        <v>2.1535740000000001E-2</v>
      </c>
      <c r="H2200">
        <v>2.1023790000000001E-2</v>
      </c>
      <c r="I2200">
        <v>2.1345345000000002E-2</v>
      </c>
      <c r="J2200">
        <v>2.1786929999999999E-2</v>
      </c>
      <c r="K2200">
        <v>2.1856245E-2</v>
      </c>
      <c r="L2200">
        <v>2.2869885E-2</v>
      </c>
      <c r="M2200">
        <v>2.4798705000000001E-2</v>
      </c>
      <c r="N2200">
        <v>2.8362555000000001E-2</v>
      </c>
      <c r="O2200">
        <v>3.0555840000000001E-2</v>
      </c>
      <c r="P2200">
        <v>3.2457659999999999E-2</v>
      </c>
      <c r="Q2200">
        <v>3.4257734999999997E-2</v>
      </c>
      <c r="R2200">
        <v>3.3444450000000001E-2</v>
      </c>
      <c r="S2200">
        <v>3.3127860000000002E-2</v>
      </c>
      <c r="T2200">
        <v>3.197556E-2</v>
      </c>
      <c r="U2200">
        <v>3.1797300000000001E-2</v>
      </c>
      <c r="V2200">
        <v>3.1583970000000003E-2</v>
      </c>
      <c r="W2200">
        <v>3.0729075000000002E-2</v>
      </c>
      <c r="X2200">
        <v>2.9486865000000001E-2</v>
      </c>
      <c r="Y2200">
        <v>2.8390559999999999E-2</v>
      </c>
      <c r="Z2200">
        <v>2.672826E-2</v>
      </c>
      <c r="AA2200">
        <v>2.5594875E-2</v>
      </c>
      <c r="AB2200">
        <v>2.4397740000000001E-2</v>
      </c>
    </row>
    <row r="2201" spans="1:28" hidden="1" x14ac:dyDescent="0.25">
      <c r="A2201" t="s">
        <v>408</v>
      </c>
      <c r="B2201" t="s">
        <v>449</v>
      </c>
      <c r="C2201">
        <v>34</v>
      </c>
      <c r="D2201" t="s">
        <v>2</v>
      </c>
      <c r="E2201">
        <v>5.5755502999999997</v>
      </c>
      <c r="F2201">
        <v>5.2829856900000003</v>
      </c>
      <c r="G2201">
        <v>5.4914493599999998</v>
      </c>
      <c r="H2201">
        <v>5.5536341199999999</v>
      </c>
      <c r="I2201">
        <v>7.2374910699999999</v>
      </c>
      <c r="J2201">
        <v>5.8059155999999996</v>
      </c>
      <c r="K2201">
        <v>6.3847252699999997</v>
      </c>
      <c r="L2201">
        <v>7.4412395699999996</v>
      </c>
      <c r="M2201">
        <v>8.4080987100000009</v>
      </c>
      <c r="N2201">
        <v>8.7162386099999996</v>
      </c>
      <c r="O2201">
        <v>8.8119552999999993</v>
      </c>
      <c r="P2201">
        <v>8.9317376900000003</v>
      </c>
      <c r="Q2201">
        <v>8.79457193</v>
      </c>
      <c r="R2201">
        <v>8.5574728899999997</v>
      </c>
      <c r="S2201">
        <v>8.8542754299999995</v>
      </c>
      <c r="T2201">
        <v>8.6705768299999999</v>
      </c>
      <c r="U2201">
        <v>8.0599996600000008</v>
      </c>
      <c r="V2201">
        <v>7.1297531699999999</v>
      </c>
      <c r="W2201">
        <v>7.0294396499999996</v>
      </c>
      <c r="X2201">
        <v>7.2489331899999998</v>
      </c>
      <c r="Y2201">
        <v>6.8531227499999998</v>
      </c>
      <c r="Z2201">
        <v>6.0223837099999997</v>
      </c>
      <c r="AA2201">
        <v>5.8610135400000001</v>
      </c>
      <c r="AB2201">
        <v>5.7967277599999996</v>
      </c>
    </row>
    <row r="2202" spans="1:28" hidden="1" x14ac:dyDescent="0.25">
      <c r="A2202" t="s">
        <v>408</v>
      </c>
      <c r="B2202" t="s">
        <v>449</v>
      </c>
      <c r="C2202">
        <v>34</v>
      </c>
      <c r="D2202" t="s">
        <v>3</v>
      </c>
      <c r="E2202">
        <v>0.60050400510000002</v>
      </c>
      <c r="F2202">
        <v>0.57889227580000002</v>
      </c>
      <c r="G2202">
        <v>0.61135473429999998</v>
      </c>
      <c r="H2202">
        <v>0.55010736029999996</v>
      </c>
      <c r="I2202">
        <v>0.59122889540000001</v>
      </c>
      <c r="J2202">
        <v>0.30422321229999999</v>
      </c>
      <c r="K2202">
        <v>0.18946447550000001</v>
      </c>
      <c r="L2202">
        <v>0.70116409359999998</v>
      </c>
      <c r="M2202">
        <v>1.1085751930000001</v>
      </c>
      <c r="N2202">
        <v>1.5435071301000001</v>
      </c>
      <c r="O2202">
        <v>2.0190874118000002</v>
      </c>
      <c r="P2202">
        <v>2.2043172456</v>
      </c>
      <c r="Q2202">
        <v>2.1832841947000001</v>
      </c>
      <c r="R2202">
        <v>1.9967916274999999</v>
      </c>
      <c r="S2202">
        <v>1.8428470805999999</v>
      </c>
      <c r="T2202">
        <v>1.4207268935999999</v>
      </c>
      <c r="U2202">
        <v>0.91917578509999998</v>
      </c>
      <c r="V2202">
        <v>0.60236878090000001</v>
      </c>
      <c r="W2202">
        <v>0.65552356599999995</v>
      </c>
      <c r="X2202">
        <v>0.78073251600000004</v>
      </c>
      <c r="Y2202">
        <v>0.74454934260000005</v>
      </c>
      <c r="Z2202">
        <v>0.63250578499999999</v>
      </c>
      <c r="AA2202">
        <v>0.72335041170000003</v>
      </c>
      <c r="AB2202">
        <v>0.71972822830000005</v>
      </c>
    </row>
    <row r="2203" spans="1:28" hidden="1" x14ac:dyDescent="0.25">
      <c r="A2203" t="s">
        <v>408</v>
      </c>
      <c r="B2203" t="s">
        <v>449</v>
      </c>
      <c r="C2203">
        <v>34</v>
      </c>
      <c r="D2203" t="s">
        <v>4</v>
      </c>
      <c r="E2203">
        <v>0.1724397</v>
      </c>
      <c r="F2203">
        <v>0.16339131000000001</v>
      </c>
      <c r="G2203">
        <v>0.16983864000000001</v>
      </c>
      <c r="H2203">
        <v>0.17176188000000001</v>
      </c>
      <c r="I2203">
        <v>0.22383992999999999</v>
      </c>
      <c r="J2203">
        <v>0.17956440000000001</v>
      </c>
      <c r="K2203">
        <v>0.19746573000000001</v>
      </c>
      <c r="L2203">
        <v>0.23014143000000001</v>
      </c>
      <c r="M2203">
        <v>0.26004429000000001</v>
      </c>
      <c r="N2203">
        <v>0.26957439</v>
      </c>
      <c r="O2203">
        <v>0.27253470000000002</v>
      </c>
      <c r="P2203">
        <v>0.27623931000000002</v>
      </c>
      <c r="Q2203">
        <v>0.27199707000000001</v>
      </c>
      <c r="R2203">
        <v>0.26466411000000001</v>
      </c>
      <c r="S2203">
        <v>0.27384356999999998</v>
      </c>
      <c r="T2203">
        <v>0.26816216999999998</v>
      </c>
      <c r="U2203">
        <v>0.24927833999999999</v>
      </c>
      <c r="V2203">
        <v>0.22050782999999999</v>
      </c>
      <c r="W2203">
        <v>0.21740535</v>
      </c>
      <c r="X2203">
        <v>0.22419380999999999</v>
      </c>
      <c r="Y2203">
        <v>0.21195225000000001</v>
      </c>
      <c r="Z2203">
        <v>0.18625928999999999</v>
      </c>
      <c r="AA2203">
        <v>0.18126845999999999</v>
      </c>
      <c r="AB2203">
        <v>0.17928024000000001</v>
      </c>
    </row>
    <row r="2204" spans="1:28" hidden="1" x14ac:dyDescent="0.25">
      <c r="A2204" t="s">
        <v>408</v>
      </c>
      <c r="B2204" t="s">
        <v>450</v>
      </c>
      <c r="C2204">
        <v>115</v>
      </c>
      <c r="D2204" t="s">
        <v>2</v>
      </c>
      <c r="E2204">
        <v>4.3579995250000003</v>
      </c>
      <c r="F2204">
        <v>4.2385594099999997</v>
      </c>
      <c r="G2204">
        <v>4.266644715</v>
      </c>
      <c r="H2204">
        <v>4.2056495749999998</v>
      </c>
      <c r="I2204">
        <v>4.2453125700000003</v>
      </c>
      <c r="J2204">
        <v>4.4622765500000003</v>
      </c>
      <c r="K2204">
        <v>4.3832608349999997</v>
      </c>
      <c r="L2204">
        <v>4.3381911750000004</v>
      </c>
      <c r="M2204">
        <v>4.1244658750000003</v>
      </c>
      <c r="N2204">
        <v>4.1635132449999999</v>
      </c>
      <c r="O2204">
        <v>4.2781761100000004</v>
      </c>
      <c r="P2204">
        <v>4.5318707399999996</v>
      </c>
      <c r="Q2204">
        <v>4.5361623849999999</v>
      </c>
      <c r="R2204">
        <v>4.655026275</v>
      </c>
      <c r="S2204">
        <v>4.8312870999999999</v>
      </c>
      <c r="T2204">
        <v>4.9196534200000004</v>
      </c>
      <c r="U2204">
        <v>5.1397487149999996</v>
      </c>
      <c r="V2204">
        <v>5.3010286750000004</v>
      </c>
      <c r="W2204">
        <v>6.0007253949999999</v>
      </c>
      <c r="X2204">
        <v>6.043267545</v>
      </c>
      <c r="Y2204">
        <v>5.9325939300000003</v>
      </c>
      <c r="Z2204">
        <v>5.4960468550000003</v>
      </c>
      <c r="AA2204">
        <v>5.0646848200000001</v>
      </c>
      <c r="AB2204">
        <v>4.6691157150000002</v>
      </c>
    </row>
    <row r="2205" spans="1:28" hidden="1" x14ac:dyDescent="0.25">
      <c r="A2205" t="s">
        <v>408</v>
      </c>
      <c r="B2205" t="s">
        <v>450</v>
      </c>
      <c r="C2205">
        <v>115</v>
      </c>
      <c r="D2205" t="s">
        <v>3</v>
      </c>
      <c r="E2205">
        <v>0.17332999460000001</v>
      </c>
      <c r="F2205">
        <v>4.2387713299999998E-2</v>
      </c>
      <c r="G2205">
        <v>0.21181426919999999</v>
      </c>
      <c r="H2205">
        <v>0.21875361360000001</v>
      </c>
      <c r="I2205">
        <v>0.18615441190000001</v>
      </c>
      <c r="J2205">
        <v>0.16705081429999999</v>
      </c>
      <c r="K2205">
        <v>0.21222009019999999</v>
      </c>
      <c r="L2205">
        <v>0.3200314031</v>
      </c>
      <c r="M2205">
        <v>0.35723565769999999</v>
      </c>
      <c r="N2205">
        <v>0.4376792062</v>
      </c>
      <c r="O2205">
        <v>0.50147795090000002</v>
      </c>
      <c r="P2205">
        <v>0.51519890410000002</v>
      </c>
      <c r="Q2205">
        <v>0.51649965860000002</v>
      </c>
      <c r="R2205">
        <v>0.49427624840000001</v>
      </c>
      <c r="S2205">
        <v>0.44152671020000001</v>
      </c>
      <c r="T2205">
        <v>0.36693844120000002</v>
      </c>
      <c r="U2205">
        <v>0.24017356549999999</v>
      </c>
      <c r="V2205">
        <v>0.1941470035</v>
      </c>
      <c r="W2205">
        <v>0.24464037390000001</v>
      </c>
      <c r="X2205">
        <v>0.21290480079999999</v>
      </c>
      <c r="Y2205">
        <v>0.20900576039999999</v>
      </c>
      <c r="Z2205">
        <v>0.16122819199999999</v>
      </c>
      <c r="AA2205">
        <v>0.1633949395</v>
      </c>
      <c r="AB2205">
        <v>0.1477057984</v>
      </c>
    </row>
    <row r="2206" spans="1:28" hidden="1" x14ac:dyDescent="0.25">
      <c r="A2206" t="s">
        <v>408</v>
      </c>
      <c r="B2206" t="s">
        <v>450</v>
      </c>
      <c r="C2206">
        <v>115</v>
      </c>
      <c r="D2206" t="s">
        <v>4</v>
      </c>
      <c r="E2206">
        <v>6.6365474999999993E-2</v>
      </c>
      <c r="F2206">
        <v>6.4546590000000001E-2</v>
      </c>
      <c r="G2206">
        <v>6.4974285000000007E-2</v>
      </c>
      <c r="H2206">
        <v>6.4045425000000003E-2</v>
      </c>
      <c r="I2206">
        <v>6.4649429999999994E-2</v>
      </c>
      <c r="J2206">
        <v>6.7953449999999999E-2</v>
      </c>
      <c r="K2206">
        <v>6.6750165E-2</v>
      </c>
      <c r="L2206">
        <v>6.6063825000000007E-2</v>
      </c>
      <c r="M2206">
        <v>6.2809124999999993E-2</v>
      </c>
      <c r="N2206">
        <v>6.3403755000000006E-2</v>
      </c>
      <c r="O2206">
        <v>6.5149890000000002E-2</v>
      </c>
      <c r="P2206">
        <v>6.9013260000000007E-2</v>
      </c>
      <c r="Q2206">
        <v>6.9078614999999996E-2</v>
      </c>
      <c r="R2206">
        <v>7.0888725E-2</v>
      </c>
      <c r="S2206">
        <v>7.3572899999999997E-2</v>
      </c>
      <c r="T2206">
        <v>7.4918579900000004E-2</v>
      </c>
      <c r="U2206">
        <v>7.8270284999999995E-2</v>
      </c>
      <c r="V2206">
        <v>8.0726325000000002E-2</v>
      </c>
      <c r="W2206">
        <v>9.1381605000000005E-2</v>
      </c>
      <c r="X2206">
        <v>9.2029454999999996E-2</v>
      </c>
      <c r="Y2206">
        <v>9.0344069999999999E-2</v>
      </c>
      <c r="Z2206">
        <v>8.3696145E-2</v>
      </c>
      <c r="AA2206">
        <v>7.7127180000000004E-2</v>
      </c>
      <c r="AB2206">
        <v>7.1103285000000002E-2</v>
      </c>
    </row>
    <row r="2207" spans="1:28" hidden="1" x14ac:dyDescent="0.25">
      <c r="A2207" t="s">
        <v>408</v>
      </c>
      <c r="B2207" t="s">
        <v>451</v>
      </c>
      <c r="C2207">
        <v>115</v>
      </c>
      <c r="D2207" t="s">
        <v>2</v>
      </c>
      <c r="E2207">
        <v>6.4602249399999998</v>
      </c>
      <c r="F2207">
        <v>6.4555274750000002</v>
      </c>
      <c r="G2207">
        <v>6.4441605749999997</v>
      </c>
      <c r="H2207">
        <v>6.3857648500000002</v>
      </c>
      <c r="I2207">
        <v>6.2833839500000002</v>
      </c>
      <c r="J2207">
        <v>6.3597746400000004</v>
      </c>
      <c r="K2207">
        <v>6.0900176149999998</v>
      </c>
      <c r="L2207">
        <v>5.6003632799999998</v>
      </c>
      <c r="M2207">
        <v>5.3851092600000001</v>
      </c>
      <c r="N2207">
        <v>5.5361629499999996</v>
      </c>
      <c r="O2207">
        <v>5.5922715050000003</v>
      </c>
      <c r="P2207">
        <v>5.81620633</v>
      </c>
      <c r="Q2207">
        <v>5.8612651549999999</v>
      </c>
      <c r="R2207">
        <v>5.8480553200000003</v>
      </c>
      <c r="S2207">
        <v>5.920631105</v>
      </c>
      <c r="T2207">
        <v>5.9137282249999998</v>
      </c>
      <c r="U2207">
        <v>6.024851</v>
      </c>
      <c r="V2207">
        <v>6.2220430750000002</v>
      </c>
      <c r="W2207">
        <v>6.5751025350000001</v>
      </c>
      <c r="X2207">
        <v>6.6387581600000001</v>
      </c>
      <c r="Y2207">
        <v>6.6873767749999997</v>
      </c>
      <c r="Z2207">
        <v>6.5835548199999998</v>
      </c>
      <c r="AA2207">
        <v>6.5783057549999997</v>
      </c>
      <c r="AB2207">
        <v>6.5248281349999999</v>
      </c>
    </row>
    <row r="2208" spans="1:28" hidden="1" x14ac:dyDescent="0.25">
      <c r="A2208" t="s">
        <v>408</v>
      </c>
      <c r="B2208" t="s">
        <v>451</v>
      </c>
      <c r="C2208">
        <v>115</v>
      </c>
      <c r="D2208" t="s">
        <v>3</v>
      </c>
      <c r="E2208">
        <v>1.8333834594</v>
      </c>
      <c r="F2208">
        <v>1.765701674</v>
      </c>
      <c r="G2208">
        <v>1.8121873998</v>
      </c>
      <c r="H2208">
        <v>1.7812108675</v>
      </c>
      <c r="I2208">
        <v>1.7486167025999999</v>
      </c>
      <c r="J2208">
        <v>1.7220830385999999</v>
      </c>
      <c r="K2208">
        <v>1.6045424987000001</v>
      </c>
      <c r="L2208">
        <v>1.4274116282</v>
      </c>
      <c r="M2208">
        <v>1.3356859235</v>
      </c>
      <c r="N2208">
        <v>1.3648316299000001</v>
      </c>
      <c r="O2208">
        <v>1.3692196078000001</v>
      </c>
      <c r="P2208">
        <v>1.4209346763999999</v>
      </c>
      <c r="Q2208">
        <v>1.5349010510000001</v>
      </c>
      <c r="R2208">
        <v>1.5217967321000001</v>
      </c>
      <c r="S2208">
        <v>1.4949461095000001</v>
      </c>
      <c r="T2208">
        <v>1.5595842054</v>
      </c>
      <c r="U2208">
        <v>1.5695901825</v>
      </c>
      <c r="V2208">
        <v>1.6704309597</v>
      </c>
      <c r="W2208">
        <v>1.7458295156000001</v>
      </c>
      <c r="X2208">
        <v>1.7951705049</v>
      </c>
      <c r="Y2208">
        <v>1.8709677545000001</v>
      </c>
      <c r="Z2208">
        <v>1.8148904387</v>
      </c>
      <c r="AA2208">
        <v>1.8401890208</v>
      </c>
      <c r="AB2208">
        <v>1.8105583761999999</v>
      </c>
    </row>
    <row r="2209" spans="1:28" hidden="1" x14ac:dyDescent="0.25">
      <c r="A2209" t="s">
        <v>408</v>
      </c>
      <c r="B2209" t="s">
        <v>451</v>
      </c>
      <c r="C2209">
        <v>115</v>
      </c>
      <c r="D2209" t="s">
        <v>4</v>
      </c>
      <c r="E2209">
        <v>9.8379060000000004E-2</v>
      </c>
      <c r="F2209">
        <v>9.8307525000000007E-2</v>
      </c>
      <c r="G2209">
        <v>9.8134424999999997E-2</v>
      </c>
      <c r="H2209">
        <v>9.7245150000000002E-2</v>
      </c>
      <c r="I2209">
        <v>9.5686049999999995E-2</v>
      </c>
      <c r="J2209">
        <v>9.6849359999999995E-2</v>
      </c>
      <c r="K2209">
        <v>9.2741384999999996E-2</v>
      </c>
      <c r="L2209">
        <v>8.5284719999999994E-2</v>
      </c>
      <c r="M2209">
        <v>8.2006739999999995E-2</v>
      </c>
      <c r="N2209">
        <v>8.4307049999999994E-2</v>
      </c>
      <c r="O2209">
        <v>8.5161495000000004E-2</v>
      </c>
      <c r="P2209">
        <v>8.8571670000000005E-2</v>
      </c>
      <c r="Q2209">
        <v>8.9257845000000002E-2</v>
      </c>
      <c r="R2209">
        <v>8.9056679999999999E-2</v>
      </c>
      <c r="S2209">
        <v>9.0161895000000006E-2</v>
      </c>
      <c r="T2209">
        <v>9.0056775000000006E-2</v>
      </c>
      <c r="U2209">
        <v>9.1748999999999997E-2</v>
      </c>
      <c r="V2209">
        <v>9.4751925000000001E-2</v>
      </c>
      <c r="W2209">
        <v>0.100128465</v>
      </c>
      <c r="X2209">
        <v>0.10109783999999999</v>
      </c>
      <c r="Y2209">
        <v>0.101838225</v>
      </c>
      <c r="Z2209">
        <v>0.10025718</v>
      </c>
      <c r="AA2209">
        <v>0.100177245</v>
      </c>
      <c r="AB2209">
        <v>9.9362864999999995E-2</v>
      </c>
    </row>
    <row r="2210" spans="1:28" x14ac:dyDescent="0.25">
      <c r="A2210" t="s">
        <v>408</v>
      </c>
      <c r="B2210" t="s">
        <v>452</v>
      </c>
      <c r="C2210">
        <v>115</v>
      </c>
      <c r="D2210" t="s">
        <v>2</v>
      </c>
      <c r="E2210">
        <v>9.8410946149999994</v>
      </c>
      <c r="F2210">
        <v>9.8854501500000005</v>
      </c>
      <c r="G2210">
        <v>9.2135964250000004</v>
      </c>
      <c r="H2210">
        <v>10.324897065</v>
      </c>
      <c r="I2210">
        <v>9.6425777149999998</v>
      </c>
      <c r="J2210">
        <v>10.06415082</v>
      </c>
      <c r="K2210">
        <v>9.7141044749999992</v>
      </c>
      <c r="L2210">
        <v>8.7683291449999992</v>
      </c>
      <c r="M2210">
        <v>7.9457024550000002</v>
      </c>
      <c r="N2210">
        <v>7.4043336499999999</v>
      </c>
      <c r="O2210">
        <v>6.8651170700000002</v>
      </c>
      <c r="P2210">
        <v>7.4460897700000004</v>
      </c>
      <c r="Q2210">
        <v>7.1432239400000004</v>
      </c>
      <c r="R2210">
        <v>7.6676615799999999</v>
      </c>
      <c r="S2210">
        <v>8.2210867850000007</v>
      </c>
      <c r="T2210">
        <v>9.0886797099999992</v>
      </c>
      <c r="U2210">
        <v>10.258992685000001</v>
      </c>
      <c r="V2210">
        <v>11.367261494999999</v>
      </c>
      <c r="W2210">
        <v>13.082185895</v>
      </c>
      <c r="X2210">
        <v>11.706190145000001</v>
      </c>
      <c r="Y2210">
        <v>13.216249319999999</v>
      </c>
      <c r="Z2210">
        <v>12.11745818</v>
      </c>
      <c r="AA2210">
        <v>11.533726495</v>
      </c>
      <c r="AB2210">
        <v>10.76432625</v>
      </c>
    </row>
    <row r="2211" spans="1:28" x14ac:dyDescent="0.25">
      <c r="A2211" t="s">
        <v>408</v>
      </c>
      <c r="B2211" t="s">
        <v>452</v>
      </c>
      <c r="C2211">
        <v>115</v>
      </c>
      <c r="D2211" t="s">
        <v>3</v>
      </c>
      <c r="E2211">
        <v>1.2194457726000001</v>
      </c>
      <c r="F2211">
        <v>1.1405357821</v>
      </c>
      <c r="G2211">
        <v>1.0847999712</v>
      </c>
      <c r="H2211">
        <v>1.2075607549</v>
      </c>
      <c r="I2211">
        <v>1.1820429990000001</v>
      </c>
      <c r="J2211">
        <v>0.6762656816</v>
      </c>
      <c r="K2211">
        <v>0.88344733710000001</v>
      </c>
      <c r="L2211">
        <v>0.82243109640000001</v>
      </c>
      <c r="M2211">
        <v>0.82910327340000001</v>
      </c>
      <c r="N2211">
        <v>0.71031620080000002</v>
      </c>
      <c r="O2211">
        <v>0.71835190299999996</v>
      </c>
      <c r="P2211">
        <v>0.6862421433</v>
      </c>
      <c r="Q2211">
        <v>0.73061483839999997</v>
      </c>
      <c r="R2211">
        <v>0.74843397909999998</v>
      </c>
      <c r="S2211">
        <v>0.67664195549999995</v>
      </c>
      <c r="T2211">
        <v>0.84656776990000004</v>
      </c>
      <c r="U2211">
        <v>0.77756344980000003</v>
      </c>
      <c r="V2211">
        <v>0.94944138609999995</v>
      </c>
      <c r="W2211">
        <v>1.1587795620000001</v>
      </c>
      <c r="X2211">
        <v>1.4783330524</v>
      </c>
      <c r="Y2211">
        <v>1.1338570970999999</v>
      </c>
      <c r="Z2211">
        <v>1.0017875688</v>
      </c>
      <c r="AA2211">
        <v>1.1762379888000001</v>
      </c>
      <c r="AB2211">
        <v>1.4342400975</v>
      </c>
    </row>
    <row r="2212" spans="1:28" x14ac:dyDescent="0.25">
      <c r="A2212" t="s">
        <v>408</v>
      </c>
      <c r="B2212" t="s">
        <v>452</v>
      </c>
      <c r="C2212">
        <v>115</v>
      </c>
      <c r="D2212" t="s">
        <v>4</v>
      </c>
      <c r="E2212">
        <v>0.14986438499999999</v>
      </c>
      <c r="F2212">
        <v>0.15053985</v>
      </c>
      <c r="G2212">
        <v>0.14030857499999999</v>
      </c>
      <c r="H2212">
        <v>0.15723193499999999</v>
      </c>
      <c r="I2212">
        <v>0.14684128499999999</v>
      </c>
      <c r="J2212">
        <v>0.15326118</v>
      </c>
      <c r="K2212">
        <v>0.14793052500000001</v>
      </c>
      <c r="L2212">
        <v>0.133527855</v>
      </c>
      <c r="M2212">
        <v>0.121000545</v>
      </c>
      <c r="N2212">
        <v>0.11275635000000001</v>
      </c>
      <c r="O2212">
        <v>0.10454492999999999</v>
      </c>
      <c r="P2212">
        <v>0.11339223</v>
      </c>
      <c r="Q2212">
        <v>0.10878006</v>
      </c>
      <c r="R2212">
        <v>0.11676642</v>
      </c>
      <c r="S2212">
        <v>0.125194215</v>
      </c>
      <c r="T2212">
        <v>0.13840628999999999</v>
      </c>
      <c r="U2212">
        <v>0.15622831500000001</v>
      </c>
      <c r="V2212">
        <v>0.17310550499999999</v>
      </c>
      <c r="W2212">
        <v>0.19922110500000001</v>
      </c>
      <c r="X2212">
        <v>0.178266855</v>
      </c>
      <c r="Y2212">
        <v>0.20126268</v>
      </c>
      <c r="Z2212">
        <v>0.18452982000000001</v>
      </c>
      <c r="AA2212">
        <v>0.175640505</v>
      </c>
      <c r="AB2212">
        <v>0.16392375000000001</v>
      </c>
    </row>
    <row r="2213" spans="1:28" x14ac:dyDescent="0.25">
      <c r="A2213" t="s">
        <v>408</v>
      </c>
      <c r="B2213" t="s">
        <v>453</v>
      </c>
      <c r="C2213">
        <v>115</v>
      </c>
      <c r="D2213" t="s">
        <v>2</v>
      </c>
      <c r="E2213">
        <v>8.0040902999999997</v>
      </c>
      <c r="F2213">
        <v>7.7824515099999996</v>
      </c>
      <c r="G2213">
        <v>7.7351360500000004</v>
      </c>
      <c r="H2213">
        <v>7.7583308300000002</v>
      </c>
      <c r="I2213">
        <v>7.8327485650000002</v>
      </c>
      <c r="J2213">
        <v>8.0540662449999996</v>
      </c>
      <c r="K2213">
        <v>8.0572202149999992</v>
      </c>
      <c r="L2213">
        <v>7.6064625450000003</v>
      </c>
      <c r="M2213">
        <v>7.319593115</v>
      </c>
      <c r="N2213">
        <v>6.6952262400000002</v>
      </c>
      <c r="O2213">
        <v>6.358335555</v>
      </c>
      <c r="P2213">
        <v>6.6020974450000001</v>
      </c>
      <c r="Q2213">
        <v>7.0014686499999996</v>
      </c>
      <c r="R2213">
        <v>7.3290560100000004</v>
      </c>
      <c r="S2213">
        <v>7.4443955700000002</v>
      </c>
      <c r="T2213">
        <v>7.8308711549999996</v>
      </c>
      <c r="U2213">
        <v>8.5673861900000006</v>
      </c>
      <c r="V2213">
        <v>9.6014057000000008</v>
      </c>
      <c r="W2213">
        <v>10.75444867</v>
      </c>
      <c r="X2213">
        <v>10.665042189999999</v>
      </c>
      <c r="Y2213">
        <v>10.431100750000001</v>
      </c>
      <c r="Z2213">
        <v>9.9252342999999996</v>
      </c>
      <c r="AA2213">
        <v>9.1588520950000003</v>
      </c>
      <c r="AB2213">
        <v>8.6997711750000004</v>
      </c>
    </row>
    <row r="2214" spans="1:28" x14ac:dyDescent="0.25">
      <c r="A2214" t="s">
        <v>408</v>
      </c>
      <c r="B2214" t="s">
        <v>453</v>
      </c>
      <c r="C2214">
        <v>115</v>
      </c>
      <c r="D2214" t="s">
        <v>3</v>
      </c>
      <c r="E2214">
        <v>0.77038575279999999</v>
      </c>
      <c r="F2214">
        <v>0.68756549290000002</v>
      </c>
      <c r="G2214">
        <v>0.71627323300000001</v>
      </c>
      <c r="H2214">
        <v>0.71331166609999996</v>
      </c>
      <c r="I2214">
        <v>0.72359662499999999</v>
      </c>
      <c r="J2214">
        <v>0.69287582380000001</v>
      </c>
      <c r="K2214">
        <v>0.60961073649999997</v>
      </c>
      <c r="L2214">
        <v>0.70602023599999997</v>
      </c>
      <c r="M2214">
        <v>0.78557229039999998</v>
      </c>
      <c r="N2214">
        <v>0.85898628259999998</v>
      </c>
      <c r="O2214">
        <v>0.96579117810000004</v>
      </c>
      <c r="P2214">
        <v>1.0329802534999999</v>
      </c>
      <c r="Q2214">
        <v>1.1202637845000001</v>
      </c>
      <c r="R2214">
        <v>1.0700120322</v>
      </c>
      <c r="S2214">
        <v>1.1108134488000001</v>
      </c>
      <c r="T2214">
        <v>1.0195943953</v>
      </c>
      <c r="U2214">
        <v>1.0735771705999999</v>
      </c>
      <c r="V2214">
        <v>1.0724186103</v>
      </c>
      <c r="W2214">
        <v>1.1754357375</v>
      </c>
      <c r="X2214">
        <v>1.383559931</v>
      </c>
      <c r="Y2214">
        <v>1.2882425206999999</v>
      </c>
      <c r="Z2214">
        <v>1.1949797982999999</v>
      </c>
      <c r="AA2214">
        <v>1.0894177987</v>
      </c>
      <c r="AB2214">
        <v>0.97567134470000005</v>
      </c>
    </row>
    <row r="2215" spans="1:28" x14ac:dyDescent="0.25">
      <c r="A2215" t="s">
        <v>408</v>
      </c>
      <c r="B2215" t="s">
        <v>453</v>
      </c>
      <c r="C2215">
        <v>115</v>
      </c>
      <c r="D2215" t="s">
        <v>4</v>
      </c>
      <c r="E2215">
        <v>0.1218897</v>
      </c>
      <c r="F2215">
        <v>0.11851449</v>
      </c>
      <c r="G2215">
        <v>0.11779394999999999</v>
      </c>
      <c r="H2215">
        <v>0.11814717</v>
      </c>
      <c r="I2215">
        <v>0.119280435</v>
      </c>
      <c r="J2215">
        <v>0.122650755</v>
      </c>
      <c r="K2215">
        <v>0.122698785</v>
      </c>
      <c r="L2215">
        <v>0.115834455</v>
      </c>
      <c r="M2215">
        <v>0.111465885</v>
      </c>
      <c r="N2215">
        <v>0.10195775999999999</v>
      </c>
      <c r="O2215">
        <v>9.6827444999999998E-2</v>
      </c>
      <c r="P2215">
        <v>0.100539555</v>
      </c>
      <c r="Q2215">
        <v>0.10662135</v>
      </c>
      <c r="R2215">
        <v>0.11160999000000001</v>
      </c>
      <c r="S2215">
        <v>0.11336643</v>
      </c>
      <c r="T2215">
        <v>0.119251845</v>
      </c>
      <c r="U2215">
        <v>0.13046780999999999</v>
      </c>
      <c r="V2215">
        <v>0.14621429999999999</v>
      </c>
      <c r="W2215">
        <v>0.16377332999999999</v>
      </c>
      <c r="X2215">
        <v>0.16241180999999999</v>
      </c>
      <c r="Y2215">
        <v>0.15884925</v>
      </c>
      <c r="Z2215">
        <v>0.15114569999999999</v>
      </c>
      <c r="AA2215">
        <v>0.13947490500000001</v>
      </c>
      <c r="AB2215">
        <v>0.132483825</v>
      </c>
    </row>
    <row r="2216" spans="1:28" hidden="1" x14ac:dyDescent="0.25">
      <c r="A2216" t="s">
        <v>408</v>
      </c>
      <c r="B2216" t="s">
        <v>454</v>
      </c>
      <c r="C2216">
        <v>115</v>
      </c>
      <c r="D2216" t="s">
        <v>2</v>
      </c>
      <c r="E2216">
        <v>12.504471575</v>
      </c>
      <c r="F2216">
        <v>11.996589815</v>
      </c>
      <c r="G2216">
        <v>11.873218565</v>
      </c>
      <c r="H2216">
        <v>11.777418450000001</v>
      </c>
      <c r="I2216">
        <v>13.662333165</v>
      </c>
      <c r="J2216">
        <v>12.664628635</v>
      </c>
      <c r="K2216">
        <v>13.271693985000001</v>
      </c>
      <c r="L2216">
        <v>13.432511979999999</v>
      </c>
      <c r="M2216">
        <v>13.29711979</v>
      </c>
      <c r="N2216">
        <v>11.317239255</v>
      </c>
      <c r="O2216">
        <v>7.7637690150000003</v>
      </c>
      <c r="P2216">
        <v>7.3298883349999997</v>
      </c>
      <c r="Q2216">
        <v>7.5253458249999996</v>
      </c>
      <c r="R2216">
        <v>8.9841071849999992</v>
      </c>
      <c r="S2216">
        <v>12.73643218</v>
      </c>
      <c r="T2216">
        <v>16.446181535000001</v>
      </c>
      <c r="U2216">
        <v>17.182615800000001</v>
      </c>
      <c r="V2216">
        <v>16.803325789999999</v>
      </c>
      <c r="W2216">
        <v>19.339869225000001</v>
      </c>
      <c r="X2216">
        <v>19.850963069999999</v>
      </c>
      <c r="Y2216">
        <v>18.850704435000001</v>
      </c>
      <c r="Z2216">
        <v>16.928649310000001</v>
      </c>
      <c r="AA2216">
        <v>15.251899570000001</v>
      </c>
      <c r="AB2216">
        <v>13.711985045</v>
      </c>
    </row>
    <row r="2217" spans="1:28" hidden="1" x14ac:dyDescent="0.25">
      <c r="A2217" t="s">
        <v>408</v>
      </c>
      <c r="B2217" t="s">
        <v>454</v>
      </c>
      <c r="C2217">
        <v>115</v>
      </c>
      <c r="D2217" t="s">
        <v>3</v>
      </c>
      <c r="E2217">
        <v>1.9606198399999999</v>
      </c>
      <c r="F2217">
        <v>1.8594478323000001</v>
      </c>
      <c r="G2217">
        <v>1.9013044297999999</v>
      </c>
      <c r="H2217">
        <v>2.0391463240999999</v>
      </c>
      <c r="I2217">
        <v>2.0157890393</v>
      </c>
      <c r="J2217">
        <v>1.6589058687</v>
      </c>
      <c r="K2217">
        <v>1.113314167</v>
      </c>
      <c r="L2217">
        <v>1.31948562</v>
      </c>
      <c r="M2217">
        <v>1.9544439773</v>
      </c>
      <c r="N2217">
        <v>2.4762019896999998</v>
      </c>
      <c r="O2217">
        <v>2.9327809249999999</v>
      </c>
      <c r="P2217">
        <v>3.2622986769</v>
      </c>
      <c r="Q2217">
        <v>3.0142897072000001</v>
      </c>
      <c r="R2217">
        <v>2.9135334100999999</v>
      </c>
      <c r="S2217">
        <v>2.6554048879000001</v>
      </c>
      <c r="T2217">
        <v>2.2917686390999998</v>
      </c>
      <c r="U2217">
        <v>1.5835741253</v>
      </c>
      <c r="V2217">
        <v>1.3197186809999999</v>
      </c>
      <c r="W2217">
        <v>1.8594046100999999</v>
      </c>
      <c r="X2217">
        <v>2.1752035429999999</v>
      </c>
      <c r="Y2217">
        <v>2.1055090146</v>
      </c>
      <c r="Z2217">
        <v>1.8232678688999999</v>
      </c>
      <c r="AA2217">
        <v>2.2342506474000001</v>
      </c>
      <c r="AB2217">
        <v>2.3583213404999999</v>
      </c>
    </row>
    <row r="2218" spans="1:28" hidden="1" x14ac:dyDescent="0.25">
      <c r="A2218" t="s">
        <v>408</v>
      </c>
      <c r="B2218" t="s">
        <v>454</v>
      </c>
      <c r="C2218">
        <v>115</v>
      </c>
      <c r="D2218" t="s">
        <v>4</v>
      </c>
      <c r="E2218">
        <v>0.19042342500000001</v>
      </c>
      <c r="F2218">
        <v>0.182689185</v>
      </c>
      <c r="G2218">
        <v>0.18081043499999999</v>
      </c>
      <c r="H2218">
        <v>0.17935155</v>
      </c>
      <c r="I2218">
        <v>0.20805583499999999</v>
      </c>
      <c r="J2218">
        <v>0.19286236500000001</v>
      </c>
      <c r="K2218">
        <v>0.202107015</v>
      </c>
      <c r="L2218">
        <v>0.20455602000000001</v>
      </c>
      <c r="M2218">
        <v>0.20249421000000001</v>
      </c>
      <c r="N2218">
        <v>0.17234374499999999</v>
      </c>
      <c r="O2218">
        <v>0.118229985</v>
      </c>
      <c r="P2218">
        <v>0.111622665</v>
      </c>
      <c r="Q2218">
        <v>0.114599175</v>
      </c>
      <c r="R2218">
        <v>0.13681381500000001</v>
      </c>
      <c r="S2218">
        <v>0.19395582</v>
      </c>
      <c r="T2218">
        <v>0.25044946499999998</v>
      </c>
      <c r="U2218">
        <v>0.26166420000000001</v>
      </c>
      <c r="V2218">
        <v>0.25588821</v>
      </c>
      <c r="W2218">
        <v>0.29451577499999998</v>
      </c>
      <c r="X2218">
        <v>0.30229893000000002</v>
      </c>
      <c r="Y2218">
        <v>0.287066565</v>
      </c>
      <c r="Z2218">
        <v>0.25779669</v>
      </c>
      <c r="AA2218">
        <v>0.23226242999999999</v>
      </c>
      <c r="AB2218">
        <v>0.20881195499999999</v>
      </c>
    </row>
    <row r="2219" spans="1:28" hidden="1" x14ac:dyDescent="0.25">
      <c r="A2219" t="s">
        <v>455</v>
      </c>
      <c r="B2219" t="s">
        <v>456</v>
      </c>
      <c r="C2219">
        <v>115</v>
      </c>
      <c r="D2219" t="s">
        <v>2</v>
      </c>
      <c r="E2219">
        <v>24.606546025</v>
      </c>
      <c r="F2219">
        <v>23.1487017</v>
      </c>
      <c r="G2219">
        <v>22.6525572</v>
      </c>
      <c r="H2219">
        <v>22.586158350000002</v>
      </c>
      <c r="I2219">
        <v>23.35952125</v>
      </c>
      <c r="J2219">
        <v>25.938280800000001</v>
      </c>
      <c r="K2219">
        <v>27.8746923</v>
      </c>
      <c r="L2219">
        <v>30.379547299999999</v>
      </c>
      <c r="M2219">
        <v>32.512584500000003</v>
      </c>
      <c r="N2219">
        <v>34.245051750000002</v>
      </c>
      <c r="O2219">
        <v>36.512689199999997</v>
      </c>
      <c r="P2219">
        <v>38.117017799999999</v>
      </c>
      <c r="Q2219">
        <v>38.657841900000001</v>
      </c>
      <c r="R2219">
        <v>38.493337050000001</v>
      </c>
      <c r="S2219">
        <v>39.193317450000002</v>
      </c>
      <c r="T2219">
        <v>39.608820000000001</v>
      </c>
      <c r="U2219">
        <v>39.295181225</v>
      </c>
      <c r="V2219">
        <v>38.6536458</v>
      </c>
      <c r="W2219">
        <v>41.304753599999998</v>
      </c>
      <c r="X2219">
        <v>40.911068800000002</v>
      </c>
      <c r="Y2219">
        <v>38.788314999999997</v>
      </c>
      <c r="Z2219">
        <v>35.094998400000001</v>
      </c>
      <c r="AA2219">
        <v>30.911269999999998</v>
      </c>
      <c r="AB2219">
        <v>27.291710200000001</v>
      </c>
    </row>
    <row r="2220" spans="1:28" hidden="1" x14ac:dyDescent="0.25">
      <c r="A2220" t="s">
        <v>455</v>
      </c>
      <c r="B2220" t="s">
        <v>456</v>
      </c>
      <c r="C2220">
        <v>115</v>
      </c>
      <c r="D2220" t="s">
        <v>3</v>
      </c>
      <c r="E2220">
        <v>14.5093266901</v>
      </c>
      <c r="F2220">
        <v>14.268998194</v>
      </c>
      <c r="G2220">
        <v>14.2622960583</v>
      </c>
      <c r="H2220">
        <v>14.2554098405</v>
      </c>
      <c r="I2220">
        <v>14.091801034</v>
      </c>
      <c r="J2220">
        <v>14.1513561559</v>
      </c>
      <c r="K2220">
        <v>14.6348180539</v>
      </c>
      <c r="L2220">
        <v>15.1759463868</v>
      </c>
      <c r="M2220">
        <v>15.908279392100001</v>
      </c>
      <c r="N2220">
        <v>16.6825065614</v>
      </c>
      <c r="O2220">
        <v>17.783061671199999</v>
      </c>
      <c r="P2220">
        <v>18.4058199786</v>
      </c>
      <c r="Q2220">
        <v>18.8431215743</v>
      </c>
      <c r="R2220">
        <v>18.7759816266</v>
      </c>
      <c r="S2220">
        <v>18.820933235599998</v>
      </c>
      <c r="T2220">
        <v>18.700607921100001</v>
      </c>
      <c r="U2220">
        <v>18.305277481800001</v>
      </c>
      <c r="V2220">
        <v>17.473509014299999</v>
      </c>
      <c r="W2220">
        <v>16.888096171899999</v>
      </c>
      <c r="X2220">
        <v>16.628551548299999</v>
      </c>
      <c r="Y2220">
        <v>16.115236703899999</v>
      </c>
      <c r="Z2220">
        <v>15.360042226299999</v>
      </c>
      <c r="AA2220">
        <v>14.8868614156</v>
      </c>
      <c r="AB2220">
        <v>14.613117991399999</v>
      </c>
    </row>
    <row r="2221" spans="1:28" hidden="1" x14ac:dyDescent="0.25">
      <c r="A2221" t="s">
        <v>455</v>
      </c>
      <c r="B2221" t="s">
        <v>456</v>
      </c>
      <c r="C2221">
        <v>115</v>
      </c>
      <c r="D2221" t="s">
        <v>4</v>
      </c>
      <c r="E2221">
        <v>0.37471897500000001</v>
      </c>
      <c r="F2221">
        <v>0.35251830000000001</v>
      </c>
      <c r="G2221">
        <v>0.34496280000000001</v>
      </c>
      <c r="H2221">
        <v>0.34395165</v>
      </c>
      <c r="I2221">
        <v>0.35572874999999998</v>
      </c>
      <c r="J2221">
        <v>0.39499919999999999</v>
      </c>
      <c r="K2221">
        <v>0.42448770000000002</v>
      </c>
      <c r="L2221">
        <v>0.46263270000000001</v>
      </c>
      <c r="M2221">
        <v>0.49511549999999999</v>
      </c>
      <c r="N2221">
        <v>0.52149825000000005</v>
      </c>
      <c r="O2221">
        <v>0.55603080000000005</v>
      </c>
      <c r="P2221">
        <v>0.58046220000000004</v>
      </c>
      <c r="Q2221">
        <v>0.5886981</v>
      </c>
      <c r="R2221">
        <v>0.58619295000000005</v>
      </c>
      <c r="S2221">
        <v>0.59685255000000004</v>
      </c>
      <c r="T2221">
        <v>0.60318000000000005</v>
      </c>
      <c r="U2221">
        <v>0.59840377499999997</v>
      </c>
      <c r="V2221">
        <v>0.5886342</v>
      </c>
      <c r="W2221">
        <v>0.62900639999999997</v>
      </c>
      <c r="X2221">
        <v>0.62301119999999999</v>
      </c>
      <c r="Y2221">
        <v>0.59068500000000002</v>
      </c>
      <c r="Z2221">
        <v>0.53444159999999996</v>
      </c>
      <c r="AA2221">
        <v>0.47072999999999998</v>
      </c>
      <c r="AB2221">
        <v>0.41560979999999997</v>
      </c>
    </row>
    <row r="2222" spans="1:28" hidden="1" x14ac:dyDescent="0.25">
      <c r="A2222" t="s">
        <v>455</v>
      </c>
      <c r="B2222" t="s">
        <v>457</v>
      </c>
      <c r="C2222">
        <v>33</v>
      </c>
      <c r="D2222" t="s">
        <v>2</v>
      </c>
      <c r="E2222">
        <v>24.706908800000001</v>
      </c>
      <c r="F2222">
        <v>23.269174799999998</v>
      </c>
      <c r="G2222">
        <v>22.762252799999999</v>
      </c>
      <c r="H2222">
        <v>22.669976699999999</v>
      </c>
      <c r="I2222">
        <v>23.307062999999999</v>
      </c>
      <c r="J2222">
        <v>26.2395864</v>
      </c>
      <c r="K2222">
        <v>28.8083016</v>
      </c>
      <c r="L2222">
        <v>31.943186399999998</v>
      </c>
      <c r="M2222">
        <v>35.096831000000002</v>
      </c>
      <c r="N2222">
        <v>37.490475750000002</v>
      </c>
      <c r="O2222">
        <v>40.081641599999998</v>
      </c>
      <c r="P2222">
        <v>41.721717599999998</v>
      </c>
      <c r="Q2222">
        <v>42.1989576</v>
      </c>
      <c r="R2222">
        <v>41.744376799999998</v>
      </c>
      <c r="S2222">
        <v>42.6868482</v>
      </c>
      <c r="T2222">
        <v>43.077093750000003</v>
      </c>
      <c r="U2222">
        <v>42.775302500000002</v>
      </c>
      <c r="V2222">
        <v>41.542306400000001</v>
      </c>
      <c r="W2222">
        <v>43.064275199999997</v>
      </c>
      <c r="X2222">
        <v>41.797067200000001</v>
      </c>
      <c r="Y2222">
        <v>39.223773600000001</v>
      </c>
      <c r="Z2222">
        <v>35.4098112</v>
      </c>
      <c r="AA2222">
        <v>31.271636000000001</v>
      </c>
      <c r="AB2222">
        <v>27.824876799999998</v>
      </c>
    </row>
    <row r="2223" spans="1:28" hidden="1" x14ac:dyDescent="0.25">
      <c r="A2223" t="s">
        <v>455</v>
      </c>
      <c r="B2223" t="s">
        <v>457</v>
      </c>
      <c r="C2223">
        <v>33</v>
      </c>
      <c r="D2223" t="s">
        <v>3</v>
      </c>
      <c r="E2223">
        <v>15.4825403619</v>
      </c>
      <c r="F2223">
        <v>15.239321350000001</v>
      </c>
      <c r="G2223">
        <v>15.1778162773</v>
      </c>
      <c r="H2223">
        <v>15.1322248468</v>
      </c>
      <c r="I2223">
        <v>14.832468091200001</v>
      </c>
      <c r="J2223">
        <v>15.1484109797</v>
      </c>
      <c r="K2223">
        <v>16.025356401100002</v>
      </c>
      <c r="L2223">
        <v>17.275832181399998</v>
      </c>
      <c r="M2223">
        <v>18.761682480000001</v>
      </c>
      <c r="N2223">
        <v>20.0023837964</v>
      </c>
      <c r="O2223">
        <v>21.231527321400002</v>
      </c>
      <c r="P2223">
        <v>21.884194557499999</v>
      </c>
      <c r="Q2223">
        <v>22.197043367199999</v>
      </c>
      <c r="R2223">
        <v>22.0357282915</v>
      </c>
      <c r="S2223">
        <v>22.291923066700001</v>
      </c>
      <c r="T2223">
        <v>22.158436178900001</v>
      </c>
      <c r="U2223">
        <v>21.694911705900001</v>
      </c>
      <c r="V2223">
        <v>20.422454673899999</v>
      </c>
      <c r="W2223">
        <v>19.454755989100001</v>
      </c>
      <c r="X2223">
        <v>18.8883926514</v>
      </c>
      <c r="Y2223">
        <v>18.1236416295</v>
      </c>
      <c r="Z2223">
        <v>17.196863330199999</v>
      </c>
      <c r="AA2223">
        <v>16.5228665968</v>
      </c>
      <c r="AB2223">
        <v>16.142222371300001</v>
      </c>
    </row>
    <row r="2224" spans="1:28" hidden="1" x14ac:dyDescent="0.25">
      <c r="A2224" t="s">
        <v>455</v>
      </c>
      <c r="B2224" t="s">
        <v>457</v>
      </c>
      <c r="C2224">
        <v>33</v>
      </c>
      <c r="D2224" t="s">
        <v>4</v>
      </c>
      <c r="E2224">
        <v>0.76413120000000001</v>
      </c>
      <c r="F2224">
        <v>0.7196652</v>
      </c>
      <c r="G2224">
        <v>0.70398720000000004</v>
      </c>
      <c r="H2224">
        <v>0.70113329999999996</v>
      </c>
      <c r="I2224">
        <v>0.72083699999999995</v>
      </c>
      <c r="J2224">
        <v>0.81153359999999997</v>
      </c>
      <c r="K2224">
        <v>0.89097839999999995</v>
      </c>
      <c r="L2224">
        <v>0.98793359999999997</v>
      </c>
      <c r="M2224">
        <v>1.085469</v>
      </c>
      <c r="N2224">
        <v>1.1594992500000001</v>
      </c>
      <c r="O2224">
        <v>1.2396384</v>
      </c>
      <c r="P2224">
        <v>1.2903624</v>
      </c>
      <c r="Q2224">
        <v>1.3051223999999999</v>
      </c>
      <c r="R2224">
        <v>1.2910632</v>
      </c>
      <c r="S2224">
        <v>1.3202118</v>
      </c>
      <c r="T2224">
        <v>1.3322812500000001</v>
      </c>
      <c r="U2224">
        <v>1.3229474999999999</v>
      </c>
      <c r="V2224">
        <v>1.2848135999999999</v>
      </c>
      <c r="W2224">
        <v>1.3318848000000001</v>
      </c>
      <c r="X2224">
        <v>1.2926928</v>
      </c>
      <c r="Y2224">
        <v>1.2131064</v>
      </c>
      <c r="Z2224">
        <v>1.0951488</v>
      </c>
      <c r="AA2224">
        <v>0.96716400000000002</v>
      </c>
      <c r="AB2224">
        <v>0.86056319999999997</v>
      </c>
    </row>
    <row r="2225" spans="1:28" hidden="1" x14ac:dyDescent="0.25">
      <c r="A2225" t="s">
        <v>455</v>
      </c>
      <c r="B2225" t="s">
        <v>458</v>
      </c>
      <c r="C2225">
        <v>115</v>
      </c>
      <c r="D2225" t="s">
        <v>2</v>
      </c>
      <c r="E2225">
        <v>17.571188450000001</v>
      </c>
      <c r="F2225">
        <v>16.710318149999999</v>
      </c>
      <c r="G2225">
        <v>16.249101750000001</v>
      </c>
      <c r="H2225">
        <v>16.409203649999998</v>
      </c>
      <c r="I2225">
        <v>16.95830175</v>
      </c>
      <c r="J2225">
        <v>18.296650799999998</v>
      </c>
      <c r="K2225">
        <v>19.659260400000001</v>
      </c>
      <c r="L2225">
        <v>21.8229902</v>
      </c>
      <c r="M2225">
        <v>22.866504124999999</v>
      </c>
      <c r="N2225">
        <v>23.620423124999999</v>
      </c>
      <c r="O2225">
        <v>25.113166</v>
      </c>
      <c r="P2225">
        <v>25.7833206</v>
      </c>
      <c r="Q2225">
        <v>25.765452700000001</v>
      </c>
      <c r="R2225">
        <v>25.879175875000001</v>
      </c>
      <c r="S2225">
        <v>26.670086550000001</v>
      </c>
      <c r="T2225">
        <v>27.207793124999998</v>
      </c>
      <c r="U2225">
        <v>26.778141049999999</v>
      </c>
      <c r="V2225">
        <v>25.733829275000002</v>
      </c>
      <c r="W2225">
        <v>26.978795399999999</v>
      </c>
      <c r="X2225">
        <v>26.702956</v>
      </c>
      <c r="Y2225">
        <v>25.530333200000001</v>
      </c>
      <c r="Z2225">
        <v>23.263651200000002</v>
      </c>
      <c r="AA2225">
        <v>20.849199500000001</v>
      </c>
      <c r="AB2225">
        <v>19.105769200000001</v>
      </c>
    </row>
    <row r="2226" spans="1:28" hidden="1" x14ac:dyDescent="0.25">
      <c r="A2226" t="s">
        <v>455</v>
      </c>
      <c r="B2226" t="s">
        <v>458</v>
      </c>
      <c r="C2226">
        <v>115</v>
      </c>
      <c r="D2226" t="s">
        <v>3</v>
      </c>
      <c r="E2226">
        <v>3.2310961513000001</v>
      </c>
      <c r="F2226">
        <v>3.0343686044</v>
      </c>
      <c r="G2226">
        <v>2.8697589833000001</v>
      </c>
      <c r="H2226">
        <v>2.9299816286000002</v>
      </c>
      <c r="I2226">
        <v>2.8204328759999999</v>
      </c>
      <c r="J2226">
        <v>2.7741562841</v>
      </c>
      <c r="K2226">
        <v>3.4357213593</v>
      </c>
      <c r="L2226">
        <v>4.8703182534999998</v>
      </c>
      <c r="M2226">
        <v>5.8331061967000002</v>
      </c>
      <c r="N2226">
        <v>6.5018797537999999</v>
      </c>
      <c r="O2226">
        <v>7.0671749219000004</v>
      </c>
      <c r="P2226">
        <v>7.3008515895999997</v>
      </c>
      <c r="Q2226">
        <v>7.2743158048999996</v>
      </c>
      <c r="R2226">
        <v>7.4280162202</v>
      </c>
      <c r="S2226">
        <v>7.6015208647000003</v>
      </c>
      <c r="T2226">
        <v>7.4661694492999997</v>
      </c>
      <c r="U2226">
        <v>6.9307323376000003</v>
      </c>
      <c r="V2226">
        <v>5.9711899127999999</v>
      </c>
      <c r="W2226">
        <v>5.5791001154000002</v>
      </c>
      <c r="X2226">
        <v>5.4695893163999996</v>
      </c>
      <c r="Y2226">
        <v>5.1169787535999998</v>
      </c>
      <c r="Z2226">
        <v>4.4566893821000004</v>
      </c>
      <c r="AA2226">
        <v>3.8777471600000002</v>
      </c>
      <c r="AB2226">
        <v>3.6210135192999999</v>
      </c>
    </row>
    <row r="2227" spans="1:28" hidden="1" x14ac:dyDescent="0.25">
      <c r="A2227" t="s">
        <v>455</v>
      </c>
      <c r="B2227" t="s">
        <v>458</v>
      </c>
      <c r="C2227">
        <v>115</v>
      </c>
      <c r="D2227" t="s">
        <v>4</v>
      </c>
      <c r="E2227">
        <v>0.26758155</v>
      </c>
      <c r="F2227">
        <v>0.25447185</v>
      </c>
      <c r="G2227">
        <v>0.24744825000000001</v>
      </c>
      <c r="H2227">
        <v>0.24988635000000001</v>
      </c>
      <c r="I2227">
        <v>0.25824825000000001</v>
      </c>
      <c r="J2227">
        <v>0.27862920000000002</v>
      </c>
      <c r="K2227">
        <v>0.29937960000000002</v>
      </c>
      <c r="L2227">
        <v>0.33232980000000001</v>
      </c>
      <c r="M2227">
        <v>0.34822087499999999</v>
      </c>
      <c r="N2227">
        <v>0.359701875</v>
      </c>
      <c r="O2227">
        <v>0.382434</v>
      </c>
      <c r="P2227">
        <v>0.39263940000000003</v>
      </c>
      <c r="Q2227">
        <v>0.39236729999999997</v>
      </c>
      <c r="R2227">
        <v>0.39409912499999999</v>
      </c>
      <c r="S2227">
        <v>0.40614345000000002</v>
      </c>
      <c r="T2227">
        <v>0.41433187500000002</v>
      </c>
      <c r="U2227">
        <v>0.40778894999999998</v>
      </c>
      <c r="V2227">
        <v>0.39188572500000002</v>
      </c>
      <c r="W2227">
        <v>0.4108446</v>
      </c>
      <c r="X2227">
        <v>0.40664400000000001</v>
      </c>
      <c r="Y2227">
        <v>0.38878679999999999</v>
      </c>
      <c r="Z2227">
        <v>0.35426879999999999</v>
      </c>
      <c r="AA2227">
        <v>0.31750050000000002</v>
      </c>
      <c r="AB2227">
        <v>0.29095080000000001</v>
      </c>
    </row>
    <row r="2228" spans="1:28" hidden="1" x14ac:dyDescent="0.25">
      <c r="A2228" t="s">
        <v>455</v>
      </c>
      <c r="B2228" t="s">
        <v>459</v>
      </c>
      <c r="C2228">
        <v>115</v>
      </c>
      <c r="D2228" t="s">
        <v>2</v>
      </c>
      <c r="E2228">
        <v>0.20579112499999999</v>
      </c>
      <c r="F2228">
        <v>4.4472749999999998E-2</v>
      </c>
      <c r="G2228">
        <v>3.9094650000000002E-2</v>
      </c>
      <c r="H2228">
        <v>3.9094650000000002E-2</v>
      </c>
      <c r="I2228">
        <v>3.9695500000000002E-2</v>
      </c>
      <c r="J2228">
        <v>3.9715199999999999E-2</v>
      </c>
      <c r="K2228">
        <v>4.2256500000000002E-2</v>
      </c>
      <c r="L2228">
        <v>7.0309300000000005E-2</v>
      </c>
      <c r="M2228">
        <v>9.3845874999999995E-2</v>
      </c>
      <c r="N2228">
        <v>0.10179974999999999</v>
      </c>
      <c r="O2228">
        <v>0.11268400000000001</v>
      </c>
      <c r="P2228">
        <v>0.1127628</v>
      </c>
      <c r="Q2228">
        <v>9.0186600000000006E-2</v>
      </c>
      <c r="R2228">
        <v>0.110078675</v>
      </c>
      <c r="S2228">
        <v>0.1246419</v>
      </c>
      <c r="T2228">
        <v>0.2526525</v>
      </c>
      <c r="U2228">
        <v>0.31740147499999999</v>
      </c>
      <c r="V2228">
        <v>0.30031172499999997</v>
      </c>
      <c r="W2228">
        <v>0.27623340000000002</v>
      </c>
      <c r="X2228">
        <v>0.26256160000000001</v>
      </c>
      <c r="Y2228">
        <v>0.26102500000000001</v>
      </c>
      <c r="Z2228">
        <v>0.24396480000000001</v>
      </c>
      <c r="AA2228">
        <v>0.20931250000000001</v>
      </c>
      <c r="AB2228">
        <v>0.2073622</v>
      </c>
    </row>
    <row r="2229" spans="1:28" hidden="1" x14ac:dyDescent="0.25">
      <c r="A2229" t="s">
        <v>455</v>
      </c>
      <c r="B2229" t="s">
        <v>459</v>
      </c>
      <c r="C2229">
        <v>115</v>
      </c>
      <c r="D2229" t="s">
        <v>3</v>
      </c>
      <c r="E2229">
        <v>1.7287843600000002E-2</v>
      </c>
      <c r="F2229">
        <v>3.9779220000000002E-4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4.1969559999999997E-4</v>
      </c>
      <c r="N2229">
        <v>0</v>
      </c>
      <c r="O2229">
        <v>5.039431E-4</v>
      </c>
      <c r="P2229">
        <v>1.0086213E-3</v>
      </c>
      <c r="Q2229">
        <v>0</v>
      </c>
      <c r="R2229">
        <v>6.9621250000000004E-4</v>
      </c>
      <c r="S2229">
        <v>1.8488993999999999E-3</v>
      </c>
      <c r="T2229">
        <v>3.0971605999999999E-2</v>
      </c>
      <c r="U2229">
        <v>5.5031607099999998E-2</v>
      </c>
      <c r="V2229">
        <v>3.4086590899999998E-2</v>
      </c>
      <c r="W2229">
        <v>5.2245354600000002E-2</v>
      </c>
      <c r="X2229">
        <v>4.8221343999999999E-2</v>
      </c>
      <c r="Y2229">
        <v>2.3593142000000001E-2</v>
      </c>
      <c r="Z2229">
        <v>1.58734606E-2</v>
      </c>
      <c r="AA2229">
        <v>1.06420638E-2</v>
      </c>
      <c r="AB2229">
        <v>1.38715331E-2</v>
      </c>
    </row>
    <row r="2230" spans="1:28" hidden="1" x14ac:dyDescent="0.25">
      <c r="A2230" t="s">
        <v>455</v>
      </c>
      <c r="B2230" t="s">
        <v>459</v>
      </c>
      <c r="C2230">
        <v>115</v>
      </c>
      <c r="D2230" t="s">
        <v>4</v>
      </c>
      <c r="E2230">
        <v>3.1338749999999999E-3</v>
      </c>
      <c r="F2230">
        <v>6.7724989999999998E-4</v>
      </c>
      <c r="G2230">
        <v>5.9535000000000002E-4</v>
      </c>
      <c r="H2230">
        <v>5.9535000000000002E-4</v>
      </c>
      <c r="I2230">
        <v>6.045E-4</v>
      </c>
      <c r="J2230">
        <v>6.0479999999999996E-4</v>
      </c>
      <c r="K2230">
        <v>6.4349999999999997E-4</v>
      </c>
      <c r="L2230">
        <v>1.0707E-3</v>
      </c>
      <c r="M2230">
        <v>1.4291250000000001E-3</v>
      </c>
      <c r="N2230">
        <v>1.55025E-3</v>
      </c>
      <c r="O2230">
        <v>1.7160000000000001E-3</v>
      </c>
      <c r="P2230">
        <v>1.7172000000000001E-3</v>
      </c>
      <c r="Q2230">
        <v>1.3734000000000001E-3</v>
      </c>
      <c r="R2230">
        <v>1.676325E-3</v>
      </c>
      <c r="S2230">
        <v>1.8981E-3</v>
      </c>
      <c r="T2230">
        <v>3.8474999999999998E-3</v>
      </c>
      <c r="U2230">
        <v>4.833525E-3</v>
      </c>
      <c r="V2230">
        <v>4.5732749999999999E-3</v>
      </c>
      <c r="W2230">
        <v>4.2065999999999996E-3</v>
      </c>
      <c r="X2230">
        <v>3.9984E-3</v>
      </c>
      <c r="Y2230">
        <v>3.9750000000000002E-3</v>
      </c>
      <c r="Z2230">
        <v>3.7152000000000001E-3</v>
      </c>
      <c r="AA2230">
        <v>3.1874999999999998E-3</v>
      </c>
      <c r="AB2230">
        <v>3.1578000000000001E-3</v>
      </c>
    </row>
    <row r="2231" spans="1:28" hidden="1" x14ac:dyDescent="0.25">
      <c r="A2231" t="s">
        <v>460</v>
      </c>
      <c r="B2231" t="s">
        <v>461</v>
      </c>
      <c r="C2231">
        <v>115</v>
      </c>
      <c r="D2231" t="s">
        <v>2</v>
      </c>
      <c r="E2231">
        <v>9.4033005299999992</v>
      </c>
      <c r="F2231">
        <v>8.6990925099999998</v>
      </c>
      <c r="G2231">
        <v>8.5118233249999999</v>
      </c>
      <c r="H2231">
        <v>8.3408485700000004</v>
      </c>
      <c r="I2231">
        <v>8.2188760199999997</v>
      </c>
      <c r="J2231">
        <v>8.9062129599999995</v>
      </c>
      <c r="K2231">
        <v>9.1738650400000008</v>
      </c>
      <c r="L2231">
        <v>9.7623704599999996</v>
      </c>
      <c r="M2231">
        <v>10.42792708</v>
      </c>
      <c r="N2231">
        <v>11.129252005</v>
      </c>
      <c r="O2231">
        <v>12.054955005</v>
      </c>
      <c r="P2231">
        <v>12.78981918</v>
      </c>
      <c r="Q2231">
        <v>12.93738203</v>
      </c>
      <c r="R2231">
        <v>13.39529868</v>
      </c>
      <c r="S2231">
        <v>13.550688340000001</v>
      </c>
      <c r="T2231">
        <v>13.82857654</v>
      </c>
      <c r="U2231">
        <v>14.36105178</v>
      </c>
      <c r="V2231">
        <v>14.809777394999999</v>
      </c>
      <c r="W2231">
        <v>16.560646415000001</v>
      </c>
      <c r="X2231">
        <v>16.539902314999999</v>
      </c>
      <c r="Y2231">
        <v>15.867206415</v>
      </c>
      <c r="Z2231">
        <v>14.41446045</v>
      </c>
      <c r="AA2231">
        <v>12.347082365</v>
      </c>
      <c r="AB2231">
        <v>10.573052055</v>
      </c>
    </row>
    <row r="2232" spans="1:28" hidden="1" x14ac:dyDescent="0.25">
      <c r="A2232" t="s">
        <v>460</v>
      </c>
      <c r="B2232" t="s">
        <v>461</v>
      </c>
      <c r="C2232">
        <v>115</v>
      </c>
      <c r="D2232" t="s">
        <v>3</v>
      </c>
      <c r="E2232">
        <v>1.8551085353000001</v>
      </c>
      <c r="F2232">
        <v>1.8282893628000001</v>
      </c>
      <c r="G2232">
        <v>1.5941580172000001</v>
      </c>
      <c r="H2232">
        <v>1.7957351323999999</v>
      </c>
      <c r="I2232">
        <v>1.6628837298000001</v>
      </c>
      <c r="J2232">
        <v>1.7086426903</v>
      </c>
      <c r="K2232">
        <v>1.8240755308000001</v>
      </c>
      <c r="L2232">
        <v>2.0001417192000002</v>
      </c>
      <c r="M2232">
        <v>2.0262566569999998</v>
      </c>
      <c r="N2232">
        <v>2.2848102666000001</v>
      </c>
      <c r="O2232">
        <v>2.4573084803</v>
      </c>
      <c r="P2232">
        <v>2.3165363830999999</v>
      </c>
      <c r="Q2232">
        <v>1.9992058011</v>
      </c>
      <c r="R2232">
        <v>2.1511155268</v>
      </c>
      <c r="S2232">
        <v>2.2957722491000001</v>
      </c>
      <c r="T2232">
        <v>2.3128696079000002</v>
      </c>
      <c r="U2232">
        <v>2.1988986788</v>
      </c>
      <c r="V2232">
        <v>2.0648295456999999</v>
      </c>
      <c r="W2232">
        <v>2.1523111579999998</v>
      </c>
      <c r="X2232">
        <v>2.0344443873000002</v>
      </c>
      <c r="Y2232">
        <v>1.9009333431</v>
      </c>
      <c r="Z2232">
        <v>1.9216951722</v>
      </c>
      <c r="AA2232">
        <v>2.0834764729000002</v>
      </c>
      <c r="AB2232">
        <v>2.0619219975999998</v>
      </c>
    </row>
    <row r="2233" spans="1:28" hidden="1" x14ac:dyDescent="0.25">
      <c r="A2233" t="s">
        <v>460</v>
      </c>
      <c r="B2233" t="s">
        <v>461</v>
      </c>
      <c r="C2233">
        <v>115</v>
      </c>
      <c r="D2233" t="s">
        <v>4</v>
      </c>
      <c r="E2233">
        <v>0.14319746999999999</v>
      </c>
      <c r="F2233">
        <v>0.13247349</v>
      </c>
      <c r="G2233">
        <v>0.12962167499999999</v>
      </c>
      <c r="H2233">
        <v>0.12701799850000001</v>
      </c>
      <c r="I2233">
        <v>0.1251605485</v>
      </c>
      <c r="J2233">
        <v>0.1356276085</v>
      </c>
      <c r="K2233">
        <v>0.13970352850000001</v>
      </c>
      <c r="L2233">
        <v>0.14866554000000001</v>
      </c>
      <c r="M2233">
        <v>0.15880092000000001</v>
      </c>
      <c r="N2233">
        <v>0.169480995</v>
      </c>
      <c r="O2233">
        <v>0.18357799499999999</v>
      </c>
      <c r="P2233">
        <v>0.19476882000000001</v>
      </c>
      <c r="Q2233">
        <v>0.19701597000000001</v>
      </c>
      <c r="R2233">
        <v>0.20398932</v>
      </c>
      <c r="S2233">
        <v>0.20635566</v>
      </c>
      <c r="T2233">
        <v>0.21058746</v>
      </c>
      <c r="U2233">
        <v>0.21869622</v>
      </c>
      <c r="V2233">
        <v>0.22552960499999999</v>
      </c>
      <c r="W2233">
        <v>0.25219258500000002</v>
      </c>
      <c r="X2233">
        <v>0.25187668499999999</v>
      </c>
      <c r="Y2233">
        <v>0.24163258500000001</v>
      </c>
      <c r="Z2233">
        <v>0.21950955</v>
      </c>
      <c r="AA2233">
        <v>0.188026635</v>
      </c>
      <c r="AB2233">
        <v>0.16101094499999999</v>
      </c>
    </row>
    <row r="2234" spans="1:28" hidden="1" x14ac:dyDescent="0.25">
      <c r="A2234" t="s">
        <v>460</v>
      </c>
      <c r="B2234" t="s">
        <v>462</v>
      </c>
      <c r="C2234">
        <v>115</v>
      </c>
      <c r="D2234" t="s">
        <v>2</v>
      </c>
      <c r="E2234">
        <v>1.7272841800000001</v>
      </c>
      <c r="F2234">
        <v>1.61673763</v>
      </c>
      <c r="G2234">
        <v>1.63175691</v>
      </c>
      <c r="H2234">
        <v>1.6153507499999999</v>
      </c>
      <c r="I2234">
        <v>1.5578306900000001</v>
      </c>
      <c r="J2234">
        <v>1.69221227</v>
      </c>
      <c r="K2234">
        <v>1.7859281250000001</v>
      </c>
      <c r="L2234">
        <v>1.7570833850000001</v>
      </c>
      <c r="M2234">
        <v>1.7019913499999999</v>
      </c>
      <c r="N2234">
        <v>1.7224507849999999</v>
      </c>
      <c r="O2234">
        <v>1.8272124300000001</v>
      </c>
      <c r="P2234">
        <v>1.87275883</v>
      </c>
      <c r="Q2234">
        <v>1.940198825</v>
      </c>
      <c r="R2234">
        <v>1.9443427200000001</v>
      </c>
      <c r="S2234">
        <v>1.947724225</v>
      </c>
      <c r="T2234">
        <v>1.95992148</v>
      </c>
      <c r="U2234">
        <v>2.0426004099999999</v>
      </c>
      <c r="V2234">
        <v>2.1855426250000001</v>
      </c>
      <c r="W2234">
        <v>2.6311782949999998</v>
      </c>
      <c r="X2234">
        <v>2.7807259200000001</v>
      </c>
      <c r="Y2234">
        <v>2.6622658800000001</v>
      </c>
      <c r="Z2234">
        <v>2.347616495</v>
      </c>
      <c r="AA2234">
        <v>2.0546696149999999</v>
      </c>
      <c r="AB2234">
        <v>1.8223376650000001</v>
      </c>
    </row>
    <row r="2235" spans="1:28" hidden="1" x14ac:dyDescent="0.25">
      <c r="A2235" t="s">
        <v>460</v>
      </c>
      <c r="B2235" t="s">
        <v>462</v>
      </c>
      <c r="C2235">
        <v>115</v>
      </c>
      <c r="D2235" t="s">
        <v>3</v>
      </c>
      <c r="E2235">
        <v>0.6876542967</v>
      </c>
      <c r="F2235">
        <v>0.31782444050000003</v>
      </c>
      <c r="G2235">
        <v>0.55317126179999998</v>
      </c>
      <c r="H2235">
        <v>0.32290457700000003</v>
      </c>
      <c r="I2235">
        <v>0.29903875730000001</v>
      </c>
      <c r="J2235">
        <v>0.2627417245</v>
      </c>
      <c r="K2235">
        <v>0.25227606400000002</v>
      </c>
      <c r="L2235">
        <v>0.32098759310000002</v>
      </c>
      <c r="M2235">
        <v>0.34959132459999998</v>
      </c>
      <c r="N2235">
        <v>0.35423956400000001</v>
      </c>
      <c r="O2235">
        <v>0.53484619870000005</v>
      </c>
      <c r="P2235">
        <v>0.56894249509999995</v>
      </c>
      <c r="Q2235">
        <v>0.50348379570000001</v>
      </c>
      <c r="R2235">
        <v>0.63256540849999998</v>
      </c>
      <c r="S2235">
        <v>0.65879606540000002</v>
      </c>
      <c r="T2235">
        <v>0.61822561310000002</v>
      </c>
      <c r="U2235">
        <v>0.66970172939999995</v>
      </c>
      <c r="V2235">
        <v>0.54227989139999999</v>
      </c>
      <c r="W2235">
        <v>0.80516734150000002</v>
      </c>
      <c r="X2235">
        <v>1.0551843160000001</v>
      </c>
      <c r="Y2235">
        <v>0.90029663800000004</v>
      </c>
      <c r="Z2235">
        <v>0.65605487039999999</v>
      </c>
      <c r="AA2235">
        <v>7.2967928200000004E-2</v>
      </c>
      <c r="AB2235">
        <v>7.3392180799999998E-2</v>
      </c>
    </row>
    <row r="2236" spans="1:28" hidden="1" x14ac:dyDescent="0.25">
      <c r="A2236" t="s">
        <v>460</v>
      </c>
      <c r="B2236" t="s">
        <v>462</v>
      </c>
      <c r="C2236">
        <v>115</v>
      </c>
      <c r="D2236" t="s">
        <v>4</v>
      </c>
      <c r="E2236">
        <v>2.6303819999999999E-2</v>
      </c>
      <c r="F2236">
        <v>2.4620369999999999E-2</v>
      </c>
      <c r="G2236">
        <v>2.4849090000000001E-2</v>
      </c>
      <c r="H2236">
        <v>2.459925E-2</v>
      </c>
      <c r="I2236">
        <v>2.3723310000000001E-2</v>
      </c>
      <c r="J2236">
        <v>2.5769730000000001E-2</v>
      </c>
      <c r="K2236">
        <v>2.7196874999999999E-2</v>
      </c>
      <c r="L2236">
        <v>2.6757614999999998E-2</v>
      </c>
      <c r="M2236">
        <v>2.5918650000000001E-2</v>
      </c>
      <c r="N2236">
        <v>2.6230215000000001E-2</v>
      </c>
      <c r="O2236">
        <v>2.7825570000000001E-2</v>
      </c>
      <c r="P2236">
        <v>2.851917E-2</v>
      </c>
      <c r="Q2236">
        <v>2.9546175000000001E-2</v>
      </c>
      <c r="R2236">
        <v>2.9609280000000002E-2</v>
      </c>
      <c r="S2236">
        <v>2.9660775E-2</v>
      </c>
      <c r="T2236">
        <v>2.9846520000000001E-2</v>
      </c>
      <c r="U2236">
        <v>3.1105589999999999E-2</v>
      </c>
      <c r="V2236">
        <v>3.3282375000000003E-2</v>
      </c>
      <c r="W2236">
        <v>4.0068705000000003E-2</v>
      </c>
      <c r="X2236">
        <v>4.2346080000000001E-2</v>
      </c>
      <c r="Y2236">
        <v>4.0542120000000001E-2</v>
      </c>
      <c r="Z2236">
        <v>3.5750505000000002E-2</v>
      </c>
      <c r="AA2236">
        <v>3.1289385000000003E-2</v>
      </c>
      <c r="AB2236">
        <v>2.7751334999999999E-2</v>
      </c>
    </row>
    <row r="2237" spans="1:28" hidden="1" x14ac:dyDescent="0.25">
      <c r="A2237" t="s">
        <v>460</v>
      </c>
      <c r="B2237" t="s">
        <v>463</v>
      </c>
      <c r="C2237">
        <v>115</v>
      </c>
      <c r="D2237" t="s">
        <v>2</v>
      </c>
      <c r="E2237">
        <v>28.871876749999998</v>
      </c>
      <c r="F2237">
        <v>28.256405409999999</v>
      </c>
      <c r="G2237">
        <v>28.505063735</v>
      </c>
      <c r="H2237">
        <v>28.458975585000001</v>
      </c>
      <c r="I2237">
        <v>27.781037515000001</v>
      </c>
      <c r="J2237">
        <v>27.777666844999999</v>
      </c>
      <c r="K2237">
        <v>27.409959449999999</v>
      </c>
      <c r="L2237">
        <v>25.925035505</v>
      </c>
      <c r="M2237">
        <v>25.073913749999999</v>
      </c>
      <c r="N2237">
        <v>24.67970296</v>
      </c>
      <c r="O2237">
        <v>25.147393765</v>
      </c>
      <c r="P2237">
        <v>25.24205916</v>
      </c>
      <c r="Q2237">
        <v>25.819563675000001</v>
      </c>
      <c r="R2237">
        <v>26.558625920000001</v>
      </c>
      <c r="S2237">
        <v>26.389421635000001</v>
      </c>
      <c r="T2237">
        <v>26.489493695</v>
      </c>
      <c r="U2237">
        <v>27.92077454</v>
      </c>
      <c r="V2237">
        <v>29.69835479</v>
      </c>
      <c r="W2237">
        <v>30.927795345</v>
      </c>
      <c r="X2237">
        <v>30.683427680000001</v>
      </c>
      <c r="Y2237">
        <v>31.042882745</v>
      </c>
      <c r="Z2237">
        <v>30.632464765000002</v>
      </c>
      <c r="AA2237">
        <v>29.890149064999999</v>
      </c>
      <c r="AB2237">
        <v>29.040959879999999</v>
      </c>
    </row>
    <row r="2238" spans="1:28" hidden="1" x14ac:dyDescent="0.25">
      <c r="A2238" t="s">
        <v>460</v>
      </c>
      <c r="B2238" t="s">
        <v>463</v>
      </c>
      <c r="C2238">
        <v>115</v>
      </c>
      <c r="D2238" t="s">
        <v>3</v>
      </c>
      <c r="E2238">
        <v>10.3550649416</v>
      </c>
      <c r="F2238">
        <v>10.1135261705</v>
      </c>
      <c r="G2238">
        <v>9.9678933845</v>
      </c>
      <c r="H2238">
        <v>9.8410551033000004</v>
      </c>
      <c r="I2238">
        <v>9.6901308252000007</v>
      </c>
      <c r="J2238">
        <v>9.6501149584999997</v>
      </c>
      <c r="K2238">
        <v>9.4529313919</v>
      </c>
      <c r="L2238">
        <v>8.9372630134000008</v>
      </c>
      <c r="M2238">
        <v>8.4801006788999995</v>
      </c>
      <c r="N2238">
        <v>7.6960443565999999</v>
      </c>
      <c r="O2238">
        <v>7.4354790485000004</v>
      </c>
      <c r="P2238">
        <v>7.3505219842000002</v>
      </c>
      <c r="Q2238">
        <v>7.7826575785000003</v>
      </c>
      <c r="R2238">
        <v>8.3804018655999997</v>
      </c>
      <c r="S2238">
        <v>8.2282253470000004</v>
      </c>
      <c r="T2238">
        <v>8.4693679115999991</v>
      </c>
      <c r="U2238">
        <v>9.3219554865000003</v>
      </c>
      <c r="V2238">
        <v>9.9965089076000009</v>
      </c>
      <c r="W2238">
        <v>10.623619119500001</v>
      </c>
      <c r="X2238">
        <v>10.6249753539</v>
      </c>
      <c r="Y2238">
        <v>10.9846425903</v>
      </c>
      <c r="Z2238">
        <v>10.686805421400001</v>
      </c>
      <c r="AA2238">
        <v>10.514109656700001</v>
      </c>
      <c r="AB2238">
        <v>10.296812063899999</v>
      </c>
    </row>
    <row r="2239" spans="1:28" hidden="1" x14ac:dyDescent="0.25">
      <c r="A2239" t="s">
        <v>460</v>
      </c>
      <c r="B2239" t="s">
        <v>463</v>
      </c>
      <c r="C2239">
        <v>115</v>
      </c>
      <c r="D2239" t="s">
        <v>4</v>
      </c>
      <c r="E2239">
        <v>0.43967325000000002</v>
      </c>
      <c r="F2239">
        <v>0.43030058999999998</v>
      </c>
      <c r="G2239">
        <v>0.434087265</v>
      </c>
      <c r="H2239">
        <v>0.433385415</v>
      </c>
      <c r="I2239">
        <v>0.42306148500000001</v>
      </c>
      <c r="J2239">
        <v>0.423010155</v>
      </c>
      <c r="K2239">
        <v>0.41741054999999999</v>
      </c>
      <c r="L2239">
        <v>0.394797495</v>
      </c>
      <c r="M2239">
        <v>0.38183624999999999</v>
      </c>
      <c r="N2239">
        <v>0.37583304000000001</v>
      </c>
      <c r="O2239">
        <v>0.382955235</v>
      </c>
      <c r="P2239">
        <v>0.38439684000000002</v>
      </c>
      <c r="Q2239">
        <v>0.39319132499999998</v>
      </c>
      <c r="R2239">
        <v>0.40444607999999999</v>
      </c>
      <c r="S2239">
        <v>0.40186936499999998</v>
      </c>
      <c r="T2239">
        <v>0.40339330499999998</v>
      </c>
      <c r="U2239">
        <v>0.42518946000000002</v>
      </c>
      <c r="V2239">
        <v>0.45225921000000002</v>
      </c>
      <c r="W2239">
        <v>0.470981655</v>
      </c>
      <c r="X2239">
        <v>0.46726032000000001</v>
      </c>
      <c r="Y2239">
        <v>0.47273425499999999</v>
      </c>
      <c r="Z2239">
        <v>0.46648423500000002</v>
      </c>
      <c r="AA2239">
        <v>0.45517993499999998</v>
      </c>
      <c r="AB2239">
        <v>0.44224812000000002</v>
      </c>
    </row>
    <row r="2240" spans="1:28" hidden="1" x14ac:dyDescent="0.25">
      <c r="A2240" t="s">
        <v>460</v>
      </c>
      <c r="B2240" t="s">
        <v>464</v>
      </c>
      <c r="C2240">
        <v>34</v>
      </c>
      <c r="D2240" t="s">
        <v>2</v>
      </c>
      <c r="E2240">
        <v>4.90523665</v>
      </c>
      <c r="F2240">
        <v>4.54010246</v>
      </c>
      <c r="G2240">
        <v>4.3948750299999997</v>
      </c>
      <c r="H2240">
        <v>4.3028530700000003</v>
      </c>
      <c r="I2240">
        <v>4.1425789999999996</v>
      </c>
      <c r="J2240">
        <v>4.0044616700000004</v>
      </c>
      <c r="K2240">
        <v>3.9094171900000001</v>
      </c>
      <c r="L2240">
        <v>4.1249424599999998</v>
      </c>
      <c r="M2240">
        <v>4.5301231</v>
      </c>
      <c r="N2240">
        <v>4.6724696300000002</v>
      </c>
      <c r="O2240">
        <v>5.0283703900000001</v>
      </c>
      <c r="P2240">
        <v>5.1231083499999999</v>
      </c>
      <c r="Q2240">
        <v>4.89038401</v>
      </c>
      <c r="R2240">
        <v>5.3080902600000002</v>
      </c>
      <c r="S2240">
        <v>5.8026166300000002</v>
      </c>
      <c r="T2240">
        <v>5.9793632399999996</v>
      </c>
      <c r="U2240">
        <v>6.1273221900000001</v>
      </c>
      <c r="V2240">
        <v>6.2741937700000001</v>
      </c>
      <c r="W2240">
        <v>6.7408937499999997</v>
      </c>
      <c r="X2240">
        <v>6.6376498599999998</v>
      </c>
      <c r="Y2240">
        <v>6.4882048699999997</v>
      </c>
      <c r="Z2240">
        <v>6.1763770300000003</v>
      </c>
      <c r="AA2240">
        <v>5.7092696500000004</v>
      </c>
      <c r="AB2240">
        <v>5.27673404</v>
      </c>
    </row>
    <row r="2241" spans="1:28" hidden="1" x14ac:dyDescent="0.25">
      <c r="A2241" t="s">
        <v>460</v>
      </c>
      <c r="B2241" t="s">
        <v>464</v>
      </c>
      <c r="C2241">
        <v>34</v>
      </c>
      <c r="D2241" t="s">
        <v>3</v>
      </c>
      <c r="E2241">
        <v>1.4833748431</v>
      </c>
      <c r="F2241">
        <v>1.295454324</v>
      </c>
      <c r="G2241">
        <v>1.3990999743000001</v>
      </c>
      <c r="H2241">
        <v>1.3424230886999999</v>
      </c>
      <c r="I2241">
        <v>1.2715376313</v>
      </c>
      <c r="J2241">
        <v>1.1985453985000001</v>
      </c>
      <c r="K2241">
        <v>1.1620554514000001</v>
      </c>
      <c r="L2241">
        <v>1.3799501264</v>
      </c>
      <c r="M2241">
        <v>1.4933153624</v>
      </c>
      <c r="N2241">
        <v>1.5199572932000001</v>
      </c>
      <c r="O2241">
        <v>1.6466707183</v>
      </c>
      <c r="P2241">
        <v>1.6409534069</v>
      </c>
      <c r="Q2241">
        <v>1.4573755566</v>
      </c>
      <c r="R2241">
        <v>1.6855765892000001</v>
      </c>
      <c r="S2241">
        <v>1.8320378815</v>
      </c>
      <c r="T2241">
        <v>1.8608373803</v>
      </c>
      <c r="U2241">
        <v>1.7044470116999999</v>
      </c>
      <c r="V2241">
        <v>1.814361133</v>
      </c>
      <c r="W2241">
        <v>1.7403715675</v>
      </c>
      <c r="X2241">
        <v>1.6174646299</v>
      </c>
      <c r="Y2241">
        <v>1.7099978748</v>
      </c>
      <c r="Z2241">
        <v>1.5667536479999999</v>
      </c>
      <c r="AA2241">
        <v>1.4893088501</v>
      </c>
      <c r="AB2241">
        <v>1.37223078</v>
      </c>
    </row>
    <row r="2242" spans="1:28" hidden="1" x14ac:dyDescent="0.25">
      <c r="A2242" t="s">
        <v>460</v>
      </c>
      <c r="B2242" t="s">
        <v>464</v>
      </c>
      <c r="C2242">
        <v>34</v>
      </c>
      <c r="D2242" t="s">
        <v>4</v>
      </c>
      <c r="E2242">
        <v>0.15170834999999999</v>
      </c>
      <c r="F2242">
        <v>0.14041554000000001</v>
      </c>
      <c r="G2242">
        <v>0.13592397000000001</v>
      </c>
      <c r="H2242">
        <v>0.13307793000000001</v>
      </c>
      <c r="I2242">
        <v>0.12812100000000001</v>
      </c>
      <c r="J2242">
        <v>0.12384932999999999</v>
      </c>
      <c r="K2242">
        <v>0.12090981000000001</v>
      </c>
      <c r="L2242">
        <v>0.12757553999999999</v>
      </c>
      <c r="M2242">
        <v>0.14010690000000001</v>
      </c>
      <c r="N2242">
        <v>0.14450937</v>
      </c>
      <c r="O2242">
        <v>0.15551661</v>
      </c>
      <c r="P2242">
        <v>0.15844664999999999</v>
      </c>
      <c r="Q2242">
        <v>0.15124899</v>
      </c>
      <c r="R2242">
        <v>0.16416774000000001</v>
      </c>
      <c r="S2242">
        <v>0.17946237000000001</v>
      </c>
      <c r="T2242">
        <v>0.18492876</v>
      </c>
      <c r="U2242">
        <v>0.18950481</v>
      </c>
      <c r="V2242">
        <v>0.19404722999999999</v>
      </c>
      <c r="W2242">
        <v>0.20848125000000001</v>
      </c>
      <c r="X2242">
        <v>0.20528814000000001</v>
      </c>
      <c r="Y2242">
        <v>0.20066613</v>
      </c>
      <c r="Z2242">
        <v>0.19102197000000001</v>
      </c>
      <c r="AA2242">
        <v>0.17657534999999999</v>
      </c>
      <c r="AB2242">
        <v>0.16319796</v>
      </c>
    </row>
    <row r="2243" spans="1:28" hidden="1" x14ac:dyDescent="0.25">
      <c r="A2243" t="s">
        <v>460</v>
      </c>
      <c r="B2243" t="s">
        <v>465</v>
      </c>
      <c r="C2243">
        <v>34</v>
      </c>
      <c r="D2243" t="s">
        <v>2</v>
      </c>
      <c r="E2243">
        <v>7.81916806</v>
      </c>
      <c r="F2243">
        <v>7.3477082899999999</v>
      </c>
      <c r="G2243">
        <v>7.2427280999999999</v>
      </c>
      <c r="H2243">
        <v>7.0948176500000004</v>
      </c>
      <c r="I2243">
        <v>7.0037462899999996</v>
      </c>
      <c r="J2243">
        <v>6.5341217599999997</v>
      </c>
      <c r="K2243">
        <v>6.2831129199999998</v>
      </c>
      <c r="L2243">
        <v>6.5019381300000001</v>
      </c>
      <c r="M2243">
        <v>5.8644366699999999</v>
      </c>
      <c r="N2243">
        <v>6.1004764700000003</v>
      </c>
      <c r="O2243">
        <v>6.00430873</v>
      </c>
      <c r="P2243">
        <v>6.3143449800000004</v>
      </c>
      <c r="Q2243">
        <v>6.2030762800000003</v>
      </c>
      <c r="R2243">
        <v>6.6953367300000002</v>
      </c>
      <c r="S2243">
        <v>6.7942825500000001</v>
      </c>
      <c r="T2243">
        <v>7.6364763199999999</v>
      </c>
      <c r="U2243">
        <v>8.2758644300000004</v>
      </c>
      <c r="V2243">
        <v>8.5542660700000006</v>
      </c>
      <c r="W2243">
        <v>9.7429729399999996</v>
      </c>
      <c r="X2243">
        <v>10.63598889</v>
      </c>
      <c r="Y2243">
        <v>10.47691762</v>
      </c>
      <c r="Z2243">
        <v>9.3956625000000003</v>
      </c>
      <c r="AA2243">
        <v>8.7380830100000004</v>
      </c>
      <c r="AB2243">
        <v>8.1320182800000005</v>
      </c>
    </row>
    <row r="2244" spans="1:28" hidden="1" x14ac:dyDescent="0.25">
      <c r="A2244" t="s">
        <v>460</v>
      </c>
      <c r="B2244" t="s">
        <v>465</v>
      </c>
      <c r="C2244">
        <v>34</v>
      </c>
      <c r="D2244" t="s">
        <v>3</v>
      </c>
      <c r="E2244">
        <v>0.25706839780000001</v>
      </c>
      <c r="F2244">
        <v>9.8585985400000006E-2</v>
      </c>
      <c r="G2244">
        <v>4.58079505E-2</v>
      </c>
      <c r="H2244">
        <v>4.4872464000000001E-2</v>
      </c>
      <c r="I2244">
        <v>0.1213225981</v>
      </c>
      <c r="J2244">
        <v>0.28047588849999999</v>
      </c>
      <c r="K2244">
        <v>0.34221830269999998</v>
      </c>
      <c r="L2244">
        <v>0.1088095815</v>
      </c>
      <c r="M2244">
        <v>0.14368110449999999</v>
      </c>
      <c r="N2244">
        <v>7.7169363599999999E-2</v>
      </c>
      <c r="O2244">
        <v>0.15890107510000001</v>
      </c>
      <c r="P2244">
        <v>0.70123118929999995</v>
      </c>
      <c r="Q2244">
        <v>0.25592275450000002</v>
      </c>
      <c r="R2244">
        <v>8.9832957699999993E-2</v>
      </c>
      <c r="S2244">
        <v>9.1160537900000005E-2</v>
      </c>
      <c r="T2244">
        <v>0.30754873939999999</v>
      </c>
      <c r="U2244">
        <v>0.34742176769999999</v>
      </c>
      <c r="V2244">
        <v>0.62871135</v>
      </c>
      <c r="W2244">
        <v>0.25784298329999999</v>
      </c>
      <c r="X2244">
        <v>0.134542359</v>
      </c>
      <c r="Y2244">
        <v>0.51799546949999997</v>
      </c>
      <c r="Z2244">
        <v>0.63415561210000004</v>
      </c>
      <c r="AA2244">
        <v>0.31521005149999998</v>
      </c>
      <c r="AB2244">
        <v>0.21211049770000001</v>
      </c>
    </row>
    <row r="2245" spans="1:28" hidden="1" x14ac:dyDescent="0.25">
      <c r="A2245" t="s">
        <v>460</v>
      </c>
      <c r="B2245" t="s">
        <v>465</v>
      </c>
      <c r="C2245">
        <v>34</v>
      </c>
      <c r="D2245" t="s">
        <v>4</v>
      </c>
      <c r="E2245">
        <v>0.24182993999999999</v>
      </c>
      <c r="F2245">
        <v>0.22724870999999999</v>
      </c>
      <c r="G2245">
        <v>0.2240019</v>
      </c>
      <c r="H2245">
        <v>0.21942734999999999</v>
      </c>
      <c r="I2245">
        <v>0.21661071000000001</v>
      </c>
      <c r="J2245">
        <v>0.20208624</v>
      </c>
      <c r="K2245">
        <v>0.19432308000000001</v>
      </c>
      <c r="L2245">
        <v>0.20109087</v>
      </c>
      <c r="M2245">
        <v>0.18137433</v>
      </c>
      <c r="N2245">
        <v>0.18867453000000001</v>
      </c>
      <c r="O2245">
        <v>0.18570027</v>
      </c>
      <c r="P2245">
        <v>0.19528902000000001</v>
      </c>
      <c r="Q2245">
        <v>0.19184772</v>
      </c>
      <c r="R2245">
        <v>0.20707227</v>
      </c>
      <c r="S2245">
        <v>0.21013245</v>
      </c>
      <c r="T2245">
        <v>0.23617968</v>
      </c>
      <c r="U2245">
        <v>0.25595456999999999</v>
      </c>
      <c r="V2245">
        <v>0.26456492999999998</v>
      </c>
      <c r="W2245">
        <v>0.30132905999999998</v>
      </c>
      <c r="X2245">
        <v>0.32894811000000002</v>
      </c>
      <c r="Y2245">
        <v>0.32402838</v>
      </c>
      <c r="Z2245">
        <v>0.2905875</v>
      </c>
      <c r="AA2245">
        <v>0.27024999</v>
      </c>
      <c r="AB2245">
        <v>0.25150571999999999</v>
      </c>
    </row>
    <row r="2246" spans="1:28" hidden="1" x14ac:dyDescent="0.25">
      <c r="A2246" t="s">
        <v>460</v>
      </c>
      <c r="B2246" t="s">
        <v>466</v>
      </c>
      <c r="C2246">
        <v>34</v>
      </c>
      <c r="D2246" t="s">
        <v>2</v>
      </c>
      <c r="E2246">
        <v>3.9808295600000001</v>
      </c>
      <c r="F2246">
        <v>3.7406197300000001</v>
      </c>
      <c r="G2246">
        <v>3.66960409</v>
      </c>
      <c r="H2246">
        <v>3.6704644800000001</v>
      </c>
      <c r="I2246">
        <v>3.7708720900000001</v>
      </c>
      <c r="J2246">
        <v>3.52452604</v>
      </c>
      <c r="K2246">
        <v>3.4431255799999998</v>
      </c>
      <c r="L2246">
        <v>3.7143860800000001</v>
      </c>
      <c r="M2246">
        <v>4.1501886499999996</v>
      </c>
      <c r="N2246">
        <v>4.1101451100000004</v>
      </c>
      <c r="O2246">
        <v>4.2392327099999996</v>
      </c>
      <c r="P2246">
        <v>4.40678372</v>
      </c>
      <c r="Q2246">
        <v>4.1092110000000002</v>
      </c>
      <c r="R2246">
        <v>4.2655779100000002</v>
      </c>
      <c r="S2246">
        <v>4.1919481200000002</v>
      </c>
      <c r="T2246">
        <v>4.4963438199999999</v>
      </c>
      <c r="U2246">
        <v>4.5534933100000003</v>
      </c>
      <c r="V2246">
        <v>4.3798390600000001</v>
      </c>
      <c r="W2246">
        <v>4.5657657499999997</v>
      </c>
      <c r="X2246">
        <v>4.8798032500000001</v>
      </c>
      <c r="Y2246">
        <v>4.9615684299999998</v>
      </c>
      <c r="Z2246">
        <v>4.4595769399999998</v>
      </c>
      <c r="AA2246">
        <v>4.2908182799999999</v>
      </c>
      <c r="AB2246">
        <v>3.9465614000000002</v>
      </c>
    </row>
    <row r="2247" spans="1:28" hidden="1" x14ac:dyDescent="0.25">
      <c r="A2247" t="s">
        <v>460</v>
      </c>
      <c r="B2247" t="s">
        <v>466</v>
      </c>
      <c r="C2247">
        <v>34</v>
      </c>
      <c r="D2247" t="s">
        <v>3</v>
      </c>
      <c r="E2247">
        <v>1.8543159477</v>
      </c>
      <c r="F2247">
        <v>1.2013782979000001</v>
      </c>
      <c r="G2247">
        <v>1.0020564857000001</v>
      </c>
      <c r="H2247">
        <v>0.5713637976</v>
      </c>
      <c r="I2247">
        <v>1.046825568</v>
      </c>
      <c r="J2247">
        <v>0.91461850519999999</v>
      </c>
      <c r="K2247">
        <v>1.6398834241</v>
      </c>
      <c r="L2247">
        <v>1.4754858418000001</v>
      </c>
      <c r="M2247">
        <v>1.1899121498</v>
      </c>
      <c r="N2247">
        <v>1.2438637084999999</v>
      </c>
      <c r="O2247">
        <v>1.2634885494000001</v>
      </c>
      <c r="P2247">
        <v>1.0053593494999999</v>
      </c>
      <c r="Q2247">
        <v>1.6750417484</v>
      </c>
      <c r="R2247">
        <v>1.8011453126000001</v>
      </c>
      <c r="S2247">
        <v>1.7116157196999999</v>
      </c>
      <c r="T2247">
        <v>1.3812967375</v>
      </c>
      <c r="U2247">
        <v>0.63419098399999996</v>
      </c>
      <c r="V2247">
        <v>1.4556837864000001</v>
      </c>
      <c r="W2247">
        <v>0.95377727749999996</v>
      </c>
      <c r="X2247">
        <v>2.0290338496000002</v>
      </c>
      <c r="Y2247">
        <v>2.4891990682</v>
      </c>
      <c r="Z2247">
        <v>1.1572652743</v>
      </c>
      <c r="AA2247">
        <v>1.3336023613000001</v>
      </c>
      <c r="AB2247">
        <v>1.0241371598</v>
      </c>
    </row>
    <row r="2248" spans="1:28" hidden="1" x14ac:dyDescent="0.25">
      <c r="A2248" t="s">
        <v>460</v>
      </c>
      <c r="B2248" t="s">
        <v>466</v>
      </c>
      <c r="C2248">
        <v>34</v>
      </c>
      <c r="D2248" t="s">
        <v>4</v>
      </c>
      <c r="E2248">
        <v>0.12311844</v>
      </c>
      <c r="F2248">
        <v>0.11568927</v>
      </c>
      <c r="G2248">
        <v>0.11349291</v>
      </c>
      <c r="H2248">
        <v>0.11351952</v>
      </c>
      <c r="I2248">
        <v>0.11662491</v>
      </c>
      <c r="J2248">
        <v>0.10900596</v>
      </c>
      <c r="K2248">
        <v>0.10648842</v>
      </c>
      <c r="L2248">
        <v>0.11487791999999999</v>
      </c>
      <c r="M2248">
        <v>0.12835635000000001</v>
      </c>
      <c r="N2248">
        <v>0.12711789000000001</v>
      </c>
      <c r="O2248">
        <v>0.13111028999999999</v>
      </c>
      <c r="P2248">
        <v>0.13629227999999999</v>
      </c>
      <c r="Q2248">
        <v>0.12708900000000001</v>
      </c>
      <c r="R2248">
        <v>0.13192508999999999</v>
      </c>
      <c r="S2248">
        <v>0.12964787999999999</v>
      </c>
      <c r="T2248">
        <v>0.13906218000000001</v>
      </c>
      <c r="U2248">
        <v>0.14082969000000001</v>
      </c>
      <c r="V2248">
        <v>0.13545894</v>
      </c>
      <c r="W2248">
        <v>0.14120925000000001</v>
      </c>
      <c r="X2248">
        <v>0.15092174999999999</v>
      </c>
      <c r="Y2248">
        <v>0.15345057000000001</v>
      </c>
      <c r="Z2248">
        <v>0.13792505999999999</v>
      </c>
      <c r="AA2248">
        <v>0.13270572</v>
      </c>
      <c r="AB2248">
        <v>0.1220586</v>
      </c>
    </row>
    <row r="2249" spans="1:28" hidden="1" x14ac:dyDescent="0.25">
      <c r="A2249" t="s">
        <v>460</v>
      </c>
      <c r="B2249" t="s">
        <v>467</v>
      </c>
      <c r="C2249">
        <v>34</v>
      </c>
      <c r="D2249" t="s">
        <v>2</v>
      </c>
      <c r="E2249">
        <v>5.9988515099999997</v>
      </c>
      <c r="F2249">
        <v>5.8360525299999999</v>
      </c>
      <c r="G2249">
        <v>5.7040219499999996</v>
      </c>
      <c r="H2249">
        <v>5.5187344899999999</v>
      </c>
      <c r="I2249">
        <v>5.3669304599999998</v>
      </c>
      <c r="J2249">
        <v>5.4142722799999996</v>
      </c>
      <c r="K2249">
        <v>5.6123957500000001</v>
      </c>
      <c r="L2249">
        <v>6.7098585999999996</v>
      </c>
      <c r="M2249">
        <v>7.8859040599999997</v>
      </c>
      <c r="N2249">
        <v>8.2942808499999998</v>
      </c>
      <c r="O2249">
        <v>8.3278816500000001</v>
      </c>
      <c r="P2249">
        <v>7.94289544</v>
      </c>
      <c r="Q2249">
        <v>7.8077026600000003</v>
      </c>
      <c r="R2249">
        <v>7.9205999900000004</v>
      </c>
      <c r="S2249">
        <v>8.0891336099999993</v>
      </c>
      <c r="T2249">
        <v>7.6493724700000003</v>
      </c>
      <c r="U2249">
        <v>7.4137943899999996</v>
      </c>
      <c r="V2249">
        <v>7.29668823</v>
      </c>
      <c r="W2249">
        <v>7.6430209099999997</v>
      </c>
      <c r="X2249">
        <v>7.5394355800000001</v>
      </c>
      <c r="Y2249">
        <v>7.3986992499999999</v>
      </c>
      <c r="Z2249">
        <v>6.8786007700000003</v>
      </c>
      <c r="AA2249">
        <v>6.5582553600000004</v>
      </c>
      <c r="AB2249">
        <v>6.0392898400000004</v>
      </c>
    </row>
    <row r="2250" spans="1:28" hidden="1" x14ac:dyDescent="0.25">
      <c r="A2250" t="s">
        <v>460</v>
      </c>
      <c r="B2250" t="s">
        <v>467</v>
      </c>
      <c r="C2250">
        <v>34</v>
      </c>
      <c r="D2250" t="s">
        <v>3</v>
      </c>
      <c r="E2250">
        <v>0.69687633140000005</v>
      </c>
      <c r="F2250">
        <v>0.66346284789999999</v>
      </c>
      <c r="G2250">
        <v>0.43760892870000001</v>
      </c>
      <c r="H2250">
        <v>0.5098258443</v>
      </c>
      <c r="I2250">
        <v>0.94817352239999997</v>
      </c>
      <c r="J2250">
        <v>0.72139827629999997</v>
      </c>
      <c r="K2250">
        <v>0.52337851369999999</v>
      </c>
      <c r="L2250">
        <v>0.43344916189999999</v>
      </c>
      <c r="M2250">
        <v>0.59136962479999999</v>
      </c>
      <c r="N2250">
        <v>0.72033343459999999</v>
      </c>
      <c r="O2250">
        <v>0.90399202850000004</v>
      </c>
      <c r="P2250">
        <v>0.95090228759999995</v>
      </c>
      <c r="Q2250">
        <v>0.89874230850000003</v>
      </c>
      <c r="R2250">
        <v>0.63016800900000003</v>
      </c>
      <c r="S2250">
        <v>0.59230257909999995</v>
      </c>
      <c r="T2250">
        <v>0.47963191560000001</v>
      </c>
      <c r="U2250">
        <v>0.44294094090000002</v>
      </c>
      <c r="V2250">
        <v>0.3182822964</v>
      </c>
      <c r="W2250">
        <v>0.40485587420000002</v>
      </c>
      <c r="X2250">
        <v>0.16521008349999999</v>
      </c>
      <c r="Y2250">
        <v>0.35358540259999999</v>
      </c>
      <c r="Z2250">
        <v>0.55161281539999996</v>
      </c>
      <c r="AA2250">
        <v>0.16852620309999999</v>
      </c>
      <c r="AB2250">
        <v>0.32218674829999999</v>
      </c>
    </row>
    <row r="2251" spans="1:28" hidden="1" x14ac:dyDescent="0.25">
      <c r="A2251" t="s">
        <v>460</v>
      </c>
      <c r="B2251" t="s">
        <v>467</v>
      </c>
      <c r="C2251">
        <v>34</v>
      </c>
      <c r="D2251" t="s">
        <v>4</v>
      </c>
      <c r="E2251">
        <v>0.18553148999999999</v>
      </c>
      <c r="F2251">
        <v>0.18049646999999999</v>
      </c>
      <c r="G2251">
        <v>0.17641304999999999</v>
      </c>
      <c r="H2251">
        <v>0.17068251000000001</v>
      </c>
      <c r="I2251">
        <v>0.16598753999999999</v>
      </c>
      <c r="J2251">
        <v>0.16745172</v>
      </c>
      <c r="K2251">
        <v>0.17357924999999999</v>
      </c>
      <c r="L2251">
        <v>0.20752139999999999</v>
      </c>
      <c r="M2251">
        <v>0.24389394</v>
      </c>
      <c r="N2251">
        <v>0.25652415000000001</v>
      </c>
      <c r="O2251">
        <v>0.25756335000000002</v>
      </c>
      <c r="P2251">
        <v>0.24565656</v>
      </c>
      <c r="Q2251">
        <v>0.24147534000000001</v>
      </c>
      <c r="R2251">
        <v>0.24496701000000001</v>
      </c>
      <c r="S2251">
        <v>0.25017939</v>
      </c>
      <c r="T2251">
        <v>0.23657853000000001</v>
      </c>
      <c r="U2251">
        <v>0.22929261000000001</v>
      </c>
      <c r="V2251">
        <v>0.22567076999999999</v>
      </c>
      <c r="W2251">
        <v>0.23638208999999999</v>
      </c>
      <c r="X2251">
        <v>0.23317842</v>
      </c>
      <c r="Y2251">
        <v>0.22882574999999999</v>
      </c>
      <c r="Z2251">
        <v>0.21274023</v>
      </c>
      <c r="AA2251">
        <v>0.20283264000000001</v>
      </c>
      <c r="AB2251">
        <v>0.18678216</v>
      </c>
    </row>
    <row r="2252" spans="1:28" hidden="1" x14ac:dyDescent="0.25">
      <c r="A2252" t="s">
        <v>460</v>
      </c>
      <c r="B2252" t="s">
        <v>468</v>
      </c>
      <c r="C2252">
        <v>34</v>
      </c>
      <c r="D2252" t="s">
        <v>2</v>
      </c>
      <c r="E2252">
        <v>3.0902628600000002</v>
      </c>
      <c r="F2252">
        <v>2.9445611</v>
      </c>
      <c r="G2252">
        <v>2.88444923</v>
      </c>
      <c r="H2252">
        <v>2.7463289899999999</v>
      </c>
      <c r="I2252">
        <v>2.81551909</v>
      </c>
      <c r="J2252">
        <v>2.7962907800000001</v>
      </c>
      <c r="K2252">
        <v>2.6440095100000001</v>
      </c>
      <c r="L2252">
        <v>2.5884411200000002</v>
      </c>
      <c r="M2252">
        <v>2.5468310299999999</v>
      </c>
      <c r="N2252">
        <v>2.5563544899999999</v>
      </c>
      <c r="O2252">
        <v>2.6552392</v>
      </c>
      <c r="P2252">
        <v>2.7980202900000002</v>
      </c>
      <c r="Q2252">
        <v>2.9233588400000001</v>
      </c>
      <c r="R2252">
        <v>3.0070872999999998</v>
      </c>
      <c r="S2252">
        <v>3.18554402</v>
      </c>
      <c r="T2252">
        <v>3.1766714299999999</v>
      </c>
      <c r="U2252">
        <v>3.3156510899999998</v>
      </c>
      <c r="V2252">
        <v>3.7499094199999998</v>
      </c>
      <c r="W2252">
        <v>4.49309432</v>
      </c>
      <c r="X2252">
        <v>4.5952964300000003</v>
      </c>
      <c r="Y2252">
        <v>4.38533799</v>
      </c>
      <c r="Z2252">
        <v>4.0035867300000003</v>
      </c>
      <c r="AA2252">
        <v>3.6650305400000001</v>
      </c>
      <c r="AB2252">
        <v>3.3196979299999998</v>
      </c>
    </row>
    <row r="2253" spans="1:28" hidden="1" x14ac:dyDescent="0.25">
      <c r="A2253" t="s">
        <v>460</v>
      </c>
      <c r="B2253" t="s">
        <v>468</v>
      </c>
      <c r="C2253">
        <v>34</v>
      </c>
      <c r="D2253" t="s">
        <v>3</v>
      </c>
      <c r="E2253">
        <v>0.26548585120000001</v>
      </c>
      <c r="F2253">
        <v>0.24054048410000001</v>
      </c>
      <c r="G2253">
        <v>0.26992498139999999</v>
      </c>
      <c r="H2253">
        <v>0.16222185489999999</v>
      </c>
      <c r="I2253">
        <v>0.23921721679999999</v>
      </c>
      <c r="J2253">
        <v>0.150227098</v>
      </c>
      <c r="K2253">
        <v>0.42527814339999997</v>
      </c>
      <c r="L2253">
        <v>0.51009862650000004</v>
      </c>
      <c r="M2253">
        <v>0.47079569380000003</v>
      </c>
      <c r="N2253">
        <v>0.51868851220000001</v>
      </c>
      <c r="O2253">
        <v>0.52311972279999996</v>
      </c>
      <c r="P2253">
        <v>0.61302691620000005</v>
      </c>
      <c r="Q2253">
        <v>0.64405792539999995</v>
      </c>
      <c r="R2253">
        <v>0.67240621700000003</v>
      </c>
      <c r="S2253">
        <v>0.72312300070000002</v>
      </c>
      <c r="T2253">
        <v>0.63027411349999996</v>
      </c>
      <c r="U2253">
        <v>0.57106318060000005</v>
      </c>
      <c r="V2253">
        <v>0.47960721540000001</v>
      </c>
      <c r="W2253">
        <v>0.49732366259999999</v>
      </c>
      <c r="X2253">
        <v>0.51951707530000002</v>
      </c>
      <c r="Y2253">
        <v>0.45459343679999997</v>
      </c>
      <c r="Z2253">
        <v>0.3907867236</v>
      </c>
      <c r="AA2253">
        <v>0.38100118430000002</v>
      </c>
      <c r="AB2253">
        <v>0.17710073700000001</v>
      </c>
    </row>
    <row r="2254" spans="1:28" hidden="1" x14ac:dyDescent="0.25">
      <c r="A2254" t="s">
        <v>460</v>
      </c>
      <c r="B2254" t="s">
        <v>468</v>
      </c>
      <c r="C2254">
        <v>34</v>
      </c>
      <c r="D2254" t="s">
        <v>4</v>
      </c>
      <c r="E2254">
        <v>9.5575140000000003E-2</v>
      </c>
      <c r="F2254">
        <v>9.1068899999999994E-2</v>
      </c>
      <c r="G2254">
        <v>8.9209769999999994E-2</v>
      </c>
      <c r="H2254">
        <v>8.4938009999999994E-2</v>
      </c>
      <c r="I2254">
        <v>8.7077909999999994E-2</v>
      </c>
      <c r="J2254">
        <v>8.648322E-2</v>
      </c>
      <c r="K2254">
        <v>8.1773490000000004E-2</v>
      </c>
      <c r="L2254">
        <v>8.0054879999999995E-2</v>
      </c>
      <c r="M2254">
        <v>7.8767970000000007E-2</v>
      </c>
      <c r="N2254">
        <v>7.9062510000000003E-2</v>
      </c>
      <c r="O2254">
        <v>8.2120799999999994E-2</v>
      </c>
      <c r="P2254">
        <v>8.6536710000000003E-2</v>
      </c>
      <c r="Q2254">
        <v>9.0413160000000006E-2</v>
      </c>
      <c r="R2254">
        <v>9.3002699999999994E-2</v>
      </c>
      <c r="S2254">
        <v>9.8521979999999995E-2</v>
      </c>
      <c r="T2254">
        <v>9.8247570000000006E-2</v>
      </c>
      <c r="U2254">
        <v>0.10254591</v>
      </c>
      <c r="V2254">
        <v>0.11597658</v>
      </c>
      <c r="W2254">
        <v>0.13896168</v>
      </c>
      <c r="X2254">
        <v>0.14212257</v>
      </c>
      <c r="Y2254">
        <v>0.13562900999999999</v>
      </c>
      <c r="Z2254">
        <v>0.12382227</v>
      </c>
      <c r="AA2254">
        <v>0.11335146</v>
      </c>
      <c r="AB2254">
        <v>0.10267107</v>
      </c>
    </row>
    <row r="2255" spans="1:28" hidden="1" x14ac:dyDescent="0.25">
      <c r="A2255" t="s">
        <v>460</v>
      </c>
      <c r="B2255" t="s">
        <v>469</v>
      </c>
      <c r="C2255">
        <v>34</v>
      </c>
      <c r="D2255" t="s">
        <v>2</v>
      </c>
      <c r="E2255">
        <v>19.357338429999999</v>
      </c>
      <c r="F2255">
        <v>18.422339910000002</v>
      </c>
      <c r="G2255">
        <v>18.206627430000001</v>
      </c>
      <c r="H2255">
        <v>17.742749180000001</v>
      </c>
      <c r="I2255">
        <v>17.153961120000002</v>
      </c>
      <c r="J2255">
        <v>17.1193651</v>
      </c>
      <c r="K2255">
        <v>16.022866430000001</v>
      </c>
      <c r="L2255">
        <v>14.5703312</v>
      </c>
      <c r="M2255">
        <v>12.732335429999999</v>
      </c>
      <c r="N2255">
        <v>11.93828858</v>
      </c>
      <c r="O2255">
        <v>10.96596446</v>
      </c>
      <c r="P2255">
        <v>11.78572116</v>
      </c>
      <c r="Q2255">
        <v>11.91087347</v>
      </c>
      <c r="R2255">
        <v>12.70951133</v>
      </c>
      <c r="S2255">
        <v>14.28125762</v>
      </c>
      <c r="T2255">
        <v>16.91932006</v>
      </c>
      <c r="U2255">
        <v>20.47303728</v>
      </c>
      <c r="V2255">
        <v>23.21611386</v>
      </c>
      <c r="W2255">
        <v>26.38220647</v>
      </c>
      <c r="X2255">
        <v>26.687771990000002</v>
      </c>
      <c r="Y2255">
        <v>26.132425649999998</v>
      </c>
      <c r="Z2255">
        <v>24.39999401</v>
      </c>
      <c r="AA2255">
        <v>22.574249340000001</v>
      </c>
      <c r="AB2255">
        <v>20.722789970000001</v>
      </c>
    </row>
    <row r="2256" spans="1:28" hidden="1" x14ac:dyDescent="0.25">
      <c r="A2256" t="s">
        <v>460</v>
      </c>
      <c r="B2256" t="s">
        <v>469</v>
      </c>
      <c r="C2256">
        <v>34</v>
      </c>
      <c r="D2256" t="s">
        <v>3</v>
      </c>
      <c r="E2256">
        <v>5.5553149543</v>
      </c>
      <c r="F2256">
        <v>5.4456292635999999</v>
      </c>
      <c r="G2256">
        <v>5.1510891770000002</v>
      </c>
      <c r="H2256">
        <v>4.5785712312999998</v>
      </c>
      <c r="I2256">
        <v>4.7807034105000001</v>
      </c>
      <c r="J2256">
        <v>4.9264646034000004</v>
      </c>
      <c r="K2256">
        <v>5.0973572869000003</v>
      </c>
      <c r="L2256">
        <v>4.8292458774</v>
      </c>
      <c r="M2256">
        <v>5.4832718950999997</v>
      </c>
      <c r="N2256">
        <v>6.024673612</v>
      </c>
      <c r="O2256">
        <v>2.6770927374000002</v>
      </c>
      <c r="P2256">
        <v>1.9792596503</v>
      </c>
      <c r="Q2256">
        <v>2.3676505343000001</v>
      </c>
      <c r="R2256">
        <v>2.8093656694</v>
      </c>
      <c r="S2256">
        <v>7.2578939598999996</v>
      </c>
      <c r="T2256">
        <v>7.0701923535000004</v>
      </c>
      <c r="U2256">
        <v>7.4984328548999999</v>
      </c>
      <c r="V2256">
        <v>7.1597393864000001</v>
      </c>
      <c r="W2256">
        <v>7.2224493011000002</v>
      </c>
      <c r="X2256">
        <v>6.8834435771000004</v>
      </c>
      <c r="Y2256">
        <v>7.0254876391999996</v>
      </c>
      <c r="Z2256">
        <v>6.6768141143999999</v>
      </c>
      <c r="AA2256">
        <v>6.1181562239999998</v>
      </c>
      <c r="AB2256">
        <v>5.7377844132</v>
      </c>
    </row>
    <row r="2257" spans="1:28" hidden="1" x14ac:dyDescent="0.25">
      <c r="A2257" t="s">
        <v>460</v>
      </c>
      <c r="B2257" t="s">
        <v>469</v>
      </c>
      <c r="C2257">
        <v>34</v>
      </c>
      <c r="D2257" t="s">
        <v>4</v>
      </c>
      <c r="E2257">
        <v>0.59868056999999997</v>
      </c>
      <c r="F2257">
        <v>0.56976309000000003</v>
      </c>
      <c r="G2257">
        <v>0.56309156999999999</v>
      </c>
      <c r="H2257">
        <v>0.54874482000000002</v>
      </c>
      <c r="I2257">
        <v>0.53053488000000004</v>
      </c>
      <c r="J2257">
        <v>0.52946490000000002</v>
      </c>
      <c r="K2257">
        <v>0.49555257000000003</v>
      </c>
      <c r="L2257">
        <v>0.4506288</v>
      </c>
      <c r="M2257">
        <v>0.39378357000000003</v>
      </c>
      <c r="N2257">
        <v>0.36922542000000003</v>
      </c>
      <c r="O2257">
        <v>0.33915353999999998</v>
      </c>
      <c r="P2257">
        <v>0.36450684</v>
      </c>
      <c r="Q2257">
        <v>0.36837753000000001</v>
      </c>
      <c r="R2257">
        <v>0.39307766999999999</v>
      </c>
      <c r="S2257">
        <v>0.44168837999999999</v>
      </c>
      <c r="T2257">
        <v>0.52327794000000005</v>
      </c>
      <c r="U2257">
        <v>0.63318671999999998</v>
      </c>
      <c r="V2257">
        <v>0.71802414000000003</v>
      </c>
      <c r="W2257">
        <v>0.81594453</v>
      </c>
      <c r="X2257">
        <v>0.82539501000000004</v>
      </c>
      <c r="Y2257">
        <v>0.80821935</v>
      </c>
      <c r="Z2257">
        <v>0.75463899000000001</v>
      </c>
      <c r="AA2257">
        <v>0.69817266</v>
      </c>
      <c r="AB2257">
        <v>0.64091103000000005</v>
      </c>
    </row>
    <row r="2258" spans="1:28" hidden="1" x14ac:dyDescent="0.25">
      <c r="A2258" t="s">
        <v>460</v>
      </c>
      <c r="B2258" t="s">
        <v>470</v>
      </c>
      <c r="C2258">
        <v>34</v>
      </c>
      <c r="D2258" t="s">
        <v>2</v>
      </c>
      <c r="E2258">
        <v>11.6236652</v>
      </c>
      <c r="F2258">
        <v>10.93082815</v>
      </c>
      <c r="G2258">
        <v>10.63453292</v>
      </c>
      <c r="H2258">
        <v>10.424639470000001</v>
      </c>
      <c r="I2258">
        <v>10.35400213</v>
      </c>
      <c r="J2258">
        <v>10.711893330000001</v>
      </c>
      <c r="K2258">
        <v>10.51183859</v>
      </c>
      <c r="L2258">
        <v>10.56697048</v>
      </c>
      <c r="M2258">
        <v>10.710868039999999</v>
      </c>
      <c r="N2258">
        <v>11.08370403</v>
      </c>
      <c r="O2258">
        <v>11.785600880000001</v>
      </c>
      <c r="P2258">
        <v>12.44466156</v>
      </c>
      <c r="Q2258">
        <v>12.72023274</v>
      </c>
      <c r="R2258">
        <v>13.0417858</v>
      </c>
      <c r="S2258">
        <v>13.33170037</v>
      </c>
      <c r="T2258">
        <v>13.521270380000001</v>
      </c>
      <c r="U2258">
        <v>13.925732249999999</v>
      </c>
      <c r="V2258">
        <v>14.65271912</v>
      </c>
      <c r="W2258">
        <v>16.614174550000001</v>
      </c>
      <c r="X2258">
        <v>16.930705920000001</v>
      </c>
      <c r="Y2258">
        <v>16.456244000000002</v>
      </c>
      <c r="Z2258">
        <v>15.154808579999999</v>
      </c>
      <c r="AA2258">
        <v>13.740212959999999</v>
      </c>
      <c r="AB2258">
        <v>12.43023378</v>
      </c>
    </row>
    <row r="2259" spans="1:28" hidden="1" x14ac:dyDescent="0.25">
      <c r="A2259" t="s">
        <v>460</v>
      </c>
      <c r="B2259" t="s">
        <v>470</v>
      </c>
      <c r="C2259">
        <v>34</v>
      </c>
      <c r="D2259" t="s">
        <v>3</v>
      </c>
      <c r="E2259">
        <v>2.8691889118999998</v>
      </c>
      <c r="F2259">
        <v>2.5647571660000001</v>
      </c>
      <c r="G2259">
        <v>2.7542463331000002</v>
      </c>
      <c r="H2259">
        <v>2.6240343076000001</v>
      </c>
      <c r="I2259">
        <v>2.1671498153000002</v>
      </c>
      <c r="J2259">
        <v>2.5173426389000002</v>
      </c>
      <c r="K2259">
        <v>2.7469866653000001</v>
      </c>
      <c r="L2259">
        <v>2.8499962437000002</v>
      </c>
      <c r="M2259">
        <v>3.2467015735000002</v>
      </c>
      <c r="N2259">
        <v>3.3459280387999999</v>
      </c>
      <c r="O2259">
        <v>3.4860743644999999</v>
      </c>
      <c r="P2259">
        <v>3.3615480304999998</v>
      </c>
      <c r="Q2259">
        <v>3.3251659494000001</v>
      </c>
      <c r="R2259">
        <v>3.4229726276000001</v>
      </c>
      <c r="S2259">
        <v>3.6632633915000001</v>
      </c>
      <c r="T2259">
        <v>3.5087850007000001</v>
      </c>
      <c r="U2259">
        <v>3.4974170443000001</v>
      </c>
      <c r="V2259">
        <v>4.2326749430000001</v>
      </c>
      <c r="W2259">
        <v>4.1201344297000002</v>
      </c>
      <c r="X2259">
        <v>4.1355186301</v>
      </c>
      <c r="Y2259">
        <v>3.7938313895000002</v>
      </c>
      <c r="Z2259">
        <v>3.243100101</v>
      </c>
      <c r="AA2259">
        <v>3.4424204136999998</v>
      </c>
      <c r="AB2259">
        <v>3.2230178212</v>
      </c>
    </row>
    <row r="2260" spans="1:28" hidden="1" x14ac:dyDescent="0.25">
      <c r="A2260" t="s">
        <v>460</v>
      </c>
      <c r="B2260" t="s">
        <v>470</v>
      </c>
      <c r="C2260">
        <v>34</v>
      </c>
      <c r="D2260" t="s">
        <v>4</v>
      </c>
      <c r="E2260">
        <v>0.3594948</v>
      </c>
      <c r="F2260">
        <v>0.33806684999999997</v>
      </c>
      <c r="G2260">
        <v>0.32890308000000001</v>
      </c>
      <c r="H2260">
        <v>0.32241153</v>
      </c>
      <c r="I2260">
        <v>0.32022687</v>
      </c>
      <c r="J2260">
        <v>0.33129566999999999</v>
      </c>
      <c r="K2260">
        <v>0.32510841000000001</v>
      </c>
      <c r="L2260">
        <v>0.32681352000000002</v>
      </c>
      <c r="M2260">
        <v>0.33126396000000002</v>
      </c>
      <c r="N2260">
        <v>0.34279496999999998</v>
      </c>
      <c r="O2260">
        <v>0.36450312000000001</v>
      </c>
      <c r="P2260">
        <v>0.38488644</v>
      </c>
      <c r="Q2260">
        <v>0.39340925999999998</v>
      </c>
      <c r="R2260">
        <v>0.4033542</v>
      </c>
      <c r="S2260">
        <v>0.41232063000000002</v>
      </c>
      <c r="T2260">
        <v>0.41818361999999998</v>
      </c>
      <c r="U2260">
        <v>0.43069275000000001</v>
      </c>
      <c r="V2260">
        <v>0.45317688</v>
      </c>
      <c r="W2260">
        <v>0.51384045</v>
      </c>
      <c r="X2260">
        <v>0.52363008</v>
      </c>
      <c r="Y2260">
        <v>0.50895599999999996</v>
      </c>
      <c r="Z2260">
        <v>0.46870541999999998</v>
      </c>
      <c r="AA2260">
        <v>0.42495504000000001</v>
      </c>
      <c r="AB2260">
        <v>0.38444022</v>
      </c>
    </row>
    <row r="2261" spans="1:28" hidden="1" x14ac:dyDescent="0.25">
      <c r="A2261" t="s">
        <v>460</v>
      </c>
      <c r="B2261" t="s">
        <v>471</v>
      </c>
      <c r="C2261">
        <v>34</v>
      </c>
      <c r="D2261" t="s">
        <v>2</v>
      </c>
      <c r="E2261">
        <v>3.9523309599999998</v>
      </c>
      <c r="F2261">
        <v>3.66187028</v>
      </c>
      <c r="G2261">
        <v>3.59807532</v>
      </c>
      <c r="H2261">
        <v>3.5009579500000001</v>
      </c>
      <c r="I2261">
        <v>3.3486252699999999</v>
      </c>
      <c r="J2261">
        <v>3.39121118</v>
      </c>
      <c r="K2261">
        <v>3.2285635199999998</v>
      </c>
      <c r="L2261">
        <v>3.1381983199999999</v>
      </c>
      <c r="M2261">
        <v>3.1903552199999998</v>
      </c>
      <c r="N2261">
        <v>3.2555605600000002</v>
      </c>
      <c r="O2261">
        <v>3.4119720899999999</v>
      </c>
      <c r="P2261">
        <v>3.55194309</v>
      </c>
      <c r="Q2261">
        <v>3.64815836</v>
      </c>
      <c r="R2261">
        <v>3.9000751199999999</v>
      </c>
      <c r="S2261">
        <v>4.1161523200000003</v>
      </c>
      <c r="T2261">
        <v>4.2040382000000003</v>
      </c>
      <c r="U2261">
        <v>4.3788690600000004</v>
      </c>
      <c r="V2261">
        <v>4.69252147</v>
      </c>
      <c r="W2261">
        <v>5.26240811</v>
      </c>
      <c r="X2261">
        <v>5.4056324900000003</v>
      </c>
      <c r="Y2261">
        <v>5.4255465899999997</v>
      </c>
      <c r="Z2261">
        <v>5.1481207700000002</v>
      </c>
      <c r="AA2261">
        <v>4.7080094600000004</v>
      </c>
      <c r="AB2261">
        <v>4.2810154599999999</v>
      </c>
    </row>
    <row r="2262" spans="1:28" hidden="1" x14ac:dyDescent="0.25">
      <c r="A2262" t="s">
        <v>460</v>
      </c>
      <c r="B2262" t="s">
        <v>471</v>
      </c>
      <c r="C2262">
        <v>34</v>
      </c>
      <c r="D2262" t="s">
        <v>3</v>
      </c>
      <c r="E2262">
        <v>0.13924093700000001</v>
      </c>
      <c r="F2262">
        <v>0.13708662050000001</v>
      </c>
      <c r="G2262">
        <v>0.13849748680000001</v>
      </c>
      <c r="H2262">
        <v>0.13746703969999999</v>
      </c>
      <c r="I2262">
        <v>0.13486134659999999</v>
      </c>
      <c r="J2262">
        <v>0.1357298985</v>
      </c>
      <c r="K2262">
        <v>0.13476188980000001</v>
      </c>
      <c r="L2262">
        <v>0.12793953390000001</v>
      </c>
      <c r="M2262">
        <v>0.12363158270000001</v>
      </c>
      <c r="N2262">
        <v>0.12274446999999999</v>
      </c>
      <c r="O2262">
        <v>0.1249614364</v>
      </c>
      <c r="P2262">
        <v>0.1251352402</v>
      </c>
      <c r="Q2262">
        <v>0.12748313389999999</v>
      </c>
      <c r="R2262">
        <v>0.1317382993</v>
      </c>
      <c r="S2262">
        <v>0.13150967699999999</v>
      </c>
      <c r="T2262">
        <v>0.13165560740000001</v>
      </c>
      <c r="U2262">
        <v>0.13713069159999999</v>
      </c>
      <c r="V2262">
        <v>0.14844623109999999</v>
      </c>
      <c r="W2262">
        <v>0.17460656359999999</v>
      </c>
      <c r="X2262">
        <v>0.14906592199999999</v>
      </c>
      <c r="Y2262">
        <v>0.14961507390000001</v>
      </c>
      <c r="Z2262">
        <v>0.1708145127</v>
      </c>
      <c r="AA2262">
        <v>0.14439581009999999</v>
      </c>
      <c r="AB2262">
        <v>0.16478528919999999</v>
      </c>
    </row>
    <row r="2263" spans="1:28" hidden="1" x14ac:dyDescent="0.25">
      <c r="A2263" t="s">
        <v>460</v>
      </c>
      <c r="B2263" t="s">
        <v>471</v>
      </c>
      <c r="C2263">
        <v>34</v>
      </c>
      <c r="D2263" t="s">
        <v>4</v>
      </c>
      <c r="E2263">
        <v>0.12223704000000001</v>
      </c>
      <c r="F2263">
        <v>0.11325372</v>
      </c>
      <c r="G2263">
        <v>0.11128068000000001</v>
      </c>
      <c r="H2263">
        <v>0.10827705</v>
      </c>
      <c r="I2263">
        <v>0.10356572999999999</v>
      </c>
      <c r="J2263">
        <v>0.10488282</v>
      </c>
      <c r="K2263">
        <v>9.9852479999999993E-2</v>
      </c>
      <c r="L2263">
        <v>9.7057679999999993E-2</v>
      </c>
      <c r="M2263">
        <v>9.867078E-2</v>
      </c>
      <c r="N2263">
        <v>0.10068744</v>
      </c>
      <c r="O2263">
        <v>0.10552491</v>
      </c>
      <c r="P2263">
        <v>0.10985391</v>
      </c>
      <c r="Q2263">
        <v>0.11282963999999999</v>
      </c>
      <c r="R2263">
        <v>0.12062088</v>
      </c>
      <c r="S2263">
        <v>0.12730368</v>
      </c>
      <c r="T2263">
        <v>0.13002179999999999</v>
      </c>
      <c r="U2263">
        <v>0.13542894</v>
      </c>
      <c r="V2263">
        <v>0.14512953000000001</v>
      </c>
      <c r="W2263">
        <v>0.16275489000000001</v>
      </c>
      <c r="X2263">
        <v>0.16718451000000001</v>
      </c>
      <c r="Y2263">
        <v>0.16780041000000001</v>
      </c>
      <c r="Z2263">
        <v>0.15922022999999999</v>
      </c>
      <c r="AA2263">
        <v>0.14560854000000001</v>
      </c>
      <c r="AB2263">
        <v>0.13240254000000001</v>
      </c>
    </row>
    <row r="2264" spans="1:28" hidden="1" x14ac:dyDescent="0.25">
      <c r="A2264" t="s">
        <v>460</v>
      </c>
      <c r="B2264" t="s">
        <v>472</v>
      </c>
      <c r="C2264">
        <v>115</v>
      </c>
      <c r="D2264" t="s">
        <v>2</v>
      </c>
      <c r="E2264">
        <v>17.782891544999998</v>
      </c>
      <c r="F2264">
        <v>16.309929440000001</v>
      </c>
      <c r="G2264">
        <v>15.962835139999999</v>
      </c>
      <c r="H2264">
        <v>15.63712716</v>
      </c>
      <c r="I2264">
        <v>15.394545300000001</v>
      </c>
      <c r="J2264">
        <v>16.68013775</v>
      </c>
      <c r="K2264">
        <v>17.396069239999999</v>
      </c>
      <c r="L2264">
        <v>18.315181604999999</v>
      </c>
      <c r="M2264">
        <v>19.681812959999998</v>
      </c>
      <c r="N2264">
        <v>20.876033854999999</v>
      </c>
      <c r="O2264">
        <v>22.050423745</v>
      </c>
      <c r="P2264">
        <v>23.528041944999998</v>
      </c>
      <c r="Q2264">
        <v>23.51340583</v>
      </c>
      <c r="R2264">
        <v>24.447685225000001</v>
      </c>
      <c r="S2264">
        <v>24.877850485</v>
      </c>
      <c r="T2264">
        <v>25.435326995</v>
      </c>
      <c r="U2264">
        <v>26.843358885000001</v>
      </c>
      <c r="V2264">
        <v>27.519765280000001</v>
      </c>
      <c r="W2264">
        <v>29.976092285</v>
      </c>
      <c r="X2264">
        <v>29.912150024999999</v>
      </c>
      <c r="Y2264">
        <v>28.874566784999999</v>
      </c>
      <c r="Z2264">
        <v>26.397956659999998</v>
      </c>
      <c r="AA2264">
        <v>22.92969089</v>
      </c>
      <c r="AB2264">
        <v>19.764309664999999</v>
      </c>
    </row>
    <row r="2265" spans="1:28" hidden="1" x14ac:dyDescent="0.25">
      <c r="A2265" t="s">
        <v>460</v>
      </c>
      <c r="B2265" t="s">
        <v>472</v>
      </c>
      <c r="C2265">
        <v>115</v>
      </c>
      <c r="D2265" t="s">
        <v>3</v>
      </c>
      <c r="E2265">
        <v>3.5622961203000001</v>
      </c>
      <c r="F2265">
        <v>3.4220591766999999</v>
      </c>
      <c r="G2265">
        <v>3.416016242</v>
      </c>
      <c r="H2265">
        <v>3.3361427185000001</v>
      </c>
      <c r="I2265">
        <v>3.1827339190999999</v>
      </c>
      <c r="J2265">
        <v>3.3378561183</v>
      </c>
      <c r="K2265">
        <v>3.7253329291999999</v>
      </c>
      <c r="L2265">
        <v>4.4507418454999996</v>
      </c>
      <c r="M2265">
        <v>5.0764315978000001</v>
      </c>
      <c r="N2265">
        <v>5.6604691709999999</v>
      </c>
      <c r="O2265">
        <v>6.3911151949000002</v>
      </c>
      <c r="P2265">
        <v>6.7272937225999998</v>
      </c>
      <c r="Q2265">
        <v>6.6683470930000004</v>
      </c>
      <c r="R2265">
        <v>7.1030595554999998</v>
      </c>
      <c r="S2265">
        <v>7.1902538721000004</v>
      </c>
      <c r="T2265">
        <v>7.0477347354999997</v>
      </c>
      <c r="U2265">
        <v>7.0317872816999998</v>
      </c>
      <c r="V2265">
        <v>7.0697855208</v>
      </c>
      <c r="W2265">
        <v>6.6652764458</v>
      </c>
      <c r="X2265">
        <v>5.9983807636000002</v>
      </c>
      <c r="Y2265">
        <v>5.6638220646999997</v>
      </c>
      <c r="Z2265">
        <v>4.5864635390000004</v>
      </c>
      <c r="AA2265">
        <v>3.8974627189</v>
      </c>
      <c r="AB2265">
        <v>3.69048</v>
      </c>
    </row>
    <row r="2266" spans="1:28" hidden="1" x14ac:dyDescent="0.25">
      <c r="A2266" t="s">
        <v>460</v>
      </c>
      <c r="B2266" t="s">
        <v>472</v>
      </c>
      <c r="C2266">
        <v>115</v>
      </c>
      <c r="D2266" t="s">
        <v>4</v>
      </c>
      <c r="E2266">
        <v>0.27080545499999997</v>
      </c>
      <c r="F2266">
        <v>0.24837455999999999</v>
      </c>
      <c r="G2266">
        <v>0.24308885999999999</v>
      </c>
      <c r="H2266">
        <v>0.23812884000000001</v>
      </c>
      <c r="I2266">
        <v>0.2344347</v>
      </c>
      <c r="J2266">
        <v>0.25401224999999999</v>
      </c>
      <c r="K2266">
        <v>0.26491476000000003</v>
      </c>
      <c r="L2266">
        <v>0.27891139500000001</v>
      </c>
      <c r="M2266">
        <v>0.29972304</v>
      </c>
      <c r="N2266">
        <v>0.317909145</v>
      </c>
      <c r="O2266">
        <v>0.33579325500000001</v>
      </c>
      <c r="P2266">
        <v>0.35829505499999997</v>
      </c>
      <c r="Q2266">
        <v>0.35807217000000002</v>
      </c>
      <c r="R2266">
        <v>0.372299775</v>
      </c>
      <c r="S2266">
        <v>0.378850515</v>
      </c>
      <c r="T2266">
        <v>0.38734000499999999</v>
      </c>
      <c r="U2266">
        <v>0.408782115</v>
      </c>
      <c r="V2266">
        <v>0.41908272000000002</v>
      </c>
      <c r="W2266">
        <v>0.45648871499999999</v>
      </c>
      <c r="X2266">
        <v>0.45551497499999999</v>
      </c>
      <c r="Y2266">
        <v>0.43971421500000002</v>
      </c>
      <c r="Z2266">
        <v>0.40199933999999998</v>
      </c>
      <c r="AA2266">
        <v>0.34918311000000002</v>
      </c>
      <c r="AB2266">
        <v>0.30097933500000001</v>
      </c>
    </row>
    <row r="2267" spans="1:28" hidden="1" x14ac:dyDescent="0.25">
      <c r="A2267" t="s">
        <v>460</v>
      </c>
      <c r="B2267" t="s">
        <v>473</v>
      </c>
      <c r="C2267">
        <v>115</v>
      </c>
      <c r="D2267" t="s">
        <v>2</v>
      </c>
      <c r="E2267">
        <v>4.4909400499999999</v>
      </c>
      <c r="F2267">
        <v>5.0344866899999996</v>
      </c>
      <c r="G2267">
        <v>4.0641888000000002</v>
      </c>
      <c r="H2267">
        <v>4.2816728599999996</v>
      </c>
      <c r="I2267">
        <v>4.9863822449999997</v>
      </c>
      <c r="J2267">
        <v>3.8447061749999998</v>
      </c>
      <c r="K2267">
        <v>3.5684245099999998</v>
      </c>
      <c r="L2267">
        <v>3.2278804600000002</v>
      </c>
      <c r="M2267">
        <v>3.5775042400000001</v>
      </c>
      <c r="N2267">
        <v>2.7949916749999999</v>
      </c>
      <c r="O2267">
        <v>2.798886365</v>
      </c>
      <c r="P2267">
        <v>3.0442380450000002</v>
      </c>
      <c r="Q2267">
        <v>3.2139013400000001</v>
      </c>
      <c r="R2267">
        <v>4.0616100700000004</v>
      </c>
      <c r="S2267">
        <v>3.4721230300000001</v>
      </c>
      <c r="T2267">
        <v>2.9944453100000001</v>
      </c>
      <c r="U2267">
        <v>3.2636714200000001</v>
      </c>
      <c r="V2267">
        <v>3.3536383650000001</v>
      </c>
      <c r="W2267">
        <v>3.7101138050000002</v>
      </c>
      <c r="X2267">
        <v>3.8821824700000001</v>
      </c>
      <c r="Y2267">
        <v>3.9313388950000001</v>
      </c>
      <c r="Z2267">
        <v>3.32694782</v>
      </c>
      <c r="AA2267">
        <v>3.3488995300000002</v>
      </c>
      <c r="AB2267">
        <v>4.4714232599999999</v>
      </c>
    </row>
    <row r="2268" spans="1:28" hidden="1" x14ac:dyDescent="0.25">
      <c r="A2268" t="s">
        <v>460</v>
      </c>
      <c r="B2268" t="s">
        <v>473</v>
      </c>
      <c r="C2268">
        <v>115</v>
      </c>
      <c r="D2268" t="s">
        <v>3</v>
      </c>
      <c r="E2268">
        <v>1.2212001731</v>
      </c>
      <c r="F2268">
        <v>2.0334995298999998</v>
      </c>
      <c r="G2268">
        <v>1.8537109303999999</v>
      </c>
      <c r="H2268">
        <v>1.4030589967</v>
      </c>
      <c r="I2268">
        <v>1.8752206729000001</v>
      </c>
      <c r="J2268">
        <v>1.4784331992999999</v>
      </c>
      <c r="K2268">
        <v>0.71199280710000001</v>
      </c>
      <c r="L2268">
        <v>0.72146642949999995</v>
      </c>
      <c r="M2268">
        <v>0.98751455389999998</v>
      </c>
      <c r="N2268">
        <v>1.0950431568000001</v>
      </c>
      <c r="O2268">
        <v>1.0644204228</v>
      </c>
      <c r="P2268">
        <v>0.63219538409999998</v>
      </c>
      <c r="Q2268">
        <v>0.94211159909999997</v>
      </c>
      <c r="R2268">
        <v>1.5215091162000001</v>
      </c>
      <c r="S2268">
        <v>1.3519752184</v>
      </c>
      <c r="T2268">
        <v>1.2077305728000001</v>
      </c>
      <c r="U2268">
        <v>1.3044151955000001</v>
      </c>
      <c r="V2268">
        <v>0.71616244279999997</v>
      </c>
      <c r="W2268">
        <v>1.0462900317999999</v>
      </c>
      <c r="X2268">
        <v>1.332450701</v>
      </c>
      <c r="Y2268">
        <v>1.0888373929999999</v>
      </c>
      <c r="Z2268">
        <v>1.3713305703000001</v>
      </c>
      <c r="AA2268">
        <v>1.5464154047000001</v>
      </c>
      <c r="AB2268">
        <v>1.4950774652000001</v>
      </c>
    </row>
    <row r="2269" spans="1:28" hidden="1" x14ac:dyDescent="0.25">
      <c r="A2269" t="s">
        <v>460</v>
      </c>
      <c r="B2269" t="s">
        <v>473</v>
      </c>
      <c r="C2269">
        <v>115</v>
      </c>
      <c r="D2269" t="s">
        <v>4</v>
      </c>
      <c r="E2269">
        <v>6.8389950000000005E-2</v>
      </c>
      <c r="F2269">
        <v>7.6667310000000002E-2</v>
      </c>
      <c r="G2269">
        <v>6.18912E-2</v>
      </c>
      <c r="H2269">
        <v>6.5203140000000007E-2</v>
      </c>
      <c r="I2269">
        <v>7.5934755000000007E-2</v>
      </c>
      <c r="J2269">
        <v>5.8548824999999999E-2</v>
      </c>
      <c r="K2269">
        <v>5.4341489999999999E-2</v>
      </c>
      <c r="L2269">
        <v>4.9155539999999998E-2</v>
      </c>
      <c r="M2269">
        <v>5.4479760000000002E-2</v>
      </c>
      <c r="N2269">
        <v>4.2563324999999999E-2</v>
      </c>
      <c r="O2269">
        <v>4.2622634999999999E-2</v>
      </c>
      <c r="P2269">
        <v>4.6358955E-2</v>
      </c>
      <c r="Q2269">
        <v>4.8942659999999999E-2</v>
      </c>
      <c r="R2269">
        <v>6.1851929999999999E-2</v>
      </c>
      <c r="S2269">
        <v>5.287497E-2</v>
      </c>
      <c r="T2269">
        <v>4.5600689999999999E-2</v>
      </c>
      <c r="U2269">
        <v>4.9700580000000001E-2</v>
      </c>
      <c r="V2269">
        <v>5.1070635000000003E-2</v>
      </c>
      <c r="W2269">
        <v>5.6499195000000002E-2</v>
      </c>
      <c r="X2269">
        <v>5.9119530000000003E-2</v>
      </c>
      <c r="Y2269">
        <v>5.9868104999999998E-2</v>
      </c>
      <c r="Z2269">
        <v>5.0664180000000003E-2</v>
      </c>
      <c r="AA2269">
        <v>5.0998469999999997E-2</v>
      </c>
      <c r="AB2269">
        <v>6.8092739999999999E-2</v>
      </c>
    </row>
    <row r="2270" spans="1:28" hidden="1" x14ac:dyDescent="0.25">
      <c r="A2270" t="s">
        <v>460</v>
      </c>
      <c r="B2270" t="s">
        <v>474</v>
      </c>
      <c r="C2270">
        <v>34</v>
      </c>
      <c r="D2270" t="s">
        <v>2</v>
      </c>
      <c r="E2270">
        <v>3.94164447</v>
      </c>
      <c r="F2270">
        <v>3.6635823300000001</v>
      </c>
      <c r="G2270">
        <v>3.7727393400000002</v>
      </c>
      <c r="H2270">
        <v>3.4879182399999999</v>
      </c>
      <c r="I2270">
        <v>3.4170975700000001</v>
      </c>
      <c r="J2270">
        <v>3.50286206</v>
      </c>
      <c r="K2270">
        <v>3.8401494899999999</v>
      </c>
      <c r="L2270">
        <v>6.5618472700000003</v>
      </c>
      <c r="M2270">
        <v>8.9620802600000005</v>
      </c>
      <c r="N2270">
        <v>9.8018267199999993</v>
      </c>
      <c r="O2270">
        <v>9.6469225699999992</v>
      </c>
      <c r="P2270">
        <v>9.9355451000000006</v>
      </c>
      <c r="Q2270">
        <v>8.8063147500000003</v>
      </c>
      <c r="R2270">
        <v>9.8415637399999998</v>
      </c>
      <c r="S2270">
        <v>9.1650178400000009</v>
      </c>
      <c r="T2270">
        <v>8.3887326600000005</v>
      </c>
      <c r="U2270">
        <v>6.2732111599999998</v>
      </c>
      <c r="V2270">
        <v>4.4414631599999996</v>
      </c>
      <c r="W2270">
        <v>4.3502569700000002</v>
      </c>
      <c r="X2270">
        <v>4.2168004899999998</v>
      </c>
      <c r="Y2270">
        <v>4.4277444499999996</v>
      </c>
      <c r="Z2270">
        <v>4.3592585699999997</v>
      </c>
      <c r="AA2270">
        <v>4.2449266100000003</v>
      </c>
      <c r="AB2270">
        <v>4.0191853000000002</v>
      </c>
    </row>
    <row r="2271" spans="1:28" hidden="1" x14ac:dyDescent="0.25">
      <c r="A2271" t="s">
        <v>460</v>
      </c>
      <c r="B2271" t="s">
        <v>474</v>
      </c>
      <c r="C2271">
        <v>34</v>
      </c>
      <c r="D2271" t="s">
        <v>3</v>
      </c>
      <c r="E2271">
        <v>0.91919028650000001</v>
      </c>
      <c r="F2271">
        <v>0.78783640249999998</v>
      </c>
      <c r="G2271">
        <v>0.69934101400000004</v>
      </c>
      <c r="H2271">
        <v>0.97023979419999995</v>
      </c>
      <c r="I2271">
        <v>0.98815070839999997</v>
      </c>
      <c r="J2271">
        <v>0.90437288579999997</v>
      </c>
      <c r="K2271">
        <v>0.93576884950000006</v>
      </c>
      <c r="L2271">
        <v>1.7294066866</v>
      </c>
      <c r="M2271">
        <v>3.8909436040999998</v>
      </c>
      <c r="N2271">
        <v>3.7408904135999999</v>
      </c>
      <c r="O2271">
        <v>3.8851321408000001</v>
      </c>
      <c r="P2271">
        <v>4.0901331940999999</v>
      </c>
      <c r="Q2271">
        <v>2.2852486664999998</v>
      </c>
      <c r="R2271">
        <v>4.6932109619000002</v>
      </c>
      <c r="S2271">
        <v>4.2926494632000001</v>
      </c>
      <c r="T2271">
        <v>2.7291598584000001</v>
      </c>
      <c r="U2271">
        <v>2.1218439330000001</v>
      </c>
      <c r="V2271">
        <v>1.4009879035999999</v>
      </c>
      <c r="W2271">
        <v>1.4263066833</v>
      </c>
      <c r="X2271">
        <v>1.0462784326000001</v>
      </c>
      <c r="Y2271">
        <v>1.3549348725000001</v>
      </c>
      <c r="Z2271">
        <v>1.6541800252000001</v>
      </c>
      <c r="AA2271">
        <v>1.4355039382000001</v>
      </c>
      <c r="AB2271">
        <v>1.1231843434</v>
      </c>
    </row>
    <row r="2272" spans="1:28" hidden="1" x14ac:dyDescent="0.25">
      <c r="A2272" t="s">
        <v>460</v>
      </c>
      <c r="B2272" t="s">
        <v>474</v>
      </c>
      <c r="C2272">
        <v>34</v>
      </c>
      <c r="D2272" t="s">
        <v>4</v>
      </c>
      <c r="E2272">
        <v>0.12190653</v>
      </c>
      <c r="F2272">
        <v>0.11330667</v>
      </c>
      <c r="G2272">
        <v>0.11668265999999999</v>
      </c>
      <c r="H2272">
        <v>0.10787376</v>
      </c>
      <c r="I2272">
        <v>0.10568342999999999</v>
      </c>
      <c r="J2272">
        <v>0.10833594000000001</v>
      </c>
      <c r="K2272">
        <v>0.11876751000000001</v>
      </c>
      <c r="L2272">
        <v>0.20294372999999999</v>
      </c>
      <c r="M2272">
        <v>0.27717774000000001</v>
      </c>
      <c r="N2272">
        <v>0.30314928000000002</v>
      </c>
      <c r="O2272">
        <v>0.29835843000000001</v>
      </c>
      <c r="P2272">
        <v>0.30728490000000003</v>
      </c>
      <c r="Q2272">
        <v>0.27236025000000003</v>
      </c>
      <c r="R2272">
        <v>0.30437826000000001</v>
      </c>
      <c r="S2272">
        <v>0.28345416000000001</v>
      </c>
      <c r="T2272">
        <v>0.25944534000000002</v>
      </c>
      <c r="U2272">
        <v>0.19401684</v>
      </c>
      <c r="V2272">
        <v>0.13736483999999999</v>
      </c>
      <c r="W2272">
        <v>0.13454403000000001</v>
      </c>
      <c r="X2272">
        <v>0.13041651000000001</v>
      </c>
      <c r="Y2272">
        <v>0.13694054999999999</v>
      </c>
      <c r="Z2272">
        <v>0.13482242999999999</v>
      </c>
      <c r="AA2272">
        <v>0.13128639</v>
      </c>
      <c r="AB2272">
        <v>0.1243047</v>
      </c>
    </row>
    <row r="2273" spans="1:28" hidden="1" x14ac:dyDescent="0.25">
      <c r="A2273" t="s">
        <v>460</v>
      </c>
      <c r="B2273" t="s">
        <v>475</v>
      </c>
      <c r="C2273">
        <v>14</v>
      </c>
      <c r="D2273" t="s">
        <v>2</v>
      </c>
      <c r="E2273">
        <v>4.1813442500000004</v>
      </c>
      <c r="F2273">
        <v>3.8479265499999999</v>
      </c>
      <c r="G2273">
        <v>3.8774174000000001</v>
      </c>
      <c r="H2273">
        <v>3.6187285999999999</v>
      </c>
      <c r="I2273">
        <v>3.300338</v>
      </c>
      <c r="J2273">
        <v>3.3033361999999999</v>
      </c>
      <c r="K2273">
        <v>3.0610634000000001</v>
      </c>
      <c r="L2273">
        <v>2.9112759499999998</v>
      </c>
      <c r="M2273">
        <v>2.9073676499999999</v>
      </c>
      <c r="N2273">
        <v>3.0108977000000001</v>
      </c>
      <c r="O2273">
        <v>3.0541312500000002</v>
      </c>
      <c r="P2273">
        <v>3.0717271500000001</v>
      </c>
      <c r="Q2273">
        <v>3.2101231499999998</v>
      </c>
      <c r="R2273">
        <v>3.6915261500000001</v>
      </c>
      <c r="S2273">
        <v>3.8230175499999999</v>
      </c>
      <c r="T2273">
        <v>3.7447746</v>
      </c>
      <c r="U2273">
        <v>3.85561205</v>
      </c>
      <c r="V2273">
        <v>4.0145917000000004</v>
      </c>
      <c r="W2273">
        <v>4.6704194499999998</v>
      </c>
      <c r="X2273">
        <v>4.97075435</v>
      </c>
      <c r="Y2273">
        <v>5.0400558999999996</v>
      </c>
      <c r="Z2273">
        <v>4.9236276999999999</v>
      </c>
      <c r="AA2273">
        <v>4.8254470999999999</v>
      </c>
      <c r="AB2273">
        <v>4.4641526000000002</v>
      </c>
    </row>
    <row r="2274" spans="1:28" hidden="1" x14ac:dyDescent="0.25">
      <c r="A2274" t="s">
        <v>460</v>
      </c>
      <c r="B2274" t="s">
        <v>475</v>
      </c>
      <c r="C2274">
        <v>14</v>
      </c>
      <c r="D2274" t="s">
        <v>3</v>
      </c>
      <c r="E2274">
        <v>1.1400903444999999</v>
      </c>
      <c r="F2274">
        <v>1.1170835179</v>
      </c>
      <c r="G2274">
        <v>1.1268508353</v>
      </c>
      <c r="H2274">
        <v>1.121502116</v>
      </c>
      <c r="I2274">
        <v>1.0969006965999999</v>
      </c>
      <c r="J2274">
        <v>0.85862218670000001</v>
      </c>
      <c r="K2274">
        <v>0.87137853220000006</v>
      </c>
      <c r="L2274">
        <v>1.0457023352999999</v>
      </c>
      <c r="M2274">
        <v>1.0105319413</v>
      </c>
      <c r="N2274">
        <v>1.002291512</v>
      </c>
      <c r="O2274">
        <v>1.0161462987000001</v>
      </c>
      <c r="P2274">
        <v>1.0225409019</v>
      </c>
      <c r="Q2274">
        <v>1.0411534299</v>
      </c>
      <c r="R2274">
        <v>1.0776961951999999</v>
      </c>
      <c r="S2274">
        <v>1.073103191</v>
      </c>
      <c r="T2274">
        <v>1.0804223138</v>
      </c>
      <c r="U2274">
        <v>1.1182646091999999</v>
      </c>
      <c r="V2274">
        <v>1.1737203991</v>
      </c>
      <c r="W2274">
        <v>1.2224607524</v>
      </c>
      <c r="X2274">
        <v>1.2072658402000001</v>
      </c>
      <c r="Y2274">
        <v>1.2186597437</v>
      </c>
      <c r="Z2274">
        <v>1.1947149457999999</v>
      </c>
      <c r="AA2274">
        <v>1.1750025072000001</v>
      </c>
      <c r="AB2274">
        <v>1.149508942</v>
      </c>
    </row>
    <row r="2275" spans="1:28" hidden="1" x14ac:dyDescent="0.25">
      <c r="A2275" t="s">
        <v>460</v>
      </c>
      <c r="B2275" t="s">
        <v>475</v>
      </c>
      <c r="C2275">
        <v>14</v>
      </c>
      <c r="D2275" t="s">
        <v>4</v>
      </c>
      <c r="E2275">
        <v>0.22007075000000001</v>
      </c>
      <c r="F2275">
        <v>0.20252244999999999</v>
      </c>
      <c r="G2275">
        <v>0.20407459999999999</v>
      </c>
      <c r="H2275">
        <v>0.1904594</v>
      </c>
      <c r="I2275">
        <v>0.173702</v>
      </c>
      <c r="J2275">
        <v>0.17385980000000001</v>
      </c>
      <c r="K2275">
        <v>0.16110859999999999</v>
      </c>
      <c r="L2275">
        <v>0.15322505</v>
      </c>
      <c r="M2275">
        <v>0.15301935</v>
      </c>
      <c r="N2275">
        <v>0.15846830000000001</v>
      </c>
      <c r="O2275">
        <v>0.16074374999999999</v>
      </c>
      <c r="P2275">
        <v>0.16166985</v>
      </c>
      <c r="Q2275">
        <v>0.16895384999999999</v>
      </c>
      <c r="R2275">
        <v>0.19429084999999999</v>
      </c>
      <c r="S2275">
        <v>0.20121144999999999</v>
      </c>
      <c r="T2275">
        <v>0.1970934</v>
      </c>
      <c r="U2275">
        <v>0.20292694999999999</v>
      </c>
      <c r="V2275">
        <v>0.21129429999999999</v>
      </c>
      <c r="W2275">
        <v>0.24581154999999999</v>
      </c>
      <c r="X2275">
        <v>0.26161865000000001</v>
      </c>
      <c r="Y2275">
        <v>0.2652661</v>
      </c>
      <c r="Z2275">
        <v>0.25913829999999999</v>
      </c>
      <c r="AA2275">
        <v>0.2539709</v>
      </c>
      <c r="AB2275">
        <v>0.23495540000000001</v>
      </c>
    </row>
    <row r="2276" spans="1:28" hidden="1" x14ac:dyDescent="0.25">
      <c r="A2276" t="s">
        <v>460</v>
      </c>
      <c r="B2276" t="s">
        <v>476</v>
      </c>
      <c r="C2276">
        <v>115</v>
      </c>
      <c r="D2276" t="s">
        <v>2</v>
      </c>
      <c r="E2276">
        <v>23.454895844999999</v>
      </c>
      <c r="F2276">
        <v>21.480014185000002</v>
      </c>
      <c r="G2276">
        <v>21.081078349999999</v>
      </c>
      <c r="H2276">
        <v>20.496111689999999</v>
      </c>
      <c r="I2276">
        <v>20.32102991</v>
      </c>
      <c r="J2276">
        <v>22.256412085000001</v>
      </c>
      <c r="K2276">
        <v>24.240454244999999</v>
      </c>
      <c r="L2276">
        <v>26.454665080000002</v>
      </c>
      <c r="M2276">
        <v>28.717872985</v>
      </c>
      <c r="N2276">
        <v>30.771206939999999</v>
      </c>
      <c r="O2276">
        <v>32.990470055000003</v>
      </c>
      <c r="P2276">
        <v>34.951470110000002</v>
      </c>
      <c r="Q2276">
        <v>35.430599719999996</v>
      </c>
      <c r="R2276">
        <v>36.271904964999997</v>
      </c>
      <c r="S2276">
        <v>37.209875154999999</v>
      </c>
      <c r="T2276">
        <v>37.675013825000001</v>
      </c>
      <c r="U2276">
        <v>38.477202749999996</v>
      </c>
      <c r="V2276">
        <v>39.019939720000004</v>
      </c>
      <c r="W2276">
        <v>42.233718920000001</v>
      </c>
      <c r="X2276">
        <v>42.1855209</v>
      </c>
      <c r="Y2276">
        <v>40.671114920000001</v>
      </c>
      <c r="Z2276">
        <v>36.779331655</v>
      </c>
      <c r="AA2276">
        <v>31.688514784999999</v>
      </c>
      <c r="AB2276">
        <v>26.851825945000002</v>
      </c>
    </row>
    <row r="2277" spans="1:28" hidden="1" x14ac:dyDescent="0.25">
      <c r="A2277" t="s">
        <v>460</v>
      </c>
      <c r="B2277" t="s">
        <v>476</v>
      </c>
      <c r="C2277">
        <v>115</v>
      </c>
      <c r="D2277" t="s">
        <v>3</v>
      </c>
      <c r="E2277">
        <v>6.5771231617000003</v>
      </c>
      <c r="F2277">
        <v>6.2065266229000002</v>
      </c>
      <c r="G2277">
        <v>6.1934552525999997</v>
      </c>
      <c r="H2277">
        <v>6.0089483316000001</v>
      </c>
      <c r="I2277">
        <v>5.7218424951999998</v>
      </c>
      <c r="J2277">
        <v>5.7746183306000001</v>
      </c>
      <c r="K2277">
        <v>6.4998091972000003</v>
      </c>
      <c r="L2277">
        <v>7.2852644184999997</v>
      </c>
      <c r="M2277">
        <v>7.9908055822000001</v>
      </c>
      <c r="N2277">
        <v>8.9103645870000001</v>
      </c>
      <c r="O2277">
        <v>10.0150359087</v>
      </c>
      <c r="P2277">
        <v>10.7957424669</v>
      </c>
      <c r="Q2277">
        <v>11.124123770700001</v>
      </c>
      <c r="R2277">
        <v>11.4837532813</v>
      </c>
      <c r="S2277">
        <v>11.8969477584</v>
      </c>
      <c r="T2277">
        <v>12.0688292246</v>
      </c>
      <c r="U2277">
        <v>12.1102707794</v>
      </c>
      <c r="V2277">
        <v>12.0277632514</v>
      </c>
      <c r="W2277">
        <v>11.4480708176</v>
      </c>
      <c r="X2277">
        <v>10.8229287234</v>
      </c>
      <c r="Y2277">
        <v>10.469239593999999</v>
      </c>
      <c r="Z2277">
        <v>9.7010862134</v>
      </c>
      <c r="AA2277">
        <v>8.3036784729999997</v>
      </c>
      <c r="AB2277">
        <v>7.0791824099999996</v>
      </c>
    </row>
    <row r="2278" spans="1:28" hidden="1" x14ac:dyDescent="0.25">
      <c r="A2278" t="s">
        <v>460</v>
      </c>
      <c r="B2278" t="s">
        <v>476</v>
      </c>
      <c r="C2278">
        <v>115</v>
      </c>
      <c r="D2278" t="s">
        <v>4</v>
      </c>
      <c r="E2278">
        <v>0.35718115499999997</v>
      </c>
      <c r="F2278">
        <v>0.327106815</v>
      </c>
      <c r="G2278">
        <v>0.32103165</v>
      </c>
      <c r="H2278">
        <v>0.3121235282</v>
      </c>
      <c r="I2278">
        <v>0.3094573082</v>
      </c>
      <c r="J2278">
        <v>0.33893013319999998</v>
      </c>
      <c r="K2278">
        <v>0.36914397319999998</v>
      </c>
      <c r="L2278">
        <v>0.40286292000000001</v>
      </c>
      <c r="M2278">
        <v>0.43732801500000001</v>
      </c>
      <c r="N2278">
        <v>0.46859706000000001</v>
      </c>
      <c r="O2278">
        <v>0.50239294499999998</v>
      </c>
      <c r="P2278">
        <v>0.53225588999999995</v>
      </c>
      <c r="Q2278">
        <v>0.53955228</v>
      </c>
      <c r="R2278">
        <v>0.55236403499999998</v>
      </c>
      <c r="S2278">
        <v>0.56664784499999998</v>
      </c>
      <c r="T2278">
        <v>0.57373117500000004</v>
      </c>
      <c r="U2278">
        <v>0.58594725000000003</v>
      </c>
      <c r="V2278">
        <v>0.59421228000000004</v>
      </c>
      <c r="W2278">
        <v>0.64315308000000004</v>
      </c>
      <c r="X2278">
        <v>0.64241910000000002</v>
      </c>
      <c r="Y2278">
        <v>0.61935708</v>
      </c>
      <c r="Z2278">
        <v>0.56009134500000002</v>
      </c>
      <c r="AA2278">
        <v>0.48256621500000002</v>
      </c>
      <c r="AB2278">
        <v>0.40891105500000002</v>
      </c>
    </row>
    <row r="2279" spans="1:28" hidden="1" x14ac:dyDescent="0.25">
      <c r="A2279" t="s">
        <v>460</v>
      </c>
      <c r="B2279" t="s">
        <v>477</v>
      </c>
      <c r="C2279">
        <v>34</v>
      </c>
      <c r="D2279" t="s">
        <v>2</v>
      </c>
      <c r="E2279">
        <v>4.71821774</v>
      </c>
      <c r="F2279">
        <v>4.8225751900000002</v>
      </c>
      <c r="G2279">
        <v>5.0136845900000004</v>
      </c>
      <c r="H2279">
        <v>5.1389756100000001</v>
      </c>
      <c r="I2279">
        <v>4.9381623299999999</v>
      </c>
      <c r="J2279">
        <v>4.9826639899999998</v>
      </c>
      <c r="K2279">
        <v>5.6191537399999998</v>
      </c>
      <c r="L2279">
        <v>6.6023738700000001</v>
      </c>
      <c r="M2279">
        <v>8.1204083499999999</v>
      </c>
      <c r="N2279">
        <v>8.96943965</v>
      </c>
      <c r="O2279">
        <v>8.45177975</v>
      </c>
      <c r="P2279">
        <v>8.3327190400000006</v>
      </c>
      <c r="Q2279">
        <v>10.99682016</v>
      </c>
      <c r="R2279">
        <v>7.9725182700000001</v>
      </c>
      <c r="S2279">
        <v>8.4470597299999994</v>
      </c>
      <c r="T2279">
        <v>7.7052541699999999</v>
      </c>
      <c r="U2279">
        <v>5.5061904500000001</v>
      </c>
      <c r="V2279">
        <v>4.7016511100000002</v>
      </c>
      <c r="W2279">
        <v>3.6611321100000001</v>
      </c>
      <c r="X2279">
        <v>3.0863925600000002</v>
      </c>
      <c r="Y2279">
        <v>3.3700748800000002</v>
      </c>
      <c r="Z2279">
        <v>3.57723681</v>
      </c>
      <c r="AA2279">
        <v>4.0133856699999999</v>
      </c>
      <c r="AB2279">
        <v>4.3631957999999997</v>
      </c>
    </row>
    <row r="2280" spans="1:28" hidden="1" x14ac:dyDescent="0.25">
      <c r="A2280" t="s">
        <v>460</v>
      </c>
      <c r="B2280" t="s">
        <v>477</v>
      </c>
      <c r="C2280">
        <v>34</v>
      </c>
      <c r="D2280" t="s">
        <v>3</v>
      </c>
      <c r="E2280">
        <v>0.76042865940000004</v>
      </c>
      <c r="F2280">
        <v>0.71255181300000003</v>
      </c>
      <c r="G2280">
        <v>0.74985009609999997</v>
      </c>
      <c r="H2280">
        <v>0.75678234550000001</v>
      </c>
      <c r="I2280">
        <v>0.74704239230000002</v>
      </c>
      <c r="J2280">
        <v>0.68133617160000004</v>
      </c>
      <c r="K2280">
        <v>0.9405198494</v>
      </c>
      <c r="L2280">
        <v>1.2121960273000001</v>
      </c>
      <c r="M2280">
        <v>1.5466798759</v>
      </c>
      <c r="N2280">
        <v>1.6909263536000001</v>
      </c>
      <c r="O2280">
        <v>1.9512496067</v>
      </c>
      <c r="P2280">
        <v>2.3585165151999998</v>
      </c>
      <c r="Q2280">
        <v>2.3746479744000002</v>
      </c>
      <c r="R2280">
        <v>2.1028682031999999</v>
      </c>
      <c r="S2280">
        <v>2.1598843269999999</v>
      </c>
      <c r="T2280">
        <v>1.8855347414999999</v>
      </c>
      <c r="U2280">
        <v>1.6886515571</v>
      </c>
      <c r="V2280">
        <v>1.3989793507999999</v>
      </c>
      <c r="W2280">
        <v>1.1635192368</v>
      </c>
      <c r="X2280">
        <v>1.0374833019</v>
      </c>
      <c r="Y2280">
        <v>1.029764927</v>
      </c>
      <c r="Z2280">
        <v>1.0011114204</v>
      </c>
      <c r="AA2280">
        <v>0.98781912019999996</v>
      </c>
      <c r="AB2280">
        <v>0.8909947922</v>
      </c>
    </row>
    <row r="2281" spans="1:28" hidden="1" x14ac:dyDescent="0.25">
      <c r="A2281" t="s">
        <v>460</v>
      </c>
      <c r="B2281" t="s">
        <v>477</v>
      </c>
      <c r="C2281">
        <v>34</v>
      </c>
      <c r="D2281" t="s">
        <v>4</v>
      </c>
      <c r="E2281">
        <v>0.14592426</v>
      </c>
      <c r="F2281">
        <v>0.14915181</v>
      </c>
      <c r="G2281">
        <v>0.15506241000000001</v>
      </c>
      <c r="H2281">
        <v>0.15893739000000001</v>
      </c>
      <c r="I2281">
        <v>0.15272667000000001</v>
      </c>
      <c r="J2281">
        <v>0.15410301000000001</v>
      </c>
      <c r="K2281">
        <v>0.17378826</v>
      </c>
      <c r="L2281">
        <v>0.20419713</v>
      </c>
      <c r="M2281">
        <v>0.25114665000000003</v>
      </c>
      <c r="N2281">
        <v>0.27740534999999999</v>
      </c>
      <c r="O2281">
        <v>0.26139525000000002</v>
      </c>
      <c r="P2281">
        <v>0.25771295999999999</v>
      </c>
      <c r="Q2281">
        <v>0.34010783999999999</v>
      </c>
      <c r="R2281">
        <v>0.24657272999999999</v>
      </c>
      <c r="S2281">
        <v>0.26124926999999998</v>
      </c>
      <c r="T2281">
        <v>0.23830683</v>
      </c>
      <c r="U2281">
        <v>0.17029454999999999</v>
      </c>
      <c r="V2281">
        <v>0.14541188999999999</v>
      </c>
      <c r="W2281">
        <v>0.11323089</v>
      </c>
      <c r="X2281">
        <v>9.5455440000000003E-2</v>
      </c>
      <c r="Y2281">
        <v>0.10422911999999999</v>
      </c>
      <c r="Z2281">
        <v>0.11063619</v>
      </c>
      <c r="AA2281">
        <v>0.12412533000000001</v>
      </c>
      <c r="AB2281">
        <v>0.13494419999999999</v>
      </c>
    </row>
    <row r="2282" spans="1:28" hidden="1" x14ac:dyDescent="0.25">
      <c r="A2282" t="s">
        <v>460</v>
      </c>
      <c r="B2282" t="s">
        <v>478</v>
      </c>
      <c r="C2282">
        <v>34</v>
      </c>
      <c r="D2282" t="s">
        <v>2</v>
      </c>
      <c r="E2282">
        <v>1.2521351700000001</v>
      </c>
      <c r="F2282">
        <v>3.2783924199999999</v>
      </c>
      <c r="G2282">
        <v>1.2525891300000001</v>
      </c>
      <c r="H2282">
        <v>1.2354404999999999</v>
      </c>
      <c r="I2282">
        <v>3.2687409199999999</v>
      </c>
      <c r="J2282">
        <v>3.17790624</v>
      </c>
      <c r="K2282">
        <v>2.0358030199999999</v>
      </c>
      <c r="L2282">
        <v>4.0632708300000004</v>
      </c>
      <c r="M2282">
        <v>2.7631565500000002</v>
      </c>
      <c r="N2282">
        <v>0.95817085000000002</v>
      </c>
      <c r="O2282">
        <v>1.1303351800000001</v>
      </c>
      <c r="P2282">
        <v>0.98544142999999995</v>
      </c>
      <c r="Q2282">
        <v>0.99257287000000005</v>
      </c>
      <c r="R2282">
        <v>2.50867511</v>
      </c>
      <c r="S2282">
        <v>1.1811563899999999</v>
      </c>
      <c r="T2282">
        <v>1.92577592</v>
      </c>
      <c r="U2282">
        <v>1.2599475499999999</v>
      </c>
      <c r="V2282">
        <v>1.3534361500000001</v>
      </c>
      <c r="W2282">
        <v>1.64638197</v>
      </c>
      <c r="X2282">
        <v>1.77054779</v>
      </c>
      <c r="Y2282">
        <v>3.62950332</v>
      </c>
      <c r="Z2282">
        <v>1.57316346</v>
      </c>
      <c r="AA2282">
        <v>1.9274258900000001</v>
      </c>
      <c r="AB2282">
        <v>2.8533733400000001</v>
      </c>
    </row>
    <row r="2283" spans="1:28" hidden="1" x14ac:dyDescent="0.25">
      <c r="A2283" t="s">
        <v>460</v>
      </c>
      <c r="B2283" t="s">
        <v>478</v>
      </c>
      <c r="C2283">
        <v>34</v>
      </c>
      <c r="D2283" t="s">
        <v>3</v>
      </c>
      <c r="E2283">
        <v>0.18200825370000001</v>
      </c>
      <c r="F2283">
        <v>5.4863718999999998E-2</v>
      </c>
      <c r="G2283">
        <v>0.1478041273</v>
      </c>
      <c r="H2283">
        <v>0.12770457160000001</v>
      </c>
      <c r="I2283">
        <v>0.1455578911</v>
      </c>
      <c r="J2283">
        <v>0.10447905189999999</v>
      </c>
      <c r="K2283">
        <v>0.104306914</v>
      </c>
      <c r="L2283">
        <v>0</v>
      </c>
      <c r="M2283">
        <v>0.13147031989999999</v>
      </c>
      <c r="N2283">
        <v>0.1628057604</v>
      </c>
      <c r="O2283">
        <v>0.1787187026</v>
      </c>
      <c r="P2283">
        <v>0.20770992260000001</v>
      </c>
      <c r="Q2283">
        <v>0.19793838489999999</v>
      </c>
      <c r="R2283">
        <v>0.21787091489999999</v>
      </c>
      <c r="S2283">
        <v>0.20321856399999999</v>
      </c>
      <c r="T2283">
        <v>0.20392718330000001</v>
      </c>
      <c r="U2283">
        <v>0.21206077139999999</v>
      </c>
      <c r="V2283">
        <v>0.21390460419999999</v>
      </c>
      <c r="W2283">
        <v>0.23184272340000001</v>
      </c>
      <c r="X2283">
        <v>0.20474643889999999</v>
      </c>
      <c r="Y2283">
        <v>0.23104503160000001</v>
      </c>
      <c r="Z2283">
        <v>0.21033468850000001</v>
      </c>
      <c r="AA2283">
        <v>0.1748596785</v>
      </c>
      <c r="AB2283">
        <v>0.1554128652</v>
      </c>
    </row>
    <row r="2284" spans="1:28" hidden="1" x14ac:dyDescent="0.25">
      <c r="A2284" t="s">
        <v>460</v>
      </c>
      <c r="B2284" t="s">
        <v>478</v>
      </c>
      <c r="C2284">
        <v>34</v>
      </c>
      <c r="D2284" t="s">
        <v>4</v>
      </c>
      <c r="E2284">
        <v>3.8725830000000003E-2</v>
      </c>
      <c r="F2284">
        <v>0.10139358</v>
      </c>
      <c r="G2284">
        <v>3.8739870000000003E-2</v>
      </c>
      <c r="H2284">
        <v>3.82095E-2</v>
      </c>
      <c r="I2284">
        <v>0.10109508</v>
      </c>
      <c r="J2284">
        <v>9.828576E-2</v>
      </c>
      <c r="K2284">
        <v>6.2962980000000002E-2</v>
      </c>
      <c r="L2284">
        <v>0.12566817</v>
      </c>
      <c r="M2284">
        <v>8.5458450000000005E-2</v>
      </c>
      <c r="N2284">
        <v>2.9634150000000001E-2</v>
      </c>
      <c r="O2284">
        <v>3.4958820000000002E-2</v>
      </c>
      <c r="P2284">
        <v>3.0477569999999999E-2</v>
      </c>
      <c r="Q2284">
        <v>3.0698130000000001E-2</v>
      </c>
      <c r="R2284">
        <v>7.7587890000000007E-2</v>
      </c>
      <c r="S2284">
        <v>3.6530609999999998E-2</v>
      </c>
      <c r="T2284">
        <v>5.9560080000000001E-2</v>
      </c>
      <c r="U2284">
        <v>3.8967450000000001E-2</v>
      </c>
      <c r="V2284">
        <v>4.1858850000000003E-2</v>
      </c>
      <c r="W2284">
        <v>5.0919029999999997E-2</v>
      </c>
      <c r="X2284">
        <v>5.4759210000000003E-2</v>
      </c>
      <c r="Y2284">
        <v>0.11225267999999999</v>
      </c>
      <c r="Z2284">
        <v>4.8654540000000003E-2</v>
      </c>
      <c r="AA2284">
        <v>5.9611110000000002E-2</v>
      </c>
      <c r="AB2284">
        <v>8.8248660000000007E-2</v>
      </c>
    </row>
    <row r="2285" spans="1:28" hidden="1" x14ac:dyDescent="0.25">
      <c r="A2285" t="s">
        <v>460</v>
      </c>
      <c r="B2285" t="s">
        <v>479</v>
      </c>
      <c r="C2285">
        <v>34</v>
      </c>
      <c r="D2285" t="s">
        <v>2</v>
      </c>
      <c r="E2285">
        <v>8.8753787499999994</v>
      </c>
      <c r="F2285">
        <v>8.4639018400000001</v>
      </c>
      <c r="G2285">
        <v>8.2058740799999992</v>
      </c>
      <c r="H2285">
        <v>7.6261545499999999</v>
      </c>
      <c r="I2285">
        <v>7.9460566699999999</v>
      </c>
      <c r="J2285">
        <v>8.3922052600000008</v>
      </c>
      <c r="K2285">
        <v>9.33597258</v>
      </c>
      <c r="L2285">
        <v>8.9494149699999994</v>
      </c>
      <c r="M2285">
        <v>9.1093282000000002</v>
      </c>
      <c r="N2285">
        <v>9.2690988399999998</v>
      </c>
      <c r="O2285">
        <v>9.5382738400000004</v>
      </c>
      <c r="P2285">
        <v>9.5318708700000006</v>
      </c>
      <c r="Q2285">
        <v>10.20356774</v>
      </c>
      <c r="R2285">
        <v>10.153071479999999</v>
      </c>
      <c r="S2285">
        <v>10.491450159999999</v>
      </c>
      <c r="T2285">
        <v>10.830341969999999</v>
      </c>
      <c r="U2285">
        <v>11.52299084</v>
      </c>
      <c r="V2285">
        <v>11.96182175</v>
      </c>
      <c r="W2285">
        <v>14.12079537</v>
      </c>
      <c r="X2285">
        <v>15.24652693</v>
      </c>
      <c r="Y2285">
        <v>14.024101890000001</v>
      </c>
      <c r="Z2285">
        <v>11.55249242</v>
      </c>
      <c r="AA2285">
        <v>10.765635209999999</v>
      </c>
      <c r="AB2285">
        <v>9.4335235399999995</v>
      </c>
    </row>
    <row r="2286" spans="1:28" hidden="1" x14ac:dyDescent="0.25">
      <c r="A2286" t="s">
        <v>460</v>
      </c>
      <c r="B2286" t="s">
        <v>479</v>
      </c>
      <c r="C2286">
        <v>34</v>
      </c>
      <c r="D2286" t="s">
        <v>3</v>
      </c>
      <c r="E2286">
        <v>0.89267564170000002</v>
      </c>
      <c r="F2286">
        <v>0.99432768220000001</v>
      </c>
      <c r="G2286">
        <v>1.0382847356</v>
      </c>
      <c r="H2286">
        <v>1.1656175323</v>
      </c>
      <c r="I2286">
        <v>1.374823347</v>
      </c>
      <c r="J2286">
        <v>1.0406013964</v>
      </c>
      <c r="K2286">
        <v>0.9823238675</v>
      </c>
      <c r="L2286">
        <v>0.66629189420000001</v>
      </c>
      <c r="M2286">
        <v>4.0738560799999997E-2</v>
      </c>
      <c r="N2286">
        <v>5.86241006E-2</v>
      </c>
      <c r="O2286">
        <v>0.2765319611</v>
      </c>
      <c r="P2286">
        <v>0.1651161095</v>
      </c>
      <c r="Q2286">
        <v>0.30278728189999998</v>
      </c>
      <c r="R2286">
        <v>4.5406369299999999E-2</v>
      </c>
      <c r="S2286">
        <v>0.20454411240000001</v>
      </c>
      <c r="T2286">
        <v>0.17465000350000001</v>
      </c>
      <c r="U2286">
        <v>8.9259380099999994E-2</v>
      </c>
      <c r="V2286">
        <v>0.1196241983</v>
      </c>
      <c r="W2286">
        <v>0</v>
      </c>
      <c r="X2286">
        <v>0.18041196709999999</v>
      </c>
      <c r="Y2286">
        <v>0.4980409764</v>
      </c>
      <c r="Z2286">
        <v>0.68238974890000004</v>
      </c>
      <c r="AA2286">
        <v>0.77029429230000002</v>
      </c>
      <c r="AB2286">
        <v>0.81486761230000004</v>
      </c>
    </row>
    <row r="2287" spans="1:28" hidden="1" x14ac:dyDescent="0.25">
      <c r="A2287" t="s">
        <v>460</v>
      </c>
      <c r="B2287" t="s">
        <v>479</v>
      </c>
      <c r="C2287">
        <v>34</v>
      </c>
      <c r="D2287" t="s">
        <v>4</v>
      </c>
      <c r="E2287">
        <v>0.27449625</v>
      </c>
      <c r="F2287">
        <v>0.26177015999999997</v>
      </c>
      <c r="G2287">
        <v>0.25378992</v>
      </c>
      <c r="H2287">
        <v>0.23586045</v>
      </c>
      <c r="I2287">
        <v>0.24575432999999999</v>
      </c>
      <c r="J2287">
        <v>0.25955274</v>
      </c>
      <c r="K2287">
        <v>0.28874142000000003</v>
      </c>
      <c r="L2287">
        <v>0.27678603000000002</v>
      </c>
      <c r="M2287">
        <v>0.28173179999999998</v>
      </c>
      <c r="N2287">
        <v>0.28667315999999998</v>
      </c>
      <c r="O2287">
        <v>0.29499816000000001</v>
      </c>
      <c r="P2287">
        <v>0.29480012999999999</v>
      </c>
      <c r="Q2287">
        <v>0.31557426</v>
      </c>
      <c r="R2287">
        <v>0.31401252000000002</v>
      </c>
      <c r="S2287">
        <v>0.32447784000000002</v>
      </c>
      <c r="T2287">
        <v>0.33495902999999999</v>
      </c>
      <c r="U2287">
        <v>0.35638115999999997</v>
      </c>
      <c r="V2287">
        <v>0.36995325000000001</v>
      </c>
      <c r="W2287">
        <v>0.43672562999999998</v>
      </c>
      <c r="X2287">
        <v>0.47154206999999998</v>
      </c>
      <c r="Y2287">
        <v>0.43373510999999998</v>
      </c>
      <c r="Z2287">
        <v>0.35729358</v>
      </c>
      <c r="AA2287">
        <v>0.33295778999999998</v>
      </c>
      <c r="AB2287">
        <v>0.29175846</v>
      </c>
    </row>
    <row r="2288" spans="1:28" hidden="1" x14ac:dyDescent="0.25">
      <c r="A2288" t="s">
        <v>460</v>
      </c>
      <c r="B2288" t="s">
        <v>480</v>
      </c>
      <c r="C2288">
        <v>115</v>
      </c>
      <c r="D2288" t="s">
        <v>2</v>
      </c>
      <c r="E2288">
        <v>8.9854970200000004</v>
      </c>
      <c r="F2288">
        <v>8.4574513249999992</v>
      </c>
      <c r="G2288">
        <v>8.3124987249999993</v>
      </c>
      <c r="H2288">
        <v>8.1032364599999998</v>
      </c>
      <c r="I2288">
        <v>8.1666084049999998</v>
      </c>
      <c r="J2288">
        <v>8.8096577749999998</v>
      </c>
      <c r="K2288">
        <v>10.020753689999999</v>
      </c>
      <c r="L2288">
        <v>10.118440079999999</v>
      </c>
      <c r="M2288">
        <v>9.4403296349999994</v>
      </c>
      <c r="N2288">
        <v>9.2678019599999999</v>
      </c>
      <c r="O2288">
        <v>9.8696556750000006</v>
      </c>
      <c r="P2288">
        <v>10.659857150000001</v>
      </c>
      <c r="Q2288">
        <v>10.57397894</v>
      </c>
      <c r="R2288">
        <v>10.428172345</v>
      </c>
      <c r="S2288">
        <v>10.68148381</v>
      </c>
      <c r="T2288">
        <v>10.997821484999999</v>
      </c>
      <c r="U2288">
        <v>11.93013285</v>
      </c>
      <c r="V2288">
        <v>13.192058705000001</v>
      </c>
      <c r="W2288">
        <v>15.295949755000001</v>
      </c>
      <c r="X2288">
        <v>15.719614014999999</v>
      </c>
      <c r="Y2288">
        <v>14.704523249999999</v>
      </c>
      <c r="Z2288">
        <v>12.715101020000001</v>
      </c>
      <c r="AA2288">
        <v>10.88339502</v>
      </c>
      <c r="AB2288">
        <v>9.6764380750000001</v>
      </c>
    </row>
    <row r="2289" spans="1:28" hidden="1" x14ac:dyDescent="0.25">
      <c r="A2289" t="s">
        <v>460</v>
      </c>
      <c r="B2289" t="s">
        <v>480</v>
      </c>
      <c r="C2289">
        <v>115</v>
      </c>
      <c r="D2289" t="s">
        <v>3</v>
      </c>
      <c r="E2289">
        <v>0.77721798750000004</v>
      </c>
      <c r="F2289">
        <v>0.73647148929999995</v>
      </c>
      <c r="G2289">
        <v>0.74385369300000004</v>
      </c>
      <c r="H2289">
        <v>0.74591497529999995</v>
      </c>
      <c r="I2289">
        <v>0.67515865610000003</v>
      </c>
      <c r="J2289">
        <v>0.64868932560000003</v>
      </c>
      <c r="K2289">
        <v>0.74741032060000001</v>
      </c>
      <c r="L2289">
        <v>0.91230133410000003</v>
      </c>
      <c r="M2289">
        <v>0.91060943849999998</v>
      </c>
      <c r="N2289">
        <v>0.97872660860000005</v>
      </c>
      <c r="O2289">
        <v>1.1281960093000001</v>
      </c>
      <c r="P2289">
        <v>1.2430102508</v>
      </c>
      <c r="Q2289">
        <v>1.2820317267000001</v>
      </c>
      <c r="R2289">
        <v>1.2223663461000001</v>
      </c>
      <c r="S2289">
        <v>1.2640949439</v>
      </c>
      <c r="T2289">
        <v>1.2881815182</v>
      </c>
      <c r="U2289">
        <v>1.3722164797</v>
      </c>
      <c r="V2289">
        <v>1.3829507634</v>
      </c>
      <c r="W2289">
        <v>1.5166854263</v>
      </c>
      <c r="X2289">
        <v>1.4278660347000001</v>
      </c>
      <c r="Y2289">
        <v>1.2138701858000001</v>
      </c>
      <c r="Z2289">
        <v>1.0496417854</v>
      </c>
      <c r="AA2289">
        <v>0.9311469349</v>
      </c>
      <c r="AB2289">
        <v>0.79166120429999998</v>
      </c>
    </row>
    <row r="2290" spans="1:28" hidden="1" x14ac:dyDescent="0.25">
      <c r="A2290" t="s">
        <v>460</v>
      </c>
      <c r="B2290" t="s">
        <v>480</v>
      </c>
      <c r="C2290">
        <v>115</v>
      </c>
      <c r="D2290" t="s">
        <v>4</v>
      </c>
      <c r="E2290">
        <v>0.13683497999999999</v>
      </c>
      <c r="F2290">
        <v>0.128793675</v>
      </c>
      <c r="G2290">
        <v>0.126586275</v>
      </c>
      <c r="H2290">
        <v>0.12339954</v>
      </c>
      <c r="I2290">
        <v>0.12436459499999999</v>
      </c>
      <c r="J2290">
        <v>0.13415722499999999</v>
      </c>
      <c r="K2290">
        <v>0.15260030999999999</v>
      </c>
      <c r="L2290">
        <v>0.15408791999999999</v>
      </c>
      <c r="M2290">
        <v>0.143761365</v>
      </c>
      <c r="N2290">
        <v>0.14113403999999999</v>
      </c>
      <c r="O2290">
        <v>0.15029932500000001</v>
      </c>
      <c r="P2290">
        <v>0.16233285</v>
      </c>
      <c r="Q2290">
        <v>0.16102506</v>
      </c>
      <c r="R2290">
        <v>0.15880465499999999</v>
      </c>
      <c r="S2290">
        <v>0.16266219000000001</v>
      </c>
      <c r="T2290">
        <v>0.167479515</v>
      </c>
      <c r="U2290">
        <v>0.18167715000000001</v>
      </c>
      <c r="V2290">
        <v>0.200894295</v>
      </c>
      <c r="W2290">
        <v>0.23293324500000001</v>
      </c>
      <c r="X2290">
        <v>0.23938498499999999</v>
      </c>
      <c r="Y2290">
        <v>0.22392675000000001</v>
      </c>
      <c r="Z2290">
        <v>0.19363098000000001</v>
      </c>
      <c r="AA2290">
        <v>0.16573698000000001</v>
      </c>
      <c r="AB2290">
        <v>0.147356925</v>
      </c>
    </row>
    <row r="2291" spans="1:28" hidden="1" x14ac:dyDescent="0.25">
      <c r="A2291" t="s">
        <v>460</v>
      </c>
      <c r="B2291" t="s">
        <v>481</v>
      </c>
      <c r="C2291">
        <v>34</v>
      </c>
      <c r="D2291" t="s">
        <v>2</v>
      </c>
      <c r="E2291">
        <v>1.05442977</v>
      </c>
      <c r="F2291">
        <v>1.1281779000000001</v>
      </c>
      <c r="G2291">
        <v>1.07958866</v>
      </c>
      <c r="H2291">
        <v>1.1229796700000001</v>
      </c>
      <c r="I2291">
        <v>0.95372243000000001</v>
      </c>
      <c r="J2291">
        <v>1.05319205</v>
      </c>
      <c r="K2291">
        <v>1.0947720700000001</v>
      </c>
      <c r="L2291">
        <v>1.0343187599999999</v>
      </c>
      <c r="M2291">
        <v>1.1325302900000001</v>
      </c>
      <c r="N2291">
        <v>1.19123954</v>
      </c>
      <c r="O2291">
        <v>1.1951437899999999</v>
      </c>
      <c r="P2291">
        <v>1.20904583</v>
      </c>
      <c r="Q2291">
        <v>1.1415590499999999</v>
      </c>
      <c r="R2291">
        <v>1.2543370700000001</v>
      </c>
      <c r="S2291">
        <v>1.23379247</v>
      </c>
      <c r="T2291">
        <v>1.1111902899999999</v>
      </c>
      <c r="U2291">
        <v>1.1427938600000001</v>
      </c>
      <c r="V2291">
        <v>1.0590130200000001</v>
      </c>
      <c r="W2291">
        <v>1.4158381900000001</v>
      </c>
      <c r="X2291">
        <v>1.77054779</v>
      </c>
      <c r="Y2291">
        <v>1.47175772</v>
      </c>
      <c r="Z2291">
        <v>1.60280278</v>
      </c>
      <c r="AA2291">
        <v>1.3141540599999999</v>
      </c>
      <c r="AB2291">
        <v>1.09700986</v>
      </c>
    </row>
    <row r="2292" spans="1:28" hidden="1" x14ac:dyDescent="0.25">
      <c r="A2292" t="s">
        <v>460</v>
      </c>
      <c r="B2292" t="s">
        <v>481</v>
      </c>
      <c r="C2292">
        <v>34</v>
      </c>
      <c r="D2292" t="s">
        <v>3</v>
      </c>
      <c r="E2292">
        <v>0.32795440580000002</v>
      </c>
      <c r="F2292">
        <v>0.47743319699999998</v>
      </c>
      <c r="G2292">
        <v>0.22392054210000001</v>
      </c>
      <c r="H2292">
        <v>0.56993084689999995</v>
      </c>
      <c r="I2292">
        <v>0.19707836070000001</v>
      </c>
      <c r="J2292">
        <v>0.4677174482</v>
      </c>
      <c r="K2292">
        <v>0.51452308290000004</v>
      </c>
      <c r="L2292">
        <v>0.1463315805</v>
      </c>
      <c r="M2292">
        <v>0.54449352169999998</v>
      </c>
      <c r="N2292">
        <v>0.30912801179999999</v>
      </c>
      <c r="O2292">
        <v>0.18927916880000001</v>
      </c>
      <c r="P2292">
        <v>0.16090696860000001</v>
      </c>
      <c r="Q2292">
        <v>0.21875486920000001</v>
      </c>
      <c r="R2292">
        <v>0.3058255896</v>
      </c>
      <c r="S2292">
        <v>0.24194504610000001</v>
      </c>
      <c r="T2292">
        <v>0.33144048300000001</v>
      </c>
      <c r="U2292">
        <v>0.34316873749999999</v>
      </c>
      <c r="V2292">
        <v>0.3114152999</v>
      </c>
      <c r="W2292">
        <v>0.67739894119999999</v>
      </c>
      <c r="X2292">
        <v>0.64144769479999997</v>
      </c>
      <c r="Y2292">
        <v>0.66625931250000003</v>
      </c>
      <c r="Z2292">
        <v>0.55303701279999995</v>
      </c>
      <c r="AA2292">
        <v>0.54759196170000002</v>
      </c>
      <c r="AB2292">
        <v>0.51251633070000002</v>
      </c>
    </row>
    <row r="2293" spans="1:28" hidden="1" x14ac:dyDescent="0.25">
      <c r="A2293" t="s">
        <v>460</v>
      </c>
      <c r="B2293" t="s">
        <v>481</v>
      </c>
      <c r="C2293">
        <v>34</v>
      </c>
      <c r="D2293" t="s">
        <v>4</v>
      </c>
      <c r="E2293">
        <v>3.2611229999999998E-2</v>
      </c>
      <c r="F2293">
        <v>3.4892100000000002E-2</v>
      </c>
      <c r="G2293">
        <v>3.3389340000000003E-2</v>
      </c>
      <c r="H2293">
        <v>3.4731329999999998E-2</v>
      </c>
      <c r="I2293">
        <v>2.949657E-2</v>
      </c>
      <c r="J2293">
        <v>3.2572950000000003E-2</v>
      </c>
      <c r="K2293">
        <v>3.3858930000000002E-2</v>
      </c>
      <c r="L2293">
        <v>3.1989240000000002E-2</v>
      </c>
      <c r="M2293">
        <v>3.5026710000000003E-2</v>
      </c>
      <c r="N2293">
        <v>3.684246E-2</v>
      </c>
      <c r="O2293">
        <v>3.6963210000000003E-2</v>
      </c>
      <c r="P2293">
        <v>3.7393170000000003E-2</v>
      </c>
      <c r="Q2293">
        <v>3.5305950000000003E-2</v>
      </c>
      <c r="R2293">
        <v>3.8793929999999997E-2</v>
      </c>
      <c r="S2293">
        <v>3.8158530000000003E-2</v>
      </c>
      <c r="T2293">
        <v>3.4366710000000002E-2</v>
      </c>
      <c r="U2293">
        <v>3.5344140000000003E-2</v>
      </c>
      <c r="V2293">
        <v>3.2752980000000001E-2</v>
      </c>
      <c r="W2293">
        <v>4.3788809999999997E-2</v>
      </c>
      <c r="X2293">
        <v>5.4759210000000003E-2</v>
      </c>
      <c r="Y2293">
        <v>4.5518280000000001E-2</v>
      </c>
      <c r="Z2293">
        <v>4.9571219999999999E-2</v>
      </c>
      <c r="AA2293">
        <v>4.0643940000000003E-2</v>
      </c>
      <c r="AB2293">
        <v>3.3928140000000002E-2</v>
      </c>
    </row>
    <row r="2294" spans="1:28" hidden="1" x14ac:dyDescent="0.25">
      <c r="A2294" t="s">
        <v>482</v>
      </c>
      <c r="B2294" t="s">
        <v>483</v>
      </c>
      <c r="C2294">
        <v>34</v>
      </c>
      <c r="D2294" t="s">
        <v>2</v>
      </c>
      <c r="E2294">
        <v>12.38954519</v>
      </c>
      <c r="F2294">
        <v>12.15732622</v>
      </c>
      <c r="G2294">
        <v>11.900705930000001</v>
      </c>
      <c r="H2294">
        <v>11.733428460000001</v>
      </c>
      <c r="I2294">
        <v>11.434101979999999</v>
      </c>
      <c r="J2294">
        <v>11.329696029999999</v>
      </c>
      <c r="K2294">
        <v>10.45553106</v>
      </c>
      <c r="L2294">
        <v>10.2700011</v>
      </c>
      <c r="M2294">
        <v>10.69020413</v>
      </c>
      <c r="N2294">
        <v>11.275239259999999</v>
      </c>
      <c r="O2294">
        <v>11.53616441</v>
      </c>
      <c r="P2294">
        <v>11.93778418</v>
      </c>
      <c r="Q2294">
        <v>12.125901130000001</v>
      </c>
      <c r="R2294">
        <v>12.28966526</v>
      </c>
      <c r="S2294">
        <v>12.055613960000001</v>
      </c>
      <c r="T2294">
        <v>12.58572187</v>
      </c>
      <c r="U2294">
        <v>12.423138229999999</v>
      </c>
      <c r="V2294">
        <v>12.254538650000001</v>
      </c>
      <c r="W2294">
        <v>14.795352769999999</v>
      </c>
      <c r="X2294">
        <v>15.4232231</v>
      </c>
      <c r="Y2294">
        <v>15.42303201</v>
      </c>
      <c r="Z2294">
        <v>13.8111219</v>
      </c>
      <c r="AA2294">
        <v>13.47828483</v>
      </c>
      <c r="AB2294">
        <v>13.400453969999999</v>
      </c>
    </row>
    <row r="2295" spans="1:28" hidden="1" x14ac:dyDescent="0.25">
      <c r="A2295" t="s">
        <v>482</v>
      </c>
      <c r="B2295" t="s">
        <v>483</v>
      </c>
      <c r="C2295">
        <v>34</v>
      </c>
      <c r="D2295" t="s">
        <v>3</v>
      </c>
      <c r="E2295">
        <v>5.1068315438000003</v>
      </c>
      <c r="F2295">
        <v>5.0639545126999996</v>
      </c>
      <c r="G2295">
        <v>4.9614203931</v>
      </c>
      <c r="H2295">
        <v>4.9109887951999998</v>
      </c>
      <c r="I2295">
        <v>4.7291397445000003</v>
      </c>
      <c r="J2295">
        <v>4.4994909588000001</v>
      </c>
      <c r="K2295">
        <v>4.2700694285000003</v>
      </c>
      <c r="L2295">
        <v>4.4523469361999997</v>
      </c>
      <c r="M2295">
        <v>4.7326349419999998</v>
      </c>
      <c r="N2295">
        <v>5.0900842944000004</v>
      </c>
      <c r="O2295">
        <v>5.2017990708999999</v>
      </c>
      <c r="P2295">
        <v>5.3004551694000002</v>
      </c>
      <c r="Q2295">
        <v>5.3255100704</v>
      </c>
      <c r="R2295">
        <v>5.3967036556999997</v>
      </c>
      <c r="S2295">
        <v>5.3110790636000003</v>
      </c>
      <c r="T2295">
        <v>5.5457354436999999</v>
      </c>
      <c r="U2295">
        <v>5.4232011705999996</v>
      </c>
      <c r="V2295">
        <v>5.1648373458999997</v>
      </c>
      <c r="W2295">
        <v>5.4859956568000001</v>
      </c>
      <c r="X2295">
        <v>5.4757545579000002</v>
      </c>
      <c r="Y2295">
        <v>5.4663380576999998</v>
      </c>
      <c r="Z2295">
        <v>4.9916645848999996</v>
      </c>
      <c r="AA2295">
        <v>5.0687566871999996</v>
      </c>
      <c r="AB2295">
        <v>5.3218745958999998</v>
      </c>
    </row>
    <row r="2296" spans="1:28" hidden="1" x14ac:dyDescent="0.25">
      <c r="A2296" t="s">
        <v>482</v>
      </c>
      <c r="B2296" t="s">
        <v>483</v>
      </c>
      <c r="C2296">
        <v>34</v>
      </c>
      <c r="D2296" t="s">
        <v>4</v>
      </c>
      <c r="E2296">
        <v>0.38318181000000001</v>
      </c>
      <c r="F2296">
        <v>0.37599978000000001</v>
      </c>
      <c r="G2296">
        <v>0.36806306999999999</v>
      </c>
      <c r="H2296">
        <v>0.36288954000000001</v>
      </c>
      <c r="I2296">
        <v>0.35363201999999999</v>
      </c>
      <c r="J2296">
        <v>0.35040296999999998</v>
      </c>
      <c r="K2296">
        <v>0.32336693999999999</v>
      </c>
      <c r="L2296">
        <v>0.31762889999999999</v>
      </c>
      <c r="M2296">
        <v>0.33062487000000002</v>
      </c>
      <c r="N2296">
        <v>0.34871874000000003</v>
      </c>
      <c r="O2296">
        <v>0.35678859000000002</v>
      </c>
      <c r="P2296">
        <v>0.36920982000000002</v>
      </c>
      <c r="Q2296">
        <v>0.37502786999999999</v>
      </c>
      <c r="R2296">
        <v>0.38009273999999998</v>
      </c>
      <c r="S2296">
        <v>0.37285404</v>
      </c>
      <c r="T2296">
        <v>0.38924913</v>
      </c>
      <c r="U2296">
        <v>0.38422076999999999</v>
      </c>
      <c r="V2296">
        <v>0.37900634999999999</v>
      </c>
      <c r="W2296">
        <v>0.45758822999999998</v>
      </c>
      <c r="X2296">
        <v>0.47700690000000001</v>
      </c>
      <c r="Y2296">
        <v>0.47700099000000001</v>
      </c>
      <c r="Z2296">
        <v>0.42714809999999998</v>
      </c>
      <c r="AA2296">
        <v>0.41685417000000002</v>
      </c>
      <c r="AB2296">
        <v>0.41444702999999999</v>
      </c>
    </row>
    <row r="2297" spans="1:28" hidden="1" x14ac:dyDescent="0.25">
      <c r="A2297" t="s">
        <v>482</v>
      </c>
      <c r="B2297" t="s">
        <v>484</v>
      </c>
      <c r="C2297">
        <v>34</v>
      </c>
      <c r="D2297" t="s">
        <v>2</v>
      </c>
      <c r="E2297">
        <v>12.31398607</v>
      </c>
      <c r="F2297">
        <v>11.785111029999999</v>
      </c>
      <c r="G2297">
        <v>11.27732185</v>
      </c>
      <c r="H2297">
        <v>10.750893469999999</v>
      </c>
      <c r="I2297">
        <v>10.192930069999999</v>
      </c>
      <c r="J2297">
        <v>9.5797086799999995</v>
      </c>
      <c r="K2297">
        <v>8.1789860000000001</v>
      </c>
      <c r="L2297">
        <v>8.33831788</v>
      </c>
      <c r="M2297">
        <v>8.7648462800000004</v>
      </c>
      <c r="N2297">
        <v>9.2254013100000005</v>
      </c>
      <c r="O2297">
        <v>9.6415875700000004</v>
      </c>
      <c r="P2297">
        <v>10.079162330000001</v>
      </c>
      <c r="Q2297">
        <v>10.26336242</v>
      </c>
      <c r="R2297">
        <v>11.120757060000001</v>
      </c>
      <c r="S2297">
        <v>12.16362346</v>
      </c>
      <c r="T2297">
        <v>11.9586644</v>
      </c>
      <c r="U2297">
        <v>11.4297331</v>
      </c>
      <c r="V2297">
        <v>10.821755530000001</v>
      </c>
      <c r="W2297">
        <v>12.994702970000001</v>
      </c>
      <c r="X2297">
        <v>13.347894520000001</v>
      </c>
      <c r="Y2297">
        <v>14.48881143</v>
      </c>
      <c r="Z2297">
        <v>14.30805775</v>
      </c>
      <c r="AA2297">
        <v>14.42158946</v>
      </c>
      <c r="AB2297">
        <v>13.1020228</v>
      </c>
    </row>
    <row r="2298" spans="1:28" hidden="1" x14ac:dyDescent="0.25">
      <c r="A2298" t="s">
        <v>482</v>
      </c>
      <c r="B2298" t="s">
        <v>484</v>
      </c>
      <c r="C2298">
        <v>34</v>
      </c>
      <c r="D2298" t="s">
        <v>3</v>
      </c>
      <c r="E2298">
        <v>5.5730570685999998</v>
      </c>
      <c r="F2298">
        <v>5.4177492401</v>
      </c>
      <c r="G2298">
        <v>5.2475787211</v>
      </c>
      <c r="H2298">
        <v>5.0551940145999996</v>
      </c>
      <c r="I2298">
        <v>4.8459357271999997</v>
      </c>
      <c r="J2298">
        <v>4.5489249655000004</v>
      </c>
      <c r="K2298">
        <v>3.9582517024000001</v>
      </c>
      <c r="L2298">
        <v>4.2042274584000001</v>
      </c>
      <c r="M2298">
        <v>4.4266084364999996</v>
      </c>
      <c r="N2298">
        <v>4.6190729367000003</v>
      </c>
      <c r="O2298">
        <v>4.7818479697000003</v>
      </c>
      <c r="P2298">
        <v>4.9058004543999996</v>
      </c>
      <c r="Q2298">
        <v>4.9765855998999999</v>
      </c>
      <c r="R2298">
        <v>5.1827396804000001</v>
      </c>
      <c r="S2298">
        <v>5.5843455192000002</v>
      </c>
      <c r="T2298">
        <v>5.5480583029000003</v>
      </c>
      <c r="U2298">
        <v>5.4123788736999998</v>
      </c>
      <c r="V2298">
        <v>5.1902281357</v>
      </c>
      <c r="W2298">
        <v>5.9232107584999998</v>
      </c>
      <c r="X2298">
        <v>5.8280862120999997</v>
      </c>
      <c r="Y2298">
        <v>6.2005634724999998</v>
      </c>
      <c r="Z2298">
        <v>6.0813961230000002</v>
      </c>
      <c r="AA2298">
        <v>6.2383913738999999</v>
      </c>
      <c r="AB2298">
        <v>5.8420953769999997</v>
      </c>
    </row>
    <row r="2299" spans="1:28" hidden="1" x14ac:dyDescent="0.25">
      <c r="A2299" t="s">
        <v>482</v>
      </c>
      <c r="B2299" t="s">
        <v>484</v>
      </c>
      <c r="C2299">
        <v>34</v>
      </c>
      <c r="D2299" t="s">
        <v>4</v>
      </c>
      <c r="E2299">
        <v>0.38084493000000003</v>
      </c>
      <c r="F2299">
        <v>0.36448796999999999</v>
      </c>
      <c r="G2299">
        <v>0.34878314999999999</v>
      </c>
      <c r="H2299">
        <v>0.33250185980000002</v>
      </c>
      <c r="I2299">
        <v>0.31524525980000001</v>
      </c>
      <c r="J2299">
        <v>0.29627964979999999</v>
      </c>
      <c r="K2299">
        <v>0.25295832979999999</v>
      </c>
      <c r="L2299">
        <v>0.25788612</v>
      </c>
      <c r="M2299">
        <v>0.27107772000000002</v>
      </c>
      <c r="N2299">
        <v>0.28532169000000002</v>
      </c>
      <c r="O2299">
        <v>0.29819342999999998</v>
      </c>
      <c r="P2299">
        <v>0.31172666999999998</v>
      </c>
      <c r="Q2299">
        <v>0.31742357999999998</v>
      </c>
      <c r="R2299">
        <v>0.34394093999999997</v>
      </c>
      <c r="S2299">
        <v>0.37619454000000002</v>
      </c>
      <c r="T2299">
        <v>0.36985560000000001</v>
      </c>
      <c r="U2299">
        <v>0.3534969</v>
      </c>
      <c r="V2299">
        <v>0.33469346999999999</v>
      </c>
      <c r="W2299">
        <v>0.40189803000000002</v>
      </c>
      <c r="X2299">
        <v>0.41282148000000002</v>
      </c>
      <c r="Y2299">
        <v>0.44810757000000001</v>
      </c>
      <c r="Z2299">
        <v>0.44251724999999997</v>
      </c>
      <c r="AA2299">
        <v>0.44602853999999997</v>
      </c>
      <c r="AB2299">
        <v>0.4052172</v>
      </c>
    </row>
    <row r="2300" spans="1:28" hidden="1" x14ac:dyDescent="0.25">
      <c r="A2300" t="s">
        <v>482</v>
      </c>
      <c r="B2300" t="s">
        <v>485</v>
      </c>
      <c r="C2300">
        <v>34</v>
      </c>
      <c r="D2300" t="s">
        <v>2</v>
      </c>
      <c r="E2300">
        <v>11.52061046</v>
      </c>
      <c r="F2300">
        <v>11.38522659</v>
      </c>
      <c r="G2300">
        <v>11.21544652</v>
      </c>
      <c r="H2300">
        <v>10.96533881</v>
      </c>
      <c r="I2300">
        <v>10.81968264</v>
      </c>
      <c r="J2300">
        <v>10.375996880000001</v>
      </c>
      <c r="K2300">
        <v>9.3358930400000002</v>
      </c>
      <c r="L2300">
        <v>9.1057605400000003</v>
      </c>
      <c r="M2300">
        <v>9.2723182699999995</v>
      </c>
      <c r="N2300">
        <v>9.0382650299999998</v>
      </c>
      <c r="O2300">
        <v>9.6153015400000008</v>
      </c>
      <c r="P2300">
        <v>10.052634769999999</v>
      </c>
      <c r="Q2300">
        <v>9.7345339400000004</v>
      </c>
      <c r="R2300">
        <v>10.100827280000001</v>
      </c>
      <c r="S2300">
        <v>10.53334252</v>
      </c>
      <c r="T2300">
        <v>10.39300583</v>
      </c>
      <c r="U2300">
        <v>10.274481529999999</v>
      </c>
      <c r="V2300">
        <v>10.23643425</v>
      </c>
      <c r="W2300">
        <v>13.118286790000001</v>
      </c>
      <c r="X2300">
        <v>13.537233670000001</v>
      </c>
      <c r="Y2300">
        <v>13.753891899999999</v>
      </c>
      <c r="Z2300">
        <v>12.79888519</v>
      </c>
      <c r="AA2300">
        <v>12.590586419999999</v>
      </c>
      <c r="AB2300">
        <v>12.048736659999999</v>
      </c>
    </row>
    <row r="2301" spans="1:28" hidden="1" x14ac:dyDescent="0.25">
      <c r="A2301" t="s">
        <v>482</v>
      </c>
      <c r="B2301" t="s">
        <v>485</v>
      </c>
      <c r="C2301">
        <v>34</v>
      </c>
      <c r="D2301" t="s">
        <v>3</v>
      </c>
      <c r="E2301">
        <v>3.9167178452</v>
      </c>
      <c r="F2301">
        <v>3.8848780936999998</v>
      </c>
      <c r="G2301">
        <v>3.8397260408</v>
      </c>
      <c r="H2301">
        <v>3.7385701309999999</v>
      </c>
      <c r="I2301">
        <v>3.6256592175</v>
      </c>
      <c r="J2301">
        <v>3.3526381627999999</v>
      </c>
      <c r="K2301">
        <v>3.2382368751000001</v>
      </c>
      <c r="L2301">
        <v>3.2855812925999999</v>
      </c>
      <c r="M2301">
        <v>3.4314212089999998</v>
      </c>
      <c r="N2301">
        <v>3.4488944659</v>
      </c>
      <c r="O2301">
        <v>3.6440045141000001</v>
      </c>
      <c r="P2301">
        <v>3.7412323089999999</v>
      </c>
      <c r="Q2301">
        <v>3.6139426101000001</v>
      </c>
      <c r="R2301">
        <v>3.7608161771000002</v>
      </c>
      <c r="S2301">
        <v>3.9949819960999999</v>
      </c>
      <c r="T2301">
        <v>3.9635091928000001</v>
      </c>
      <c r="U2301">
        <v>3.9450047716999999</v>
      </c>
      <c r="V2301">
        <v>3.7975951538000001</v>
      </c>
      <c r="W2301">
        <v>3.9467343013999998</v>
      </c>
      <c r="X2301">
        <v>3.7087368265</v>
      </c>
      <c r="Y2301">
        <v>3.7608132937000001</v>
      </c>
      <c r="Z2301">
        <v>3.6524860654000002</v>
      </c>
      <c r="AA2301">
        <v>3.8476685998</v>
      </c>
      <c r="AB2301">
        <v>3.9073884678000002</v>
      </c>
    </row>
    <row r="2302" spans="1:28" hidden="1" x14ac:dyDescent="0.25">
      <c r="A2302" t="s">
        <v>482</v>
      </c>
      <c r="B2302" t="s">
        <v>485</v>
      </c>
      <c r="C2302">
        <v>34</v>
      </c>
      <c r="D2302" t="s">
        <v>4</v>
      </c>
      <c r="E2302">
        <v>0.35630753999999998</v>
      </c>
      <c r="F2302">
        <v>0.35212040999999999</v>
      </c>
      <c r="G2302">
        <v>0.34686948000000001</v>
      </c>
      <c r="H2302">
        <v>0.33913419</v>
      </c>
      <c r="I2302">
        <v>0.33462935999999999</v>
      </c>
      <c r="J2302">
        <v>0.32090711999999999</v>
      </c>
      <c r="K2302">
        <v>0.28873895999999999</v>
      </c>
      <c r="L2302">
        <v>0.28162145999999999</v>
      </c>
      <c r="M2302">
        <v>0.28677272999999998</v>
      </c>
      <c r="N2302">
        <v>0.27953397000000002</v>
      </c>
      <c r="O2302">
        <v>0.29738046000000001</v>
      </c>
      <c r="P2302">
        <v>0.31090623000000001</v>
      </c>
      <c r="Q2302">
        <v>0.30106806000000003</v>
      </c>
      <c r="R2302">
        <v>0.31239672000000002</v>
      </c>
      <c r="S2302">
        <v>0.32577348</v>
      </c>
      <c r="T2302">
        <v>0.32143316999999999</v>
      </c>
      <c r="U2302">
        <v>0.31776747</v>
      </c>
      <c r="V2302">
        <v>0.31659074999999998</v>
      </c>
      <c r="W2302">
        <v>0.40572021000000003</v>
      </c>
      <c r="X2302">
        <v>0.41867733000000001</v>
      </c>
      <c r="Y2302">
        <v>0.42537809999999998</v>
      </c>
      <c r="Z2302">
        <v>0.39584181000000002</v>
      </c>
      <c r="AA2302">
        <v>0.38939958000000002</v>
      </c>
      <c r="AB2302">
        <v>0.37264133999999999</v>
      </c>
    </row>
    <row r="2303" spans="1:28" hidden="1" x14ac:dyDescent="0.25">
      <c r="A2303" t="s">
        <v>482</v>
      </c>
      <c r="B2303" t="s">
        <v>486</v>
      </c>
      <c r="C2303">
        <v>14</v>
      </c>
      <c r="D2303" t="s">
        <v>2</v>
      </c>
      <c r="E2303">
        <v>8.05311865</v>
      </c>
      <c r="F2303">
        <v>7.740049</v>
      </c>
      <c r="G2303">
        <v>7.5399143999999998</v>
      </c>
      <c r="H2303">
        <v>7.33606815</v>
      </c>
      <c r="I2303">
        <v>7.24364835</v>
      </c>
      <c r="J2303">
        <v>7.4342040999999996</v>
      </c>
      <c r="K2303">
        <v>6.7322129999999998</v>
      </c>
      <c r="L2303">
        <v>7.00635165</v>
      </c>
      <c r="M2303">
        <v>7.2897071999999996</v>
      </c>
      <c r="N2303">
        <v>7.9469523500000001</v>
      </c>
      <c r="O2303">
        <v>8.2662378499999996</v>
      </c>
      <c r="P2303">
        <v>8.5630796</v>
      </c>
      <c r="Q2303">
        <v>8.5327660499999993</v>
      </c>
      <c r="R2303">
        <v>8.7485870499999994</v>
      </c>
      <c r="S2303">
        <v>9.1404639499999991</v>
      </c>
      <c r="T2303">
        <v>9.0010248500000003</v>
      </c>
      <c r="U2303">
        <v>8.6213335999999998</v>
      </c>
      <c r="V2303">
        <v>8.3207649999999997</v>
      </c>
      <c r="W2303">
        <v>9.9499484999999996</v>
      </c>
      <c r="X2303">
        <v>10.361592999999999</v>
      </c>
      <c r="Y2303">
        <v>10.275643649999999</v>
      </c>
      <c r="Z2303">
        <v>9.8936781000000007</v>
      </c>
      <c r="AA2303">
        <v>9.4073265500000005</v>
      </c>
      <c r="AB2303">
        <v>8.7107143499999999</v>
      </c>
    </row>
    <row r="2304" spans="1:28" hidden="1" x14ac:dyDescent="0.25">
      <c r="A2304" t="s">
        <v>482</v>
      </c>
      <c r="B2304" t="s">
        <v>486</v>
      </c>
      <c r="C2304">
        <v>14</v>
      </c>
      <c r="D2304" t="s">
        <v>3</v>
      </c>
      <c r="E2304">
        <v>3.0734918315000002</v>
      </c>
      <c r="F2304">
        <v>3.0194671475999999</v>
      </c>
      <c r="G2304">
        <v>3.0135322004999998</v>
      </c>
      <c r="H2304">
        <v>2.9740650192000002</v>
      </c>
      <c r="I2304">
        <v>2.9197330268999999</v>
      </c>
      <c r="J2304">
        <v>2.9575573158999999</v>
      </c>
      <c r="K2304">
        <v>2.7708074316000002</v>
      </c>
      <c r="L2304">
        <v>2.9365363490999998</v>
      </c>
      <c r="M2304">
        <v>3.0506397394999998</v>
      </c>
      <c r="N2304">
        <v>3.3254456576</v>
      </c>
      <c r="O2304">
        <v>3.4072505127000001</v>
      </c>
      <c r="P2304">
        <v>3.4422359709000001</v>
      </c>
      <c r="Q2304">
        <v>3.4279240468999999</v>
      </c>
      <c r="R2304">
        <v>3.4317363005999999</v>
      </c>
      <c r="S2304">
        <v>3.5538894798</v>
      </c>
      <c r="T2304">
        <v>3.5443940779999998</v>
      </c>
      <c r="U2304">
        <v>3.4846864144</v>
      </c>
      <c r="V2304">
        <v>3.3557025363999999</v>
      </c>
      <c r="W2304">
        <v>3.6291436924</v>
      </c>
      <c r="X2304">
        <v>3.4170756710000001</v>
      </c>
      <c r="Y2304">
        <v>3.3043138890999999</v>
      </c>
      <c r="Z2304">
        <v>3.2343069316999999</v>
      </c>
      <c r="AA2304">
        <v>3.2433562003</v>
      </c>
      <c r="AB2304">
        <v>3.1785853774000001</v>
      </c>
    </row>
    <row r="2305" spans="1:28" hidden="1" x14ac:dyDescent="0.25">
      <c r="A2305" t="s">
        <v>482</v>
      </c>
      <c r="B2305" t="s">
        <v>486</v>
      </c>
      <c r="C2305">
        <v>14</v>
      </c>
      <c r="D2305" t="s">
        <v>4</v>
      </c>
      <c r="E2305">
        <v>0.42384834999999998</v>
      </c>
      <c r="F2305">
        <v>0.40737099999999998</v>
      </c>
      <c r="G2305">
        <v>0.39683760000000001</v>
      </c>
      <c r="H2305">
        <v>0.38610885</v>
      </c>
      <c r="I2305">
        <v>0.38124465000000002</v>
      </c>
      <c r="J2305">
        <v>0.39127390000000001</v>
      </c>
      <c r="K2305">
        <v>0.354327</v>
      </c>
      <c r="L2305">
        <v>0.36875534999999998</v>
      </c>
      <c r="M2305">
        <v>0.38366879999999998</v>
      </c>
      <c r="N2305">
        <v>0.41826065000000001</v>
      </c>
      <c r="O2305">
        <v>0.43506515000000001</v>
      </c>
      <c r="P2305">
        <v>0.45068839999999999</v>
      </c>
      <c r="Q2305">
        <v>0.44909294999999999</v>
      </c>
      <c r="R2305">
        <v>0.46045195</v>
      </c>
      <c r="S2305">
        <v>0.48107705000000001</v>
      </c>
      <c r="T2305">
        <v>0.47373815000000002</v>
      </c>
      <c r="U2305">
        <v>0.4537544</v>
      </c>
      <c r="V2305">
        <v>0.43793500000000002</v>
      </c>
      <c r="W2305">
        <v>0.52368150000000002</v>
      </c>
      <c r="X2305">
        <v>0.54534700000000003</v>
      </c>
      <c r="Y2305">
        <v>0.54082335000000004</v>
      </c>
      <c r="Z2305">
        <v>0.52071990000000001</v>
      </c>
      <c r="AA2305">
        <v>0.49512244999999999</v>
      </c>
      <c r="AB2305">
        <v>0.45845865000000002</v>
      </c>
    </row>
    <row r="2306" spans="1:28" hidden="1" x14ac:dyDescent="0.25">
      <c r="A2306" t="s">
        <v>487</v>
      </c>
      <c r="B2306" t="s">
        <v>488</v>
      </c>
      <c r="C2306">
        <v>115</v>
      </c>
      <c r="D2306" t="s">
        <v>2</v>
      </c>
      <c r="E2306">
        <v>10.88492965</v>
      </c>
      <c r="F2306">
        <v>10.31833795</v>
      </c>
      <c r="G2306">
        <v>9.9406397000000002</v>
      </c>
      <c r="H2306">
        <v>9.7508203499999997</v>
      </c>
      <c r="I2306">
        <v>9.9027566</v>
      </c>
      <c r="J2306">
        <v>10.2338939</v>
      </c>
      <c r="K2306">
        <v>10.683398650000001</v>
      </c>
      <c r="L2306">
        <v>11.45118645</v>
      </c>
      <c r="M2306">
        <v>11.976949899999999</v>
      </c>
      <c r="N2306">
        <v>13.24333485</v>
      </c>
      <c r="O2306">
        <v>13.963172849999999</v>
      </c>
      <c r="P2306">
        <v>14.805229649999999</v>
      </c>
      <c r="Q2306">
        <v>13.86506685</v>
      </c>
      <c r="R2306">
        <v>13.047704</v>
      </c>
      <c r="S2306">
        <v>13.74026735</v>
      </c>
      <c r="T2306">
        <v>15.018886</v>
      </c>
      <c r="U2306">
        <v>14.613588050000001</v>
      </c>
      <c r="V2306">
        <v>14.64504895</v>
      </c>
      <c r="W2306">
        <v>16.261121705000001</v>
      </c>
      <c r="X2306">
        <v>16.963740919999999</v>
      </c>
      <c r="Y2306">
        <v>16.318961890000001</v>
      </c>
      <c r="Z2306">
        <v>14.955451999999999</v>
      </c>
      <c r="AA2306">
        <v>13.515076649999999</v>
      </c>
      <c r="AB2306">
        <v>11.792892800000001</v>
      </c>
    </row>
    <row r="2307" spans="1:28" hidden="1" x14ac:dyDescent="0.25">
      <c r="A2307" t="s">
        <v>487</v>
      </c>
      <c r="B2307" t="s">
        <v>488</v>
      </c>
      <c r="C2307">
        <v>115</v>
      </c>
      <c r="D2307" t="s">
        <v>3</v>
      </c>
      <c r="E2307">
        <v>1.9594982553</v>
      </c>
      <c r="F2307">
        <v>1.7995592106</v>
      </c>
      <c r="G2307">
        <v>1.730106659</v>
      </c>
      <c r="H2307">
        <v>1.6381297850000001</v>
      </c>
      <c r="I2307">
        <v>1.7670455148999999</v>
      </c>
      <c r="J2307">
        <v>2.3803575754000001</v>
      </c>
      <c r="K2307">
        <v>2.3270227060000002</v>
      </c>
      <c r="L2307">
        <v>2.8814333898000002</v>
      </c>
      <c r="M2307">
        <v>3.2558550339000001</v>
      </c>
      <c r="N2307">
        <v>3.8703317186000001</v>
      </c>
      <c r="O2307">
        <v>4.2733947585000003</v>
      </c>
      <c r="P2307">
        <v>4.4137759863000001</v>
      </c>
      <c r="Q2307">
        <v>4.0686365313000001</v>
      </c>
      <c r="R2307">
        <v>3.4431637114</v>
      </c>
      <c r="S2307">
        <v>3.4771410873000002</v>
      </c>
      <c r="T2307">
        <v>4.1481596317999996</v>
      </c>
      <c r="U2307">
        <v>4.1246674202999998</v>
      </c>
      <c r="V2307">
        <v>4.4315166992000004</v>
      </c>
      <c r="W2307">
        <v>4.4925752010000002</v>
      </c>
      <c r="X2307">
        <v>4.4085936355999999</v>
      </c>
      <c r="Y2307">
        <v>3.7445512895999999</v>
      </c>
      <c r="Z2307">
        <v>3.3599455423000002</v>
      </c>
      <c r="AA2307">
        <v>2.7948603552</v>
      </c>
      <c r="AB2307">
        <v>2.5756457785000002</v>
      </c>
    </row>
    <row r="2308" spans="1:28" hidden="1" x14ac:dyDescent="0.25">
      <c r="A2308" t="s">
        <v>487</v>
      </c>
      <c r="B2308" t="s">
        <v>488</v>
      </c>
      <c r="C2308">
        <v>115</v>
      </c>
      <c r="D2308" t="s">
        <v>4</v>
      </c>
      <c r="E2308">
        <v>0.16576035</v>
      </c>
      <c r="F2308">
        <v>0.15713205</v>
      </c>
      <c r="G2308">
        <v>0.1513803</v>
      </c>
      <c r="H2308">
        <v>0.14848965</v>
      </c>
      <c r="I2308">
        <v>0.1508034</v>
      </c>
      <c r="J2308">
        <v>0.15584609999999999</v>
      </c>
      <c r="K2308">
        <v>0.16269135000000001</v>
      </c>
      <c r="L2308">
        <v>0.17438355</v>
      </c>
      <c r="M2308">
        <v>0.1823901</v>
      </c>
      <c r="N2308">
        <v>0.20167515</v>
      </c>
      <c r="O2308">
        <v>0.21263715</v>
      </c>
      <c r="P2308">
        <v>0.22546035</v>
      </c>
      <c r="Q2308">
        <v>0.21114315</v>
      </c>
      <c r="R2308">
        <v>0.19869600000000001</v>
      </c>
      <c r="S2308">
        <v>0.20924265</v>
      </c>
      <c r="T2308">
        <v>0.228714</v>
      </c>
      <c r="U2308">
        <v>0.22254194999999999</v>
      </c>
      <c r="V2308">
        <v>0.22302105</v>
      </c>
      <c r="W2308">
        <v>0.247631295</v>
      </c>
      <c r="X2308">
        <v>0.25833107999999999</v>
      </c>
      <c r="Y2308">
        <v>0.24851211000000001</v>
      </c>
      <c r="Z2308">
        <v>0.22774800000000001</v>
      </c>
      <c r="AA2308">
        <v>0.20581335000000001</v>
      </c>
      <c r="AB2308">
        <v>0.1795872</v>
      </c>
    </row>
    <row r="2309" spans="1:28" hidden="1" x14ac:dyDescent="0.25">
      <c r="A2309" t="s">
        <v>489</v>
      </c>
      <c r="B2309" t="s">
        <v>490</v>
      </c>
      <c r="C2309">
        <v>115</v>
      </c>
      <c r="D2309" t="s">
        <v>2</v>
      </c>
      <c r="E2309">
        <v>23.883232945</v>
      </c>
      <c r="F2309">
        <v>22.491999244999999</v>
      </c>
      <c r="G2309">
        <v>21.860060675</v>
      </c>
      <c r="H2309">
        <v>21.692505279999999</v>
      </c>
      <c r="I2309">
        <v>22.431664054999999</v>
      </c>
      <c r="J2309">
        <v>26.09709432</v>
      </c>
      <c r="K2309">
        <v>27.305760240000001</v>
      </c>
      <c r="L2309">
        <v>29.336176200000001</v>
      </c>
      <c r="M2309">
        <v>31.346571050000001</v>
      </c>
      <c r="N2309">
        <v>33.4783179</v>
      </c>
      <c r="O2309">
        <v>35.775045355000003</v>
      </c>
      <c r="P2309">
        <v>38.303855554999998</v>
      </c>
      <c r="Q2309">
        <v>37.399883625000001</v>
      </c>
      <c r="R2309">
        <v>37.728861805000001</v>
      </c>
      <c r="S2309">
        <v>38.551784980000001</v>
      </c>
      <c r="T2309">
        <v>38.370726220000002</v>
      </c>
      <c r="U2309">
        <v>37.874489130000001</v>
      </c>
      <c r="V2309">
        <v>36.769246240000001</v>
      </c>
      <c r="W2309">
        <v>38.617093435000001</v>
      </c>
      <c r="X2309">
        <v>40.139272050000002</v>
      </c>
      <c r="Y2309">
        <v>38.786009114999999</v>
      </c>
      <c r="Z2309">
        <v>35.854656994999999</v>
      </c>
      <c r="AA2309">
        <v>31.971783055</v>
      </c>
      <c r="AB2309">
        <v>27.539821849999999</v>
      </c>
    </row>
    <row r="2310" spans="1:28" hidden="1" x14ac:dyDescent="0.25">
      <c r="A2310" t="s">
        <v>489</v>
      </c>
      <c r="B2310" t="s">
        <v>490</v>
      </c>
      <c r="C2310">
        <v>115</v>
      </c>
      <c r="D2310" t="s">
        <v>3</v>
      </c>
      <c r="E2310">
        <v>0.57531158630000001</v>
      </c>
      <c r="F2310">
        <v>0.49286250100000001</v>
      </c>
      <c r="G2310">
        <v>0.45861534199999998</v>
      </c>
      <c r="H2310">
        <v>0.45510009670000001</v>
      </c>
      <c r="I2310">
        <v>0.4487005872</v>
      </c>
      <c r="J2310">
        <v>0.49522605860000002</v>
      </c>
      <c r="K2310">
        <v>0.64630703199999995</v>
      </c>
      <c r="L2310">
        <v>1.6510564130000001</v>
      </c>
      <c r="M2310">
        <v>2.9026909995999999</v>
      </c>
      <c r="N2310">
        <v>3.8388191758999999</v>
      </c>
      <c r="O2310">
        <v>4.7611545878000001</v>
      </c>
      <c r="P2310">
        <v>5.5459913556</v>
      </c>
      <c r="Q2310">
        <v>5.0915663493999999</v>
      </c>
      <c r="R2310">
        <v>5.2741957469000003</v>
      </c>
      <c r="S2310">
        <v>5.7498232072000004</v>
      </c>
      <c r="T2310">
        <v>5.7307906434999998</v>
      </c>
      <c r="U2310">
        <v>5.2917644877000001</v>
      </c>
      <c r="V2310">
        <v>4.1668472567999997</v>
      </c>
      <c r="W2310">
        <v>3.2114166093000001</v>
      </c>
      <c r="X2310">
        <v>2.8378954556</v>
      </c>
      <c r="Y2310">
        <v>2.3561271019999999</v>
      </c>
      <c r="Z2310">
        <v>1.743357319</v>
      </c>
      <c r="AA2310">
        <v>1.2054328270000001</v>
      </c>
      <c r="AB2310">
        <v>0.826474763</v>
      </c>
    </row>
    <row r="2311" spans="1:28" hidden="1" x14ac:dyDescent="0.25">
      <c r="A2311" t="s">
        <v>489</v>
      </c>
      <c r="B2311" t="s">
        <v>490</v>
      </c>
      <c r="C2311">
        <v>115</v>
      </c>
      <c r="D2311" t="s">
        <v>4</v>
      </c>
      <c r="E2311">
        <v>0.36370405500000003</v>
      </c>
      <c r="F2311">
        <v>0.34251775499999998</v>
      </c>
      <c r="G2311">
        <v>0.33289432499999999</v>
      </c>
      <c r="H2311">
        <v>0.33034271999999998</v>
      </c>
      <c r="I2311">
        <v>0.34159894499999999</v>
      </c>
      <c r="J2311">
        <v>0.39741768</v>
      </c>
      <c r="K2311">
        <v>0.41582375999999999</v>
      </c>
      <c r="L2311">
        <v>0.44674380000000002</v>
      </c>
      <c r="M2311">
        <v>0.47735895</v>
      </c>
      <c r="N2311">
        <v>0.50982209999999994</v>
      </c>
      <c r="O2311">
        <v>0.54479764500000005</v>
      </c>
      <c r="P2311">
        <v>0.58330744499999998</v>
      </c>
      <c r="Q2311">
        <v>0.56954137500000002</v>
      </c>
      <c r="R2311">
        <v>0.57455119499999996</v>
      </c>
      <c r="S2311">
        <v>0.58708302000000001</v>
      </c>
      <c r="T2311">
        <v>0.58432578000000002</v>
      </c>
      <c r="U2311">
        <v>0.57676886999999999</v>
      </c>
      <c r="V2311">
        <v>0.55993775999999995</v>
      </c>
      <c r="W2311">
        <v>0.58807756499999997</v>
      </c>
      <c r="X2311">
        <v>0.61125795000000005</v>
      </c>
      <c r="Y2311">
        <v>0.59064988500000004</v>
      </c>
      <c r="Z2311">
        <v>0.54601000499999996</v>
      </c>
      <c r="AA2311">
        <v>0.48687994499999998</v>
      </c>
      <c r="AB2311">
        <v>0.41938815000000002</v>
      </c>
    </row>
    <row r="2312" spans="1:28" hidden="1" x14ac:dyDescent="0.25">
      <c r="A2312" t="s">
        <v>489</v>
      </c>
      <c r="B2312" t="s">
        <v>491</v>
      </c>
      <c r="C2312">
        <v>115</v>
      </c>
      <c r="D2312" t="s">
        <v>2</v>
      </c>
      <c r="E2312">
        <v>16.263596024999998</v>
      </c>
      <c r="F2312">
        <v>15.244042224999999</v>
      </c>
      <c r="G2312">
        <v>14.738896795</v>
      </c>
      <c r="H2312">
        <v>14.58337219</v>
      </c>
      <c r="I2312">
        <v>14.986460785</v>
      </c>
      <c r="J2312">
        <v>17.411394855000001</v>
      </c>
      <c r="K2312">
        <v>18.318697069999999</v>
      </c>
      <c r="L2312">
        <v>20.979063870000001</v>
      </c>
      <c r="M2312">
        <v>22.685603950000001</v>
      </c>
      <c r="N2312">
        <v>24.352366775</v>
      </c>
      <c r="O2312">
        <v>26.082237565</v>
      </c>
      <c r="P2312">
        <v>27.488575255000001</v>
      </c>
      <c r="Q2312">
        <v>26.523057569999999</v>
      </c>
      <c r="R2312">
        <v>26.153099449999999</v>
      </c>
      <c r="S2312">
        <v>26.605734529999999</v>
      </c>
      <c r="T2312">
        <v>26.40435128</v>
      </c>
      <c r="U2312">
        <v>26.291491950000001</v>
      </c>
      <c r="V2312">
        <v>25.96381594</v>
      </c>
      <c r="W2312">
        <v>28.662926729999999</v>
      </c>
      <c r="X2312">
        <v>30.443788014999999</v>
      </c>
      <c r="Y2312">
        <v>29.130444175000001</v>
      </c>
      <c r="Z2312">
        <v>26.331313529999999</v>
      </c>
      <c r="AA2312">
        <v>22.525282395000001</v>
      </c>
      <c r="AB2312">
        <v>19.301982185</v>
      </c>
    </row>
    <row r="2313" spans="1:28" hidden="1" x14ac:dyDescent="0.25">
      <c r="A2313" t="s">
        <v>489</v>
      </c>
      <c r="B2313" t="s">
        <v>491</v>
      </c>
      <c r="C2313">
        <v>115</v>
      </c>
      <c r="D2313" t="s">
        <v>3</v>
      </c>
      <c r="E2313">
        <v>0.63443288529999997</v>
      </c>
      <c r="F2313">
        <v>0.70244757840000005</v>
      </c>
      <c r="G2313">
        <v>0.7287144982</v>
      </c>
      <c r="H2313">
        <v>0.73277177569999996</v>
      </c>
      <c r="I2313">
        <v>0.7707819306</v>
      </c>
      <c r="J2313">
        <v>0.74738069230000004</v>
      </c>
      <c r="K2313">
        <v>0.61877628610000002</v>
      </c>
      <c r="L2313">
        <v>1.0457212196000001</v>
      </c>
      <c r="M2313">
        <v>1.924754171</v>
      </c>
      <c r="N2313">
        <v>2.8031936263000001</v>
      </c>
      <c r="O2313">
        <v>3.5958237954999999</v>
      </c>
      <c r="P2313">
        <v>3.9780940691</v>
      </c>
      <c r="Q2313">
        <v>3.6842047</v>
      </c>
      <c r="R2313">
        <v>3.7228298930000001</v>
      </c>
      <c r="S2313">
        <v>3.8805643004000001</v>
      </c>
      <c r="T2313">
        <v>3.7947514992000002</v>
      </c>
      <c r="U2313">
        <v>3.5872185231999998</v>
      </c>
      <c r="V2313">
        <v>3.0388936709999999</v>
      </c>
      <c r="W2313">
        <v>2.3379198717</v>
      </c>
      <c r="X2313">
        <v>1.9427805703000001</v>
      </c>
      <c r="Y2313">
        <v>1.6957281007</v>
      </c>
      <c r="Z2313">
        <v>1.1606188433</v>
      </c>
      <c r="AA2313">
        <v>0.71257921739999996</v>
      </c>
      <c r="AB2313">
        <v>0.65199008459999996</v>
      </c>
    </row>
    <row r="2314" spans="1:28" hidden="1" x14ac:dyDescent="0.25">
      <c r="A2314" t="s">
        <v>489</v>
      </c>
      <c r="B2314" t="s">
        <v>491</v>
      </c>
      <c r="C2314">
        <v>115</v>
      </c>
      <c r="D2314" t="s">
        <v>4</v>
      </c>
      <c r="E2314">
        <v>0.24766897500000001</v>
      </c>
      <c r="F2314">
        <v>0.232142775</v>
      </c>
      <c r="G2314">
        <v>0.22445020500000001</v>
      </c>
      <c r="H2314">
        <v>0.22208180999999999</v>
      </c>
      <c r="I2314">
        <v>0.228220215</v>
      </c>
      <c r="J2314">
        <v>0.265148145</v>
      </c>
      <c r="K2314">
        <v>0.27896493</v>
      </c>
      <c r="L2314">
        <v>0.31947813000000003</v>
      </c>
      <c r="M2314">
        <v>0.34546605000000002</v>
      </c>
      <c r="N2314">
        <v>0.37084822499999998</v>
      </c>
      <c r="O2314">
        <v>0.39719143499999998</v>
      </c>
      <c r="P2314">
        <v>0.41860774499999998</v>
      </c>
      <c r="Q2314">
        <v>0.40390442999999998</v>
      </c>
      <c r="R2314">
        <v>0.39827055</v>
      </c>
      <c r="S2314">
        <v>0.40516347000000003</v>
      </c>
      <c r="T2314">
        <v>0.40209672000000002</v>
      </c>
      <c r="U2314">
        <v>0.40037804999999999</v>
      </c>
      <c r="V2314">
        <v>0.39538805999999999</v>
      </c>
      <c r="W2314">
        <v>0.43649126999999999</v>
      </c>
      <c r="X2314">
        <v>0.46361098499999998</v>
      </c>
      <c r="Y2314">
        <v>0.44361082499999999</v>
      </c>
      <c r="Z2314">
        <v>0.40098446999999998</v>
      </c>
      <c r="AA2314">
        <v>0.34302460499999998</v>
      </c>
      <c r="AB2314">
        <v>0.29393881500000002</v>
      </c>
    </row>
    <row r="2315" spans="1:28" hidden="1" x14ac:dyDescent="0.25">
      <c r="A2315" t="s">
        <v>489</v>
      </c>
      <c r="B2315" t="s">
        <v>492</v>
      </c>
      <c r="C2315">
        <v>115</v>
      </c>
      <c r="D2315" t="s">
        <v>2</v>
      </c>
      <c r="E2315">
        <v>7.6072200099999998</v>
      </c>
      <c r="F2315">
        <v>7.3047087800000003</v>
      </c>
      <c r="G2315">
        <v>7.1132947150000003</v>
      </c>
      <c r="H2315">
        <v>7.1891081950000002</v>
      </c>
      <c r="I2315">
        <v>7.4676455099999997</v>
      </c>
      <c r="J2315">
        <v>8.4332626800000003</v>
      </c>
      <c r="K2315">
        <v>8.7240169499999993</v>
      </c>
      <c r="L2315">
        <v>9.812196685</v>
      </c>
      <c r="M2315">
        <v>10.481543585000001</v>
      </c>
      <c r="N2315">
        <v>10.914705215</v>
      </c>
      <c r="O2315">
        <v>11.885930975000001</v>
      </c>
      <c r="P2315">
        <v>12.533756609999999</v>
      </c>
      <c r="Q2315">
        <v>12.144103415</v>
      </c>
      <c r="R2315">
        <v>12.1842924</v>
      </c>
      <c r="S2315">
        <v>12.530262815</v>
      </c>
      <c r="T2315">
        <v>12.777574645</v>
      </c>
      <c r="U2315">
        <v>12.60870723</v>
      </c>
      <c r="V2315">
        <v>11.98295446</v>
      </c>
      <c r="W2315">
        <v>12.532098854999999</v>
      </c>
      <c r="X2315">
        <v>13.099699194999999</v>
      </c>
      <c r="Y2315">
        <v>12.352605260000001</v>
      </c>
      <c r="Z2315">
        <v>11.16643674</v>
      </c>
      <c r="AA2315">
        <v>9.6209008199999992</v>
      </c>
      <c r="AB2315">
        <v>8.5758877249999994</v>
      </c>
    </row>
    <row r="2316" spans="1:28" hidden="1" x14ac:dyDescent="0.25">
      <c r="A2316" t="s">
        <v>489</v>
      </c>
      <c r="B2316" t="s">
        <v>492</v>
      </c>
      <c r="C2316">
        <v>115</v>
      </c>
      <c r="D2316" t="s">
        <v>3</v>
      </c>
      <c r="E2316">
        <v>1.4264471312</v>
      </c>
      <c r="F2316">
        <v>1.3656142646</v>
      </c>
      <c r="G2316">
        <v>1.3258179432999999</v>
      </c>
      <c r="H2316">
        <v>1.3633126273</v>
      </c>
      <c r="I2316">
        <v>1.3744758012</v>
      </c>
      <c r="J2316">
        <v>1.5468982786000001</v>
      </c>
      <c r="K2316">
        <v>1.8321985808000001</v>
      </c>
      <c r="L2316">
        <v>2.6106635452</v>
      </c>
      <c r="M2316">
        <v>3.2054997817999999</v>
      </c>
      <c r="N2316">
        <v>3.7122382078</v>
      </c>
      <c r="O2316">
        <v>4.4231318947</v>
      </c>
      <c r="P2316">
        <v>4.8100716071000003</v>
      </c>
      <c r="Q2316">
        <v>4.5906028142000004</v>
      </c>
      <c r="R2316">
        <v>4.6985532452000003</v>
      </c>
      <c r="S2316">
        <v>4.8643053581000002</v>
      </c>
      <c r="T2316">
        <v>4.8457400143999996</v>
      </c>
      <c r="U2316">
        <v>4.3768888509000003</v>
      </c>
      <c r="V2316">
        <v>3.626432103</v>
      </c>
      <c r="W2316">
        <v>3.0817580139</v>
      </c>
      <c r="X2316">
        <v>2.8513988248</v>
      </c>
      <c r="Y2316">
        <v>2.5391606587000002</v>
      </c>
      <c r="Z2316">
        <v>2.1661090572999999</v>
      </c>
      <c r="AA2316">
        <v>1.7647446168000001</v>
      </c>
      <c r="AB2316">
        <v>1.6277257359999999</v>
      </c>
    </row>
    <row r="2317" spans="1:28" hidden="1" x14ac:dyDescent="0.25">
      <c r="A2317" t="s">
        <v>489</v>
      </c>
      <c r="B2317" t="s">
        <v>492</v>
      </c>
      <c r="C2317">
        <v>115</v>
      </c>
      <c r="D2317" t="s">
        <v>4</v>
      </c>
      <c r="E2317">
        <v>0.11584599</v>
      </c>
      <c r="F2317">
        <v>0.11123922</v>
      </c>
      <c r="G2317">
        <v>0.10832428500000001</v>
      </c>
      <c r="H2317">
        <v>0.109478805</v>
      </c>
      <c r="I2317">
        <v>0.11372048999999999</v>
      </c>
      <c r="J2317">
        <v>0.12842532000000001</v>
      </c>
      <c r="K2317">
        <v>0.13285305</v>
      </c>
      <c r="L2317">
        <v>0.149424315</v>
      </c>
      <c r="M2317">
        <v>0.15961741500000001</v>
      </c>
      <c r="N2317">
        <v>0.166213785</v>
      </c>
      <c r="O2317">
        <v>0.18100402500000001</v>
      </c>
      <c r="P2317">
        <v>0.19086939</v>
      </c>
      <c r="Q2317">
        <v>0.18493558500000001</v>
      </c>
      <c r="R2317">
        <v>0.18554760000000001</v>
      </c>
      <c r="S2317">
        <v>0.190816185</v>
      </c>
      <c r="T2317">
        <v>0.19458235500000001</v>
      </c>
      <c r="U2317">
        <v>0.19201077</v>
      </c>
      <c r="V2317">
        <v>0.18248154</v>
      </c>
      <c r="W2317">
        <v>0.19084414499999999</v>
      </c>
      <c r="X2317">
        <v>0.19948780499999999</v>
      </c>
      <c r="Y2317">
        <v>0.18811074</v>
      </c>
      <c r="Z2317">
        <v>0.17004726000000001</v>
      </c>
      <c r="AA2317">
        <v>0.14651117999999999</v>
      </c>
      <c r="AB2317">
        <v>0.13059727500000001</v>
      </c>
    </row>
    <row r="2318" spans="1:28" hidden="1" x14ac:dyDescent="0.25">
      <c r="A2318" t="s">
        <v>493</v>
      </c>
      <c r="B2318" t="s">
        <v>494</v>
      </c>
      <c r="C2318">
        <v>220</v>
      </c>
      <c r="D2318" t="s">
        <v>2</v>
      </c>
      <c r="E2318">
        <v>8.01</v>
      </c>
      <c r="F2318">
        <v>8.01</v>
      </c>
      <c r="G2318">
        <v>8.01</v>
      </c>
      <c r="H2318">
        <v>8.01</v>
      </c>
      <c r="I2318">
        <v>8.01</v>
      </c>
      <c r="J2318">
        <v>8.01</v>
      </c>
      <c r="K2318">
        <v>8.01</v>
      </c>
      <c r="L2318">
        <v>8.01</v>
      </c>
      <c r="M2318">
        <v>8.01</v>
      </c>
      <c r="N2318">
        <v>8.01</v>
      </c>
      <c r="O2318">
        <v>8.01</v>
      </c>
      <c r="P2318">
        <v>8.01</v>
      </c>
      <c r="Q2318">
        <v>8.01</v>
      </c>
      <c r="R2318">
        <v>8.01</v>
      </c>
      <c r="S2318">
        <v>8.01</v>
      </c>
      <c r="T2318">
        <v>8.01</v>
      </c>
      <c r="U2318">
        <v>8.01</v>
      </c>
      <c r="V2318">
        <v>8.01</v>
      </c>
      <c r="W2318">
        <v>8</v>
      </c>
      <c r="X2318">
        <v>8</v>
      </c>
      <c r="Y2318">
        <v>8</v>
      </c>
      <c r="Z2318">
        <v>8.01</v>
      </c>
      <c r="AA2318">
        <v>8.01</v>
      </c>
      <c r="AB2318">
        <v>8.01</v>
      </c>
    </row>
    <row r="2319" spans="1:28" hidden="1" x14ac:dyDescent="0.25">
      <c r="A2319" t="s">
        <v>493</v>
      </c>
      <c r="B2319" t="s">
        <v>494</v>
      </c>
      <c r="C2319">
        <v>220</v>
      </c>
      <c r="D2319" t="s">
        <v>3</v>
      </c>
      <c r="E2319">
        <v>3.8794200594000001</v>
      </c>
      <c r="F2319">
        <v>3.8794200594000001</v>
      </c>
      <c r="G2319">
        <v>3.8794200594000001</v>
      </c>
      <c r="H2319">
        <v>3.8794200594000001</v>
      </c>
      <c r="I2319">
        <v>3.8794200594000001</v>
      </c>
      <c r="J2319">
        <v>3.8794200594000001</v>
      </c>
      <c r="K2319">
        <v>3.8794200594000001</v>
      </c>
      <c r="L2319">
        <v>3.8794200594000001</v>
      </c>
      <c r="M2319">
        <v>3.8794200594000001</v>
      </c>
      <c r="N2319">
        <v>3.8794200594000001</v>
      </c>
      <c r="O2319">
        <v>3.8794200594000001</v>
      </c>
      <c r="P2319">
        <v>3.8794200594000001</v>
      </c>
      <c r="Q2319">
        <v>3.8794200594000001</v>
      </c>
      <c r="R2319">
        <v>3.8794200594000001</v>
      </c>
      <c r="S2319">
        <v>3.8794200594000001</v>
      </c>
      <c r="T2319">
        <v>3.8794200594000001</v>
      </c>
      <c r="U2319">
        <v>3.8794200594000001</v>
      </c>
      <c r="V2319">
        <v>3.8794200594000001</v>
      </c>
      <c r="W2319">
        <v>3.8745768383999999</v>
      </c>
      <c r="X2319">
        <v>3.8745768383999999</v>
      </c>
      <c r="Y2319">
        <v>3.8745768383999999</v>
      </c>
      <c r="Z2319">
        <v>3.8794200594000001</v>
      </c>
      <c r="AA2319">
        <v>3.8794200594000001</v>
      </c>
      <c r="AB2319">
        <v>3.8794200594000001</v>
      </c>
    </row>
    <row r="2320" spans="1:28" hidden="1" x14ac:dyDescent="0.25">
      <c r="A2320" t="s">
        <v>493</v>
      </c>
      <c r="B2320" t="s">
        <v>494</v>
      </c>
      <c r="C2320">
        <v>220</v>
      </c>
      <c r="D2320" t="s">
        <v>4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</row>
    <row r="2321" spans="1:28" hidden="1" x14ac:dyDescent="0.25">
      <c r="A2321" t="s">
        <v>495</v>
      </c>
      <c r="B2321" t="s">
        <v>496</v>
      </c>
      <c r="C2321">
        <v>220</v>
      </c>
      <c r="D2321" t="s">
        <v>2</v>
      </c>
      <c r="E2321">
        <v>94.349755000000002</v>
      </c>
      <c r="F2321">
        <v>95.022473000000005</v>
      </c>
      <c r="G2321">
        <v>94.290768999999997</v>
      </c>
      <c r="H2321">
        <v>94.232686000000001</v>
      </c>
      <c r="I2321">
        <v>95.751518000000004</v>
      </c>
      <c r="J2321">
        <v>95.980288000000002</v>
      </c>
      <c r="K2321">
        <v>95.426344</v>
      </c>
      <c r="L2321">
        <v>95.546974000000006</v>
      </c>
      <c r="M2321">
        <v>94.320060999999995</v>
      </c>
      <c r="N2321">
        <v>96.080001999999993</v>
      </c>
      <c r="O2321">
        <v>96.248481999999996</v>
      </c>
      <c r="P2321">
        <v>95.130212</v>
      </c>
      <c r="Q2321">
        <v>95.273562999999996</v>
      </c>
      <c r="R2321">
        <v>96.654059000000004</v>
      </c>
      <c r="S2321">
        <v>96.637456999999998</v>
      </c>
      <c r="T2321">
        <v>95.880673999999999</v>
      </c>
      <c r="U2321">
        <v>95.862667999999999</v>
      </c>
      <c r="V2321">
        <v>94.583991999999995</v>
      </c>
      <c r="W2321">
        <v>96.915137999999999</v>
      </c>
      <c r="X2321">
        <v>97.633098000000004</v>
      </c>
      <c r="Y2321">
        <v>96.756388000000001</v>
      </c>
      <c r="Z2321">
        <v>92.954060999999996</v>
      </c>
      <c r="AA2321">
        <v>93.956316000000001</v>
      </c>
      <c r="AB2321">
        <v>94.205150000000003</v>
      </c>
    </row>
    <row r="2322" spans="1:28" hidden="1" x14ac:dyDescent="0.25">
      <c r="A2322" t="s">
        <v>495</v>
      </c>
      <c r="B2322" t="s">
        <v>496</v>
      </c>
      <c r="C2322">
        <v>220</v>
      </c>
      <c r="D2322" t="s">
        <v>3</v>
      </c>
      <c r="E2322">
        <v>23.646277549899999</v>
      </c>
      <c r="F2322">
        <v>23.814876573199999</v>
      </c>
      <c r="G2322">
        <v>23.631494264800001</v>
      </c>
      <c r="H2322">
        <v>23.616937292799999</v>
      </c>
      <c r="I2322">
        <v>23.997592473299999</v>
      </c>
      <c r="J2322">
        <v>24.054927639900001</v>
      </c>
      <c r="K2322">
        <v>23.916096186899999</v>
      </c>
      <c r="L2322">
        <v>23.9463289147</v>
      </c>
      <c r="M2322">
        <v>23.638835532000002</v>
      </c>
      <c r="N2322">
        <v>24.079918323899999</v>
      </c>
      <c r="O2322">
        <v>24.122143392200002</v>
      </c>
      <c r="P2322">
        <v>23.841878511800001</v>
      </c>
      <c r="Q2322">
        <v>23.877805659</v>
      </c>
      <c r="R2322">
        <v>24.223790569799998</v>
      </c>
      <c r="S2322">
        <v>24.2196297164</v>
      </c>
      <c r="T2322">
        <v>24.029962018199999</v>
      </c>
      <c r="U2322">
        <v>24.025449289200001</v>
      </c>
      <c r="V2322">
        <v>23.704982875799999</v>
      </c>
      <c r="W2322">
        <v>24.289223135</v>
      </c>
      <c r="X2322">
        <v>24.469160872300002</v>
      </c>
      <c r="Y2322">
        <v>24.2494366347</v>
      </c>
      <c r="Z2322">
        <v>23.2964836612</v>
      </c>
      <c r="AA2322">
        <v>23.547672441700001</v>
      </c>
      <c r="AB2322">
        <v>23.610036120699998</v>
      </c>
    </row>
    <row r="2323" spans="1:28" hidden="1" x14ac:dyDescent="0.25">
      <c r="A2323" t="s">
        <v>495</v>
      </c>
      <c r="B2323" t="s">
        <v>496</v>
      </c>
      <c r="C2323">
        <v>220</v>
      </c>
      <c r="D2323" t="s">
        <v>4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</row>
    <row r="2324" spans="1:28" hidden="1" x14ac:dyDescent="0.25">
      <c r="A2324" t="s">
        <v>495</v>
      </c>
      <c r="B2324" t="s">
        <v>497</v>
      </c>
      <c r="C2324">
        <v>220</v>
      </c>
      <c r="D2324" t="s">
        <v>2</v>
      </c>
      <c r="E2324">
        <v>94.349755000000002</v>
      </c>
      <c r="F2324">
        <v>95.022473000000005</v>
      </c>
      <c r="G2324">
        <v>94.290768999999997</v>
      </c>
      <c r="H2324">
        <v>94.232686000000001</v>
      </c>
      <c r="I2324">
        <v>95.751518000000004</v>
      </c>
      <c r="J2324">
        <v>95.980288000000002</v>
      </c>
      <c r="K2324">
        <v>95.426344</v>
      </c>
      <c r="L2324">
        <v>95.546974000000006</v>
      </c>
      <c r="M2324">
        <v>94.320060999999995</v>
      </c>
      <c r="N2324">
        <v>96.080001999999993</v>
      </c>
      <c r="O2324">
        <v>96.248481999999996</v>
      </c>
      <c r="P2324">
        <v>95.130212</v>
      </c>
      <c r="Q2324">
        <v>95.273562999999996</v>
      </c>
      <c r="R2324">
        <v>96.654059000000004</v>
      </c>
      <c r="S2324">
        <v>96.637456999999998</v>
      </c>
      <c r="T2324">
        <v>95.880673999999999</v>
      </c>
      <c r="U2324">
        <v>95.862667999999999</v>
      </c>
      <c r="V2324">
        <v>94.583991999999995</v>
      </c>
      <c r="W2324">
        <v>96.915137999999999</v>
      </c>
      <c r="X2324">
        <v>97.633098000000004</v>
      </c>
      <c r="Y2324">
        <v>96.756388000000001</v>
      </c>
      <c r="Z2324">
        <v>92.954060999999996</v>
      </c>
      <c r="AA2324">
        <v>93.956316000000001</v>
      </c>
      <c r="AB2324">
        <v>94.205150000000003</v>
      </c>
    </row>
    <row r="2325" spans="1:28" hidden="1" x14ac:dyDescent="0.25">
      <c r="A2325" t="s">
        <v>495</v>
      </c>
      <c r="B2325" t="s">
        <v>497</v>
      </c>
      <c r="C2325">
        <v>220</v>
      </c>
      <c r="D2325" t="s">
        <v>3</v>
      </c>
      <c r="E2325">
        <v>23.646277549899999</v>
      </c>
      <c r="F2325">
        <v>23.814876573199999</v>
      </c>
      <c r="G2325">
        <v>23.631494264800001</v>
      </c>
      <c r="H2325">
        <v>23.616937292799999</v>
      </c>
      <c r="I2325">
        <v>23.997592473299999</v>
      </c>
      <c r="J2325">
        <v>24.054927639900001</v>
      </c>
      <c r="K2325">
        <v>23.916096186899999</v>
      </c>
      <c r="L2325">
        <v>23.9463289147</v>
      </c>
      <c r="M2325">
        <v>23.638835532000002</v>
      </c>
      <c r="N2325">
        <v>24.079918323899999</v>
      </c>
      <c r="O2325">
        <v>24.122143392200002</v>
      </c>
      <c r="P2325">
        <v>23.841878511800001</v>
      </c>
      <c r="Q2325">
        <v>23.877805659</v>
      </c>
      <c r="R2325">
        <v>24.223790569799998</v>
      </c>
      <c r="S2325">
        <v>24.2196297164</v>
      </c>
      <c r="T2325">
        <v>24.029962018199999</v>
      </c>
      <c r="U2325">
        <v>24.025449289200001</v>
      </c>
      <c r="V2325">
        <v>23.704982875799999</v>
      </c>
      <c r="W2325">
        <v>24.289223135</v>
      </c>
      <c r="X2325">
        <v>24.469160872300002</v>
      </c>
      <c r="Y2325">
        <v>24.2494366347</v>
      </c>
      <c r="Z2325">
        <v>23.2964836612</v>
      </c>
      <c r="AA2325">
        <v>23.547672441700001</v>
      </c>
      <c r="AB2325">
        <v>23.610036120699998</v>
      </c>
    </row>
    <row r="2326" spans="1:28" hidden="1" x14ac:dyDescent="0.25">
      <c r="A2326" t="s">
        <v>495</v>
      </c>
      <c r="B2326" t="s">
        <v>497</v>
      </c>
      <c r="C2326">
        <v>220</v>
      </c>
      <c r="D2326" t="s">
        <v>4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0</v>
      </c>
      <c r="AA2326">
        <v>0</v>
      </c>
      <c r="AB2326">
        <v>0</v>
      </c>
    </row>
    <row r="2327" spans="1:28" hidden="1" x14ac:dyDescent="0.25">
      <c r="A2327" t="s">
        <v>498</v>
      </c>
      <c r="B2327" t="s">
        <v>499</v>
      </c>
      <c r="C2327">
        <v>220</v>
      </c>
      <c r="D2327" t="s">
        <v>2</v>
      </c>
      <c r="E2327">
        <v>156.61799999999999</v>
      </c>
      <c r="F2327">
        <v>156.41399999999999</v>
      </c>
      <c r="G2327">
        <v>156.41399999999999</v>
      </c>
      <c r="H2327">
        <v>156.453</v>
      </c>
      <c r="I2327">
        <v>156.50399999999999</v>
      </c>
      <c r="J2327">
        <v>157.803</v>
      </c>
      <c r="K2327">
        <v>157.99177</v>
      </c>
      <c r="L2327">
        <v>160.09464800000001</v>
      </c>
      <c r="M2327">
        <v>151.00707199999999</v>
      </c>
      <c r="N2327">
        <v>150.79146</v>
      </c>
      <c r="O2327">
        <v>135.473004</v>
      </c>
      <c r="P2327">
        <v>134.36451199999999</v>
      </c>
      <c r="Q2327">
        <v>147.51874900000001</v>
      </c>
      <c r="R2327">
        <v>151.067071</v>
      </c>
      <c r="S2327">
        <v>166.820942</v>
      </c>
      <c r="T2327">
        <v>162.72339700000001</v>
      </c>
      <c r="U2327">
        <v>158.797901</v>
      </c>
      <c r="V2327">
        <v>154.30282299999999</v>
      </c>
      <c r="W2327">
        <v>156.94999999999999</v>
      </c>
      <c r="X2327">
        <v>156.821</v>
      </c>
      <c r="Y2327">
        <v>156.77000000000001</v>
      </c>
      <c r="Z2327">
        <v>156.84</v>
      </c>
      <c r="AA2327">
        <v>156.89099999999999</v>
      </c>
      <c r="AB2327">
        <v>157.017</v>
      </c>
    </row>
    <row r="2328" spans="1:28" hidden="1" x14ac:dyDescent="0.25">
      <c r="A2328" t="s">
        <v>498</v>
      </c>
      <c r="B2328" t="s">
        <v>499</v>
      </c>
      <c r="C2328">
        <v>220</v>
      </c>
      <c r="D2328" t="s">
        <v>3</v>
      </c>
      <c r="E2328">
        <v>39.252170790599997</v>
      </c>
      <c r="F2328">
        <v>39.201043571200003</v>
      </c>
      <c r="G2328">
        <v>39.201043571200003</v>
      </c>
      <c r="H2328">
        <v>39.210817892599998</v>
      </c>
      <c r="I2328">
        <v>39.223599697399997</v>
      </c>
      <c r="J2328">
        <v>39.549159785400001</v>
      </c>
      <c r="K2328">
        <v>39.596470006899999</v>
      </c>
      <c r="L2328">
        <v>40.123500912700003</v>
      </c>
      <c r="M2328">
        <v>37.845939679499999</v>
      </c>
      <c r="N2328">
        <v>37.791902218600001</v>
      </c>
      <c r="O2328">
        <v>33.952735257199997</v>
      </c>
      <c r="P2328">
        <v>33.674920974700001</v>
      </c>
      <c r="Q2328">
        <v>36.971683526500001</v>
      </c>
      <c r="R2328">
        <v>37.8609768464</v>
      </c>
      <c r="S2328">
        <v>41.809269093099999</v>
      </c>
      <c r="T2328">
        <v>40.782327514499997</v>
      </c>
      <c r="U2328">
        <v>39.798505479799999</v>
      </c>
      <c r="V2328">
        <v>38.671932739900001</v>
      </c>
      <c r="W2328">
        <v>39.335377833800003</v>
      </c>
      <c r="X2328">
        <v>39.303047386300001</v>
      </c>
      <c r="Y2328">
        <v>39.290265581500002</v>
      </c>
      <c r="Z2328">
        <v>39.307809235199997</v>
      </c>
      <c r="AA2328">
        <v>39.320591039999996</v>
      </c>
      <c r="AB2328">
        <v>39.352169616700003</v>
      </c>
    </row>
    <row r="2329" spans="1:28" hidden="1" x14ac:dyDescent="0.25">
      <c r="A2329" t="s">
        <v>498</v>
      </c>
      <c r="B2329" t="s">
        <v>499</v>
      </c>
      <c r="C2329">
        <v>220</v>
      </c>
      <c r="D2329" t="s">
        <v>4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0</v>
      </c>
      <c r="AA2329">
        <v>0</v>
      </c>
      <c r="AB2329">
        <v>0</v>
      </c>
    </row>
    <row r="2330" spans="1:28" hidden="1" x14ac:dyDescent="0.25">
      <c r="A2330" t="s">
        <v>500</v>
      </c>
      <c r="B2330" t="s">
        <v>501</v>
      </c>
      <c r="C2330">
        <v>115</v>
      </c>
      <c r="D2330" t="s">
        <v>2</v>
      </c>
      <c r="E2330">
        <v>8.3801800449999995</v>
      </c>
      <c r="F2330">
        <v>8.0072048700000007</v>
      </c>
      <c r="G2330">
        <v>7.9106541850000003</v>
      </c>
      <c r="H2330">
        <v>7.8828496049999996</v>
      </c>
      <c r="I2330">
        <v>8.1460662300000006</v>
      </c>
      <c r="J2330">
        <v>8.7425920799999997</v>
      </c>
      <c r="K2330">
        <v>10.266970199999999</v>
      </c>
      <c r="L2330">
        <v>11.916523105</v>
      </c>
      <c r="M2330">
        <v>12.220179890000001</v>
      </c>
      <c r="N2330">
        <v>12.14254416</v>
      </c>
      <c r="O2330">
        <v>12.827618555000001</v>
      </c>
      <c r="P2330">
        <v>12.960695995</v>
      </c>
      <c r="Q2330">
        <v>12.672900665</v>
      </c>
      <c r="R2330">
        <v>13.328018255</v>
      </c>
      <c r="S2330">
        <v>13.31333289</v>
      </c>
      <c r="T2330">
        <v>12.663092035</v>
      </c>
      <c r="U2330">
        <v>12.505101975000001</v>
      </c>
      <c r="V2330">
        <v>12.182366725</v>
      </c>
      <c r="W2330">
        <v>13.41366696</v>
      </c>
      <c r="X2330">
        <v>14.767812455</v>
      </c>
      <c r="Y2330">
        <v>14.700397085000001</v>
      </c>
      <c r="Z2330">
        <v>13.241454485</v>
      </c>
      <c r="AA2330">
        <v>11.284074305000001</v>
      </c>
      <c r="AB2330">
        <v>9.6466408399999999</v>
      </c>
    </row>
    <row r="2331" spans="1:28" hidden="1" x14ac:dyDescent="0.25">
      <c r="A2331" t="s">
        <v>500</v>
      </c>
      <c r="B2331" t="s">
        <v>501</v>
      </c>
      <c r="C2331">
        <v>115</v>
      </c>
      <c r="D2331" t="s">
        <v>3</v>
      </c>
      <c r="E2331">
        <v>3.4860347461000001</v>
      </c>
      <c r="F2331">
        <v>3.4495601925999999</v>
      </c>
      <c r="G2331">
        <v>3.4269014167999998</v>
      </c>
      <c r="H2331">
        <v>3.4148564516</v>
      </c>
      <c r="I2331">
        <v>3.5264477764</v>
      </c>
      <c r="J2331">
        <v>3.5290825845999998</v>
      </c>
      <c r="K2331">
        <v>3.6371608218999998</v>
      </c>
      <c r="L2331">
        <v>4.3880707063999997</v>
      </c>
      <c r="M2331">
        <v>5.1355231871000004</v>
      </c>
      <c r="N2331">
        <v>5.4968851293999998</v>
      </c>
      <c r="O2331">
        <v>6.0114323383999997</v>
      </c>
      <c r="P2331">
        <v>6.3211359071000004</v>
      </c>
      <c r="Q2331">
        <v>6.2058027976999997</v>
      </c>
      <c r="R2331">
        <v>6.3413699433000001</v>
      </c>
      <c r="S2331">
        <v>6.3267803270999998</v>
      </c>
      <c r="T2331">
        <v>6.0611009838000003</v>
      </c>
      <c r="U2331">
        <v>5.9391198339000004</v>
      </c>
      <c r="V2331">
        <v>5.4828326955</v>
      </c>
      <c r="W2331">
        <v>5.3895962055000002</v>
      </c>
      <c r="X2331">
        <v>4.8276927658000002</v>
      </c>
      <c r="Y2331">
        <v>4.5275208699</v>
      </c>
      <c r="Z2331">
        <v>4.1661458742999997</v>
      </c>
      <c r="AA2331">
        <v>3.7567290850999999</v>
      </c>
      <c r="AB2331">
        <v>3.6058580027999998</v>
      </c>
    </row>
    <row r="2332" spans="1:28" hidden="1" x14ac:dyDescent="0.25">
      <c r="A2332" t="s">
        <v>500</v>
      </c>
      <c r="B2332" t="s">
        <v>501</v>
      </c>
      <c r="C2332">
        <v>115</v>
      </c>
      <c r="D2332" t="s">
        <v>4</v>
      </c>
      <c r="E2332">
        <v>0.127616955</v>
      </c>
      <c r="F2332">
        <v>0.12193713</v>
      </c>
      <c r="G2332">
        <v>0.120466815</v>
      </c>
      <c r="H2332">
        <v>0.120043395</v>
      </c>
      <c r="I2332">
        <v>0.12405177000000001</v>
      </c>
      <c r="J2332">
        <v>0.13313591999999999</v>
      </c>
      <c r="K2332">
        <v>0.15634980000000001</v>
      </c>
      <c r="L2332">
        <v>0.18146989499999999</v>
      </c>
      <c r="M2332">
        <v>0.18609411000000001</v>
      </c>
      <c r="N2332">
        <v>0.18491183999999999</v>
      </c>
      <c r="O2332">
        <v>0.19534444500000001</v>
      </c>
      <c r="P2332">
        <v>0.19737100499999999</v>
      </c>
      <c r="Q2332">
        <v>0.19298833500000001</v>
      </c>
      <c r="R2332">
        <v>0.202964745</v>
      </c>
      <c r="S2332">
        <v>0.20274111</v>
      </c>
      <c r="T2332">
        <v>0.192838965</v>
      </c>
      <c r="U2332">
        <v>0.19043302500000001</v>
      </c>
      <c r="V2332">
        <v>0.18551827500000001</v>
      </c>
      <c r="W2332">
        <v>0.20426904000000001</v>
      </c>
      <c r="X2332">
        <v>0.224890545</v>
      </c>
      <c r="Y2332">
        <v>0.223863915</v>
      </c>
      <c r="Z2332">
        <v>0.201646515</v>
      </c>
      <c r="AA2332">
        <v>0.17183869500000001</v>
      </c>
      <c r="AB2332">
        <v>0.14690316</v>
      </c>
    </row>
    <row r="2333" spans="1:28" hidden="1" x14ac:dyDescent="0.25">
      <c r="A2333" t="s">
        <v>500</v>
      </c>
      <c r="B2333" t="s">
        <v>502</v>
      </c>
      <c r="C2333">
        <v>34</v>
      </c>
      <c r="D2333" t="s">
        <v>2</v>
      </c>
      <c r="E2333">
        <v>22.31679097</v>
      </c>
      <c r="F2333">
        <v>20.954497750000002</v>
      </c>
      <c r="G2333">
        <v>19.450045209999999</v>
      </c>
      <c r="H2333">
        <v>18.485493699999999</v>
      </c>
      <c r="I2333">
        <v>18.22415436</v>
      </c>
      <c r="J2333">
        <v>17.913268389999999</v>
      </c>
      <c r="K2333">
        <v>17.252226</v>
      </c>
      <c r="L2333">
        <v>18.340834690000001</v>
      </c>
      <c r="M2333">
        <v>19.394155749999999</v>
      </c>
      <c r="N2333">
        <v>20.42855308</v>
      </c>
      <c r="O2333">
        <v>22.416947350000001</v>
      </c>
      <c r="P2333">
        <v>23.21527772</v>
      </c>
      <c r="Q2333">
        <v>22.444250910000001</v>
      </c>
      <c r="R2333">
        <v>24.321145619999999</v>
      </c>
      <c r="S2333">
        <v>26.162032960000001</v>
      </c>
      <c r="T2333">
        <v>26.654366159999999</v>
      </c>
      <c r="U2333">
        <v>26.105756469999999</v>
      </c>
      <c r="V2333">
        <v>25.26016576</v>
      </c>
      <c r="W2333">
        <v>25.685413759999999</v>
      </c>
      <c r="X2333">
        <v>24.863976050000002</v>
      </c>
      <c r="Y2333">
        <v>24.440481810000001</v>
      </c>
      <c r="Z2333">
        <v>24.579124879999998</v>
      </c>
      <c r="AA2333">
        <v>24.34640636</v>
      </c>
      <c r="AB2333">
        <v>23.89551835</v>
      </c>
    </row>
    <row r="2334" spans="1:28" hidden="1" x14ac:dyDescent="0.25">
      <c r="A2334" t="s">
        <v>500</v>
      </c>
      <c r="B2334" t="s">
        <v>502</v>
      </c>
      <c r="C2334">
        <v>34</v>
      </c>
      <c r="D2334" t="s">
        <v>3</v>
      </c>
      <c r="E2334">
        <v>2.4763136929999998</v>
      </c>
      <c r="F2334">
        <v>2.4379262010999998</v>
      </c>
      <c r="G2334">
        <v>2.3135241423999999</v>
      </c>
      <c r="H2334">
        <v>2.1344013785999998</v>
      </c>
      <c r="I2334">
        <v>1.9016199162</v>
      </c>
      <c r="J2334">
        <v>2.0203179472000001</v>
      </c>
      <c r="K2334">
        <v>3.1237830595</v>
      </c>
      <c r="L2334">
        <v>3.1799650906000001</v>
      </c>
      <c r="M2334">
        <v>3.5895274697000001</v>
      </c>
      <c r="N2334">
        <v>5.6760704007999996</v>
      </c>
      <c r="O2334">
        <v>8.9931310388999997</v>
      </c>
      <c r="P2334">
        <v>7.2871837831999997</v>
      </c>
      <c r="Q2334">
        <v>7.5743310237000001</v>
      </c>
      <c r="R2334">
        <v>9.5048652832999991</v>
      </c>
      <c r="S2334">
        <v>11.302123141399999</v>
      </c>
      <c r="T2334">
        <v>10.899699375599999</v>
      </c>
      <c r="U2334">
        <v>10.4077529872</v>
      </c>
      <c r="V2334">
        <v>6.3197430513999997</v>
      </c>
      <c r="W2334">
        <v>10.9806192019</v>
      </c>
      <c r="X2334">
        <v>10.327863559100001</v>
      </c>
      <c r="Y2334">
        <v>8.5590140003999995</v>
      </c>
      <c r="Z2334">
        <v>5.2179763104000001</v>
      </c>
      <c r="AA2334">
        <v>2.4925876637000002</v>
      </c>
      <c r="AB2334">
        <v>2.3742699938</v>
      </c>
    </row>
    <row r="2335" spans="1:28" hidden="1" x14ac:dyDescent="0.25">
      <c r="A2335" t="s">
        <v>500</v>
      </c>
      <c r="B2335" t="s">
        <v>502</v>
      </c>
      <c r="C2335">
        <v>34</v>
      </c>
      <c r="D2335" t="s">
        <v>4</v>
      </c>
      <c r="E2335">
        <v>0.69021003000000003</v>
      </c>
      <c r="F2335">
        <v>0.64807725000000005</v>
      </c>
      <c r="G2335">
        <v>0.60154779000000003</v>
      </c>
      <c r="H2335">
        <v>0.57171629999999996</v>
      </c>
      <c r="I2335">
        <v>0.56363364000000005</v>
      </c>
      <c r="J2335">
        <v>0.55401860999999997</v>
      </c>
      <c r="K2335">
        <v>0.53357399999999999</v>
      </c>
      <c r="L2335">
        <v>0.56724231000000003</v>
      </c>
      <c r="M2335">
        <v>0.59981925000000003</v>
      </c>
      <c r="N2335">
        <v>0.63181092000000005</v>
      </c>
      <c r="O2335">
        <v>0.69330765000000005</v>
      </c>
      <c r="P2335">
        <v>0.71799827999999999</v>
      </c>
      <c r="Q2335">
        <v>0.69415209</v>
      </c>
      <c r="R2335">
        <v>0.75220038</v>
      </c>
      <c r="S2335">
        <v>0.80913504000000003</v>
      </c>
      <c r="T2335">
        <v>0.82436184000000001</v>
      </c>
      <c r="U2335">
        <v>0.80739453000000005</v>
      </c>
      <c r="V2335">
        <v>0.78124223999999998</v>
      </c>
      <c r="W2335">
        <v>0.79439424000000003</v>
      </c>
      <c r="X2335">
        <v>0.76898895</v>
      </c>
      <c r="Y2335">
        <v>0.75589119000000005</v>
      </c>
      <c r="Z2335">
        <v>0.76017911999999999</v>
      </c>
      <c r="AA2335">
        <v>0.75298164000000001</v>
      </c>
      <c r="AB2335">
        <v>0.73903664999999996</v>
      </c>
    </row>
    <row r="2336" spans="1:28" hidden="1" x14ac:dyDescent="0.25">
      <c r="A2336" t="s">
        <v>500</v>
      </c>
      <c r="B2336" t="s">
        <v>503</v>
      </c>
      <c r="C2336">
        <v>34</v>
      </c>
      <c r="D2336" t="s">
        <v>2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0</v>
      </c>
      <c r="AA2336">
        <v>0</v>
      </c>
      <c r="AB2336">
        <v>0</v>
      </c>
    </row>
    <row r="2337" spans="1:28" hidden="1" x14ac:dyDescent="0.25">
      <c r="A2337" t="s">
        <v>500</v>
      </c>
      <c r="B2337" t="s">
        <v>503</v>
      </c>
      <c r="C2337">
        <v>34</v>
      </c>
      <c r="D2337" t="s">
        <v>3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0</v>
      </c>
      <c r="AA2337">
        <v>0</v>
      </c>
      <c r="AB2337">
        <v>0</v>
      </c>
    </row>
    <row r="2338" spans="1:28" hidden="1" x14ac:dyDescent="0.25">
      <c r="A2338" t="s">
        <v>500</v>
      </c>
      <c r="B2338" t="s">
        <v>503</v>
      </c>
      <c r="C2338">
        <v>34</v>
      </c>
      <c r="D2338" t="s">
        <v>4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0</v>
      </c>
      <c r="AA2338">
        <v>0</v>
      </c>
      <c r="AB2338">
        <v>0</v>
      </c>
    </row>
    <row r="2339" spans="1:28" hidden="1" x14ac:dyDescent="0.25">
      <c r="A2339" t="s">
        <v>500</v>
      </c>
      <c r="B2339" t="s">
        <v>504</v>
      </c>
      <c r="C2339">
        <v>115</v>
      </c>
      <c r="D2339" t="s">
        <v>2</v>
      </c>
      <c r="E2339">
        <v>9.7375130000000004E-2</v>
      </c>
      <c r="F2339">
        <v>8.7126204999999998E-2</v>
      </c>
      <c r="G2339">
        <v>8.9677355E-2</v>
      </c>
      <c r="H2339">
        <v>9.0515590000000007E-2</v>
      </c>
      <c r="I2339">
        <v>9.4034010000000001E-2</v>
      </c>
      <c r="J2339">
        <v>9.7542580000000004E-2</v>
      </c>
      <c r="K2339">
        <v>9.2677665000000006E-2</v>
      </c>
      <c r="L2339">
        <v>9.4523554999999995E-2</v>
      </c>
      <c r="M2339">
        <v>2.889518185</v>
      </c>
      <c r="N2339">
        <v>3.279621525</v>
      </c>
      <c r="O2339">
        <v>5.9198214350000002</v>
      </c>
      <c r="P2339">
        <v>6.0637250099999997</v>
      </c>
      <c r="Q2339">
        <v>5.7455788749999996</v>
      </c>
      <c r="R2339">
        <v>6.1938996550000001</v>
      </c>
      <c r="S2339">
        <v>6.2640887850000002</v>
      </c>
      <c r="T2339">
        <v>5.9267597749999998</v>
      </c>
      <c r="U2339">
        <v>5.8181093500000003</v>
      </c>
      <c r="V2339">
        <v>5.6611200500000001</v>
      </c>
      <c r="W2339">
        <v>6.1396320649999998</v>
      </c>
      <c r="X2339">
        <v>5.7959921599999999</v>
      </c>
      <c r="Y2339">
        <v>3.0194524899999999</v>
      </c>
      <c r="Z2339">
        <v>2.8927007200000001</v>
      </c>
      <c r="AA2339">
        <v>2.7997551349999998</v>
      </c>
      <c r="AB2339">
        <v>2.7827471400000001</v>
      </c>
    </row>
    <row r="2340" spans="1:28" hidden="1" x14ac:dyDescent="0.25">
      <c r="A2340" t="s">
        <v>500</v>
      </c>
      <c r="B2340" t="s">
        <v>504</v>
      </c>
      <c r="C2340">
        <v>115</v>
      </c>
      <c r="D2340" t="s">
        <v>3</v>
      </c>
      <c r="E2340">
        <v>0.17763012750000001</v>
      </c>
      <c r="F2340">
        <v>0.17080067730000001</v>
      </c>
      <c r="G2340">
        <v>0.17633935379999999</v>
      </c>
      <c r="H2340">
        <v>0.1911356666</v>
      </c>
      <c r="I2340">
        <v>0.20839290830000001</v>
      </c>
      <c r="J2340">
        <v>0.2016228041</v>
      </c>
      <c r="K2340">
        <v>0.17533963950000001</v>
      </c>
      <c r="L2340">
        <v>0.1823040527</v>
      </c>
      <c r="M2340">
        <v>1.3265839723999999</v>
      </c>
      <c r="N2340">
        <v>1.4904164610999999</v>
      </c>
      <c r="O2340">
        <v>2.9437965851999999</v>
      </c>
      <c r="P2340">
        <v>3.0492521476999999</v>
      </c>
      <c r="Q2340">
        <v>2.8908688143000001</v>
      </c>
      <c r="R2340">
        <v>3.1509045112999998</v>
      </c>
      <c r="S2340">
        <v>3.1883493699000001</v>
      </c>
      <c r="T2340">
        <v>2.9886363385000001</v>
      </c>
      <c r="U2340">
        <v>2.9241172393000001</v>
      </c>
      <c r="V2340">
        <v>2.8688639552000001</v>
      </c>
      <c r="W2340">
        <v>3.1471265784</v>
      </c>
      <c r="X2340">
        <v>2.9468753400000001</v>
      </c>
      <c r="Y2340">
        <v>1.5702549860999999</v>
      </c>
      <c r="Z2340">
        <v>1.3406084861000001</v>
      </c>
      <c r="AA2340">
        <v>1.3015746039</v>
      </c>
      <c r="AB2340">
        <v>1.3064826744</v>
      </c>
    </row>
    <row r="2341" spans="1:28" hidden="1" x14ac:dyDescent="0.25">
      <c r="A2341" t="s">
        <v>500</v>
      </c>
      <c r="B2341" t="s">
        <v>504</v>
      </c>
      <c r="C2341">
        <v>115</v>
      </c>
      <c r="D2341" t="s">
        <v>4</v>
      </c>
      <c r="E2341">
        <v>1.4828700000000001E-3</v>
      </c>
      <c r="F2341">
        <v>1.326795E-3</v>
      </c>
      <c r="G2341">
        <v>1.365645E-3</v>
      </c>
      <c r="H2341">
        <v>1.3784100000000001E-3</v>
      </c>
      <c r="I2341">
        <v>1.43199E-3</v>
      </c>
      <c r="J2341">
        <v>1.4854200000000001E-3</v>
      </c>
      <c r="K2341">
        <v>1.4113350000000001E-3</v>
      </c>
      <c r="L2341">
        <v>1.4394449999999999E-3</v>
      </c>
      <c r="M2341">
        <v>4.4002815000000001E-2</v>
      </c>
      <c r="N2341">
        <v>4.9943475000000001E-2</v>
      </c>
      <c r="O2341">
        <v>9.0149565000000001E-2</v>
      </c>
      <c r="P2341">
        <v>9.2340989999999998E-2</v>
      </c>
      <c r="Q2341">
        <v>8.7496124999999994E-2</v>
      </c>
      <c r="R2341">
        <v>9.4323345000000003E-2</v>
      </c>
      <c r="S2341">
        <v>9.5392215000000002E-2</v>
      </c>
      <c r="T2341">
        <v>9.0255224999999994E-2</v>
      </c>
      <c r="U2341">
        <v>8.8600650000000003E-2</v>
      </c>
      <c r="V2341">
        <v>8.6209949999999994E-2</v>
      </c>
      <c r="W2341">
        <v>9.3496935000000003E-2</v>
      </c>
      <c r="X2341">
        <v>8.8263839999999996E-2</v>
      </c>
      <c r="Y2341">
        <v>4.5981510000000003E-2</v>
      </c>
      <c r="Z2341">
        <v>4.4051279999999998E-2</v>
      </c>
      <c r="AA2341">
        <v>4.2635865000000002E-2</v>
      </c>
      <c r="AB2341">
        <v>4.2376860000000002E-2</v>
      </c>
    </row>
    <row r="2342" spans="1:28" hidden="1" x14ac:dyDescent="0.25">
      <c r="A2342" t="s">
        <v>500</v>
      </c>
      <c r="B2342" t="s">
        <v>505</v>
      </c>
      <c r="C2342">
        <v>115</v>
      </c>
      <c r="D2342" t="s">
        <v>2</v>
      </c>
      <c r="E2342">
        <v>16.081684254999999</v>
      </c>
      <c r="F2342">
        <v>14.95765052</v>
      </c>
      <c r="G2342">
        <v>14.432664235000001</v>
      </c>
      <c r="H2342">
        <v>14.12044386</v>
      </c>
      <c r="I2342">
        <v>14.320096465000001</v>
      </c>
      <c r="J2342">
        <v>15.027114689999999</v>
      </c>
      <c r="K2342">
        <v>16.123052285</v>
      </c>
      <c r="L2342">
        <v>18.569045655</v>
      </c>
      <c r="M2342">
        <v>19.963945525</v>
      </c>
      <c r="N2342">
        <v>20.808764265000001</v>
      </c>
      <c r="O2342">
        <v>22.462389160000001</v>
      </c>
      <c r="P2342">
        <v>23.33502824</v>
      </c>
      <c r="Q2342">
        <v>22.839073845000001</v>
      </c>
      <c r="R2342">
        <v>24.144660810000001</v>
      </c>
      <c r="S2342">
        <v>24.378459424999999</v>
      </c>
      <c r="T2342">
        <v>23.490576484999998</v>
      </c>
      <c r="U2342">
        <v>23.16595693</v>
      </c>
      <c r="V2342">
        <v>22.561775659999999</v>
      </c>
      <c r="W2342">
        <v>24.597495845000001</v>
      </c>
      <c r="X2342">
        <v>25.368151964999999</v>
      </c>
      <c r="Y2342">
        <v>24.88798121</v>
      </c>
      <c r="Z2342">
        <v>23.284696709999999</v>
      </c>
      <c r="AA2342">
        <v>20.824504565000002</v>
      </c>
      <c r="AB2342">
        <v>18.379835034999999</v>
      </c>
    </row>
    <row r="2343" spans="1:28" hidden="1" x14ac:dyDescent="0.25">
      <c r="A2343" t="s">
        <v>500</v>
      </c>
      <c r="B2343" t="s">
        <v>505</v>
      </c>
      <c r="C2343">
        <v>115</v>
      </c>
      <c r="D2343" t="s">
        <v>3</v>
      </c>
      <c r="E2343">
        <v>6.5464465217000001</v>
      </c>
      <c r="F2343">
        <v>6.235864726</v>
      </c>
      <c r="G2343">
        <v>6.0389878917999997</v>
      </c>
      <c r="H2343">
        <v>5.9769069613000001</v>
      </c>
      <c r="I2343">
        <v>6.0657470708999996</v>
      </c>
      <c r="J2343">
        <v>6.2280929992000003</v>
      </c>
      <c r="K2343">
        <v>6.5632863993999999</v>
      </c>
      <c r="L2343">
        <v>8.1822096268000006</v>
      </c>
      <c r="M2343">
        <v>9.0434367670999993</v>
      </c>
      <c r="N2343">
        <v>9.7037529144000008</v>
      </c>
      <c r="O2343">
        <v>10.468416402700001</v>
      </c>
      <c r="P2343">
        <v>10.9757471074</v>
      </c>
      <c r="Q2343">
        <v>10.7424724801</v>
      </c>
      <c r="R2343">
        <v>11.2315449113</v>
      </c>
      <c r="S2343">
        <v>11.2839918359</v>
      </c>
      <c r="T2343">
        <v>10.825437668699999</v>
      </c>
      <c r="U2343">
        <v>10.6556989494</v>
      </c>
      <c r="V2343">
        <v>10.456148367999999</v>
      </c>
      <c r="W2343">
        <v>11.0415750875</v>
      </c>
      <c r="X2343">
        <v>10.1691704749</v>
      </c>
      <c r="Y2343">
        <v>9.7185047860000005</v>
      </c>
      <c r="Z2343">
        <v>8.8394487506000008</v>
      </c>
      <c r="AA2343">
        <v>7.7772976992</v>
      </c>
      <c r="AB2343">
        <v>7.1070502762999999</v>
      </c>
    </row>
    <row r="2344" spans="1:28" hidden="1" x14ac:dyDescent="0.25">
      <c r="A2344" t="s">
        <v>500</v>
      </c>
      <c r="B2344" t="s">
        <v>505</v>
      </c>
      <c r="C2344">
        <v>115</v>
      </c>
      <c r="D2344" t="s">
        <v>4</v>
      </c>
      <c r="E2344">
        <v>0.244898745</v>
      </c>
      <c r="F2344">
        <v>0.22778148000000001</v>
      </c>
      <c r="G2344">
        <v>0.219786765</v>
      </c>
      <c r="H2344">
        <v>0.21503214000000001</v>
      </c>
      <c r="I2344">
        <v>0.21807253500000001</v>
      </c>
      <c r="J2344">
        <v>0.22883930999999999</v>
      </c>
      <c r="K2344">
        <v>0.24552871500000001</v>
      </c>
      <c r="L2344">
        <v>0.28277734500000001</v>
      </c>
      <c r="M2344">
        <v>0.30401947499999998</v>
      </c>
      <c r="N2344">
        <v>0.31688473499999997</v>
      </c>
      <c r="O2344">
        <v>0.34206683999999998</v>
      </c>
      <c r="P2344">
        <v>0.35535576000000002</v>
      </c>
      <c r="Q2344">
        <v>0.34780315499999997</v>
      </c>
      <c r="R2344">
        <v>0.36768519</v>
      </c>
      <c r="S2344">
        <v>0.37124557499999999</v>
      </c>
      <c r="T2344">
        <v>0.35772451500000002</v>
      </c>
      <c r="U2344">
        <v>0.35278106999999997</v>
      </c>
      <c r="V2344">
        <v>0.34358033999999998</v>
      </c>
      <c r="W2344">
        <v>0.374581155</v>
      </c>
      <c r="X2344">
        <v>0.38631703499999998</v>
      </c>
      <c r="Y2344">
        <v>0.37900478999999998</v>
      </c>
      <c r="Z2344">
        <v>0.35458929</v>
      </c>
      <c r="AA2344">
        <v>0.31712443499999998</v>
      </c>
      <c r="AB2344">
        <v>0.27989596500000002</v>
      </c>
    </row>
    <row r="2345" spans="1:28" hidden="1" x14ac:dyDescent="0.25">
      <c r="A2345" t="s">
        <v>500</v>
      </c>
      <c r="B2345" t="s">
        <v>506</v>
      </c>
      <c r="C2345">
        <v>115</v>
      </c>
      <c r="D2345" t="s">
        <v>2</v>
      </c>
      <c r="E2345">
        <v>12.157162545</v>
      </c>
      <c r="F2345">
        <v>11.29833809</v>
      </c>
      <c r="G2345">
        <v>10.459672644999999</v>
      </c>
      <c r="H2345">
        <v>9.7623803099999993</v>
      </c>
      <c r="I2345">
        <v>9.4168738300000001</v>
      </c>
      <c r="J2345">
        <v>9.0825973350000009</v>
      </c>
      <c r="K2345">
        <v>8.0803509699999996</v>
      </c>
      <c r="L2345">
        <v>8.1192722600000007</v>
      </c>
      <c r="M2345">
        <v>8.6037839100000006</v>
      </c>
      <c r="N2345">
        <v>9.0747547649999998</v>
      </c>
      <c r="O2345">
        <v>9.682964685</v>
      </c>
      <c r="P2345">
        <v>10.304207140000001</v>
      </c>
      <c r="Q2345">
        <v>10.209941655</v>
      </c>
      <c r="R2345">
        <v>11.12592566</v>
      </c>
      <c r="S2345">
        <v>12.588243855</v>
      </c>
      <c r="T2345">
        <v>13.225895424999999</v>
      </c>
      <c r="U2345">
        <v>13.135468485000001</v>
      </c>
      <c r="V2345">
        <v>12.025227705000001</v>
      </c>
      <c r="W2345">
        <v>12.145041135</v>
      </c>
      <c r="X2345">
        <v>12.134824715000001</v>
      </c>
      <c r="Y2345">
        <v>12.126907285</v>
      </c>
      <c r="Z2345">
        <v>12.626562325</v>
      </c>
      <c r="AA2345">
        <v>12.93203151</v>
      </c>
      <c r="AB2345">
        <v>12.90242241</v>
      </c>
    </row>
    <row r="2346" spans="1:28" hidden="1" x14ac:dyDescent="0.25">
      <c r="A2346" t="s">
        <v>500</v>
      </c>
      <c r="B2346" t="s">
        <v>506</v>
      </c>
      <c r="C2346">
        <v>115</v>
      </c>
      <c r="D2346" t="s">
        <v>3</v>
      </c>
      <c r="E2346">
        <v>1.8680149962999999</v>
      </c>
      <c r="F2346">
        <v>1.4468481422999999</v>
      </c>
      <c r="G2346">
        <v>0.93835898799999995</v>
      </c>
      <c r="H2346">
        <v>0.7451023108</v>
      </c>
      <c r="I2346">
        <v>0.61124630820000003</v>
      </c>
      <c r="J2346">
        <v>0.46357551809999997</v>
      </c>
      <c r="K2346">
        <v>0.197971914</v>
      </c>
      <c r="L2346">
        <v>-0.1989255016</v>
      </c>
      <c r="M2346">
        <v>0.4717795702</v>
      </c>
      <c r="N2346">
        <v>1.3509405977</v>
      </c>
      <c r="O2346">
        <v>1.3936884389999999</v>
      </c>
      <c r="P2346">
        <v>1.3277620960000001</v>
      </c>
      <c r="Q2346">
        <v>1.1329146002999999</v>
      </c>
      <c r="R2346">
        <v>1.2846392662999999</v>
      </c>
      <c r="S2346">
        <v>2.1673420911000001</v>
      </c>
      <c r="T2346">
        <v>2.1452042528000002</v>
      </c>
      <c r="U2346">
        <v>2.1805178486000001</v>
      </c>
      <c r="V2346">
        <v>1.9581536464</v>
      </c>
      <c r="W2346">
        <v>1.9385207805</v>
      </c>
      <c r="X2346">
        <v>1.8064870928000001</v>
      </c>
      <c r="Y2346">
        <v>1.710363949</v>
      </c>
      <c r="Z2346">
        <v>1.7151445103</v>
      </c>
      <c r="AA2346">
        <v>1.9341234767</v>
      </c>
      <c r="AB2346">
        <v>2.1092194119999998</v>
      </c>
    </row>
    <row r="2347" spans="1:28" hidden="1" x14ac:dyDescent="0.25">
      <c r="A2347" t="s">
        <v>500</v>
      </c>
      <c r="B2347" t="s">
        <v>506</v>
      </c>
      <c r="C2347">
        <v>115</v>
      </c>
      <c r="D2347" t="s">
        <v>4</v>
      </c>
      <c r="E2347">
        <v>0.185134455</v>
      </c>
      <c r="F2347">
        <v>0.17205591000000001</v>
      </c>
      <c r="G2347">
        <v>0.15928435499999999</v>
      </c>
      <c r="H2347">
        <v>0.14866568999999999</v>
      </c>
      <c r="I2347">
        <v>0.14340417</v>
      </c>
      <c r="J2347">
        <v>0.138313665</v>
      </c>
      <c r="K2347">
        <v>0.12305103000000001</v>
      </c>
      <c r="L2347">
        <v>0.12364374</v>
      </c>
      <c r="M2347">
        <v>0.13102209000000001</v>
      </c>
      <c r="N2347">
        <v>0.138194235</v>
      </c>
      <c r="O2347">
        <v>0.147456315</v>
      </c>
      <c r="P2347">
        <v>0.15691685999999999</v>
      </c>
      <c r="Q2347">
        <v>0.15548134499999999</v>
      </c>
      <c r="R2347">
        <v>0.16943034000000001</v>
      </c>
      <c r="S2347">
        <v>0.19169914499999999</v>
      </c>
      <c r="T2347">
        <v>0.20140957500000001</v>
      </c>
      <c r="U2347">
        <v>0.20003251499999999</v>
      </c>
      <c r="V2347">
        <v>0.18312529499999999</v>
      </c>
      <c r="W2347">
        <v>0.18494986499999999</v>
      </c>
      <c r="X2347">
        <v>0.184794285</v>
      </c>
      <c r="Y2347">
        <v>0.18467371499999999</v>
      </c>
      <c r="Z2347">
        <v>0.19228267499999999</v>
      </c>
      <c r="AA2347">
        <v>0.19693448999999999</v>
      </c>
      <c r="AB2347">
        <v>0.19648359000000001</v>
      </c>
    </row>
    <row r="2348" spans="1:28" hidden="1" x14ac:dyDescent="0.25">
      <c r="A2348" t="s">
        <v>500</v>
      </c>
      <c r="B2348" t="s">
        <v>507</v>
      </c>
      <c r="C2348">
        <v>115</v>
      </c>
      <c r="D2348" t="s">
        <v>2</v>
      </c>
      <c r="E2348">
        <v>6.0667785099999998</v>
      </c>
      <c r="F2348">
        <v>5.9105486450000004</v>
      </c>
      <c r="G2348">
        <v>5.7937187799999998</v>
      </c>
      <c r="H2348">
        <v>5.6705405899999999</v>
      </c>
      <c r="I2348">
        <v>5.7011721199999998</v>
      </c>
      <c r="J2348">
        <v>5.9054995349999997</v>
      </c>
      <c r="K2348">
        <v>5.9255905799999997</v>
      </c>
      <c r="L2348">
        <v>6.2516117900000001</v>
      </c>
      <c r="M2348">
        <v>6.5167097649999999</v>
      </c>
      <c r="N2348">
        <v>6.5970709899999997</v>
      </c>
      <c r="O2348">
        <v>7.1286863250000003</v>
      </c>
      <c r="P2348">
        <v>7.1362205899999998</v>
      </c>
      <c r="Q2348">
        <v>6.8596798699999999</v>
      </c>
      <c r="R2348">
        <v>7.2743264549999997</v>
      </c>
      <c r="S2348">
        <v>7.4825820500000004</v>
      </c>
      <c r="T2348">
        <v>7.4246847349999996</v>
      </c>
      <c r="U2348">
        <v>7.2492109249999999</v>
      </c>
      <c r="V2348">
        <v>6.9306333599999999</v>
      </c>
      <c r="W2348">
        <v>7.4558855949999998</v>
      </c>
      <c r="X2348">
        <v>7.6681491550000001</v>
      </c>
      <c r="Y2348">
        <v>7.7532009500000001</v>
      </c>
      <c r="Z2348">
        <v>7.44058362</v>
      </c>
      <c r="AA2348">
        <v>6.9497709250000002</v>
      </c>
      <c r="AB2348">
        <v>6.521351085</v>
      </c>
    </row>
    <row r="2349" spans="1:28" hidden="1" x14ac:dyDescent="0.25">
      <c r="A2349" t="s">
        <v>500</v>
      </c>
      <c r="B2349" t="s">
        <v>507</v>
      </c>
      <c r="C2349">
        <v>115</v>
      </c>
      <c r="D2349" t="s">
        <v>3</v>
      </c>
      <c r="E2349">
        <v>1.6312539906000001</v>
      </c>
      <c r="F2349">
        <v>1.5745471001</v>
      </c>
      <c r="G2349">
        <v>1.5069200362999999</v>
      </c>
      <c r="H2349">
        <v>1.4724752458999999</v>
      </c>
      <c r="I2349">
        <v>1.4707183058</v>
      </c>
      <c r="J2349">
        <v>1.513314799</v>
      </c>
      <c r="K2349">
        <v>1.5210053471</v>
      </c>
      <c r="L2349">
        <v>1.8761067944000001</v>
      </c>
      <c r="M2349">
        <v>2.1534793858999999</v>
      </c>
      <c r="N2349">
        <v>2.3348437977000001</v>
      </c>
      <c r="O2349">
        <v>2.5897316425999999</v>
      </c>
      <c r="P2349">
        <v>2.6441838180000001</v>
      </c>
      <c r="Q2349">
        <v>2.5417171849</v>
      </c>
      <c r="R2349">
        <v>2.6135969579</v>
      </c>
      <c r="S2349">
        <v>2.6859218586</v>
      </c>
      <c r="T2349">
        <v>2.6502269866999999</v>
      </c>
      <c r="U2349">
        <v>2.6383198701000001</v>
      </c>
      <c r="V2349">
        <v>2.4411926362999998</v>
      </c>
      <c r="W2349">
        <v>2.5291242568999999</v>
      </c>
      <c r="X2349">
        <v>2.2395135932999999</v>
      </c>
      <c r="Y2349">
        <v>2.0879042397999998</v>
      </c>
      <c r="Z2349">
        <v>1.9944940106</v>
      </c>
      <c r="AA2349">
        <v>1.8134915738999999</v>
      </c>
      <c r="AB2349">
        <v>1.7399739423</v>
      </c>
    </row>
    <row r="2350" spans="1:28" hidden="1" x14ac:dyDescent="0.25">
      <c r="A2350" t="s">
        <v>500</v>
      </c>
      <c r="B2350" t="s">
        <v>507</v>
      </c>
      <c r="C2350">
        <v>115</v>
      </c>
      <c r="D2350" t="s">
        <v>4</v>
      </c>
      <c r="E2350">
        <v>9.2387490000000003E-2</v>
      </c>
      <c r="F2350">
        <v>9.0008354999999998E-2</v>
      </c>
      <c r="G2350">
        <v>8.8229219999999997E-2</v>
      </c>
      <c r="H2350">
        <v>8.6353410000000005E-2</v>
      </c>
      <c r="I2350">
        <v>8.6819880000000002E-2</v>
      </c>
      <c r="J2350">
        <v>8.9931465000000002E-2</v>
      </c>
      <c r="K2350">
        <v>9.0237419999999999E-2</v>
      </c>
      <c r="L2350">
        <v>9.5202209900000001E-2</v>
      </c>
      <c r="M2350">
        <v>9.9239234999999995E-2</v>
      </c>
      <c r="N2350">
        <v>0.10046301000000001</v>
      </c>
      <c r="O2350">
        <v>0.10855867499999999</v>
      </c>
      <c r="P2350">
        <v>0.10867341</v>
      </c>
      <c r="Q2350">
        <v>0.10446213</v>
      </c>
      <c r="R2350">
        <v>0.110776545</v>
      </c>
      <c r="S2350">
        <v>0.11394795000000001</v>
      </c>
      <c r="T2350">
        <v>0.113066265</v>
      </c>
      <c r="U2350">
        <v>0.11039407499999999</v>
      </c>
      <c r="V2350">
        <v>0.10554263999999999</v>
      </c>
      <c r="W2350">
        <v>0.113541405</v>
      </c>
      <c r="X2350">
        <v>0.116773845</v>
      </c>
      <c r="Y2350">
        <v>0.11806904999999999</v>
      </c>
      <c r="Z2350">
        <v>0.11330838</v>
      </c>
      <c r="AA2350">
        <v>0.105834075</v>
      </c>
      <c r="AB2350">
        <v>9.9309914999999999E-2</v>
      </c>
    </row>
    <row r="2351" spans="1:28" hidden="1" x14ac:dyDescent="0.25">
      <c r="A2351" t="s">
        <v>500</v>
      </c>
      <c r="B2351" t="s">
        <v>508</v>
      </c>
      <c r="C2351">
        <v>115</v>
      </c>
      <c r="D2351" t="s">
        <v>2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</row>
    <row r="2352" spans="1:28" hidden="1" x14ac:dyDescent="0.25">
      <c r="A2352" t="s">
        <v>500</v>
      </c>
      <c r="B2352" t="s">
        <v>508</v>
      </c>
      <c r="C2352">
        <v>115</v>
      </c>
      <c r="D2352" t="s">
        <v>3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</row>
    <row r="2353" spans="1:28" hidden="1" x14ac:dyDescent="0.25">
      <c r="A2353" t="s">
        <v>500</v>
      </c>
      <c r="B2353" t="s">
        <v>508</v>
      </c>
      <c r="C2353">
        <v>115</v>
      </c>
      <c r="D2353" t="s">
        <v>4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0</v>
      </c>
      <c r="AA2353">
        <v>0</v>
      </c>
      <c r="AB2353">
        <v>0</v>
      </c>
    </row>
    <row r="2354" spans="1:28" hidden="1" x14ac:dyDescent="0.25">
      <c r="A2354" t="s">
        <v>500</v>
      </c>
      <c r="B2354" t="s">
        <v>509</v>
      </c>
      <c r="C2354">
        <v>14</v>
      </c>
      <c r="D2354" t="s">
        <v>2</v>
      </c>
      <c r="E2354">
        <v>7.14325425</v>
      </c>
      <c r="F2354">
        <v>6.6845001999999996</v>
      </c>
      <c r="G2354">
        <v>6.3715122500000003</v>
      </c>
      <c r="H2354">
        <v>6.1648758499999996</v>
      </c>
      <c r="I2354">
        <v>6.2085891499999999</v>
      </c>
      <c r="J2354">
        <v>6.5100935</v>
      </c>
      <c r="K2354">
        <v>7.1088804000000003</v>
      </c>
      <c r="L2354">
        <v>8.6575437999999991</v>
      </c>
      <c r="M2354">
        <v>10.251981049999999</v>
      </c>
      <c r="N2354">
        <v>11.554205899999999</v>
      </c>
      <c r="O2354">
        <v>12.7436667</v>
      </c>
      <c r="P2354">
        <v>13.470895499999999</v>
      </c>
      <c r="Q2354">
        <v>13.0706928</v>
      </c>
      <c r="R2354">
        <v>13.3993149</v>
      </c>
      <c r="S2354">
        <v>13.42786905</v>
      </c>
      <c r="T2354">
        <v>13.70376235</v>
      </c>
      <c r="U2354">
        <v>13.4451163</v>
      </c>
      <c r="V2354">
        <v>12.934011549999999</v>
      </c>
      <c r="W2354">
        <v>13.24605805</v>
      </c>
      <c r="X2354">
        <v>12.4827815</v>
      </c>
      <c r="Y2354">
        <v>11.4868623</v>
      </c>
      <c r="Z2354">
        <v>10.4770997</v>
      </c>
      <c r="AA2354">
        <v>9.1262319999999999</v>
      </c>
      <c r="AB2354">
        <v>8.0988003499999994</v>
      </c>
    </row>
    <row r="2355" spans="1:28" hidden="1" x14ac:dyDescent="0.25">
      <c r="A2355" t="s">
        <v>500</v>
      </c>
      <c r="B2355" t="s">
        <v>509</v>
      </c>
      <c r="C2355">
        <v>14</v>
      </c>
      <c r="D2355" t="s">
        <v>3</v>
      </c>
      <c r="E2355">
        <v>1.3817793128</v>
      </c>
      <c r="F2355">
        <v>1.3291053659000001</v>
      </c>
      <c r="G2355">
        <v>1.2428969461999999</v>
      </c>
      <c r="H2355">
        <v>1.1653053762000001</v>
      </c>
      <c r="I2355">
        <v>1.1804743259999999</v>
      </c>
      <c r="J2355">
        <v>1.1974873551</v>
      </c>
      <c r="K2355">
        <v>1.2994822001999999</v>
      </c>
      <c r="L2355">
        <v>1.8292041602</v>
      </c>
      <c r="M2355">
        <v>2.4365581080999998</v>
      </c>
      <c r="N2355">
        <v>2.7932274957000001</v>
      </c>
      <c r="O2355">
        <v>3.1659065553999999</v>
      </c>
      <c r="P2355">
        <v>3.4054661342000001</v>
      </c>
      <c r="Q2355">
        <v>3.4272563678000001</v>
      </c>
      <c r="R2355">
        <v>3.4680176231000002</v>
      </c>
      <c r="S2355">
        <v>3.4120388193000002</v>
      </c>
      <c r="T2355">
        <v>3.3374970232000001</v>
      </c>
      <c r="U2355">
        <v>3.244293887</v>
      </c>
      <c r="V2355">
        <v>3.1034184104999998</v>
      </c>
      <c r="W2355">
        <v>3.1177672599999999</v>
      </c>
      <c r="X2355">
        <v>2.4753384823000002</v>
      </c>
      <c r="Y2355">
        <v>2.1390423261999998</v>
      </c>
      <c r="Z2355">
        <v>1.8909593173000001</v>
      </c>
      <c r="AA2355">
        <v>1.6258002464000001</v>
      </c>
      <c r="AB2355">
        <v>1.4617119641</v>
      </c>
    </row>
    <row r="2356" spans="1:28" hidden="1" x14ac:dyDescent="0.25">
      <c r="A2356" t="s">
        <v>500</v>
      </c>
      <c r="B2356" t="s">
        <v>509</v>
      </c>
      <c r="C2356">
        <v>14</v>
      </c>
      <c r="D2356" t="s">
        <v>4</v>
      </c>
      <c r="E2356">
        <v>0.37596075000000001</v>
      </c>
      <c r="F2356">
        <v>0.35181580000000001</v>
      </c>
      <c r="G2356">
        <v>0.33534275000000002</v>
      </c>
      <c r="H2356">
        <v>0.32446714999999998</v>
      </c>
      <c r="I2356">
        <v>0.32676785000000003</v>
      </c>
      <c r="J2356">
        <v>0.34263650000000001</v>
      </c>
      <c r="K2356">
        <v>0.37415159999999997</v>
      </c>
      <c r="L2356">
        <v>0.45566020000000002</v>
      </c>
      <c r="M2356">
        <v>0.53957794999999997</v>
      </c>
      <c r="N2356">
        <v>0.60811610000000005</v>
      </c>
      <c r="O2356">
        <v>0.67071930000000002</v>
      </c>
      <c r="P2356">
        <v>0.70899449999999997</v>
      </c>
      <c r="Q2356">
        <v>0.68793119999999996</v>
      </c>
      <c r="R2356">
        <v>0.7052271</v>
      </c>
      <c r="S2356">
        <v>0.70672995000000005</v>
      </c>
      <c r="T2356">
        <v>0.72125064999999999</v>
      </c>
      <c r="U2356">
        <v>0.70763770000000004</v>
      </c>
      <c r="V2356">
        <v>0.68073744999999997</v>
      </c>
      <c r="W2356">
        <v>0.69716095</v>
      </c>
      <c r="X2356">
        <v>0.65698849999999998</v>
      </c>
      <c r="Y2356">
        <v>0.60457170000000005</v>
      </c>
      <c r="Z2356">
        <v>0.55142630000000004</v>
      </c>
      <c r="AA2356">
        <v>0.48032799999999998</v>
      </c>
      <c r="AB2356">
        <v>0.42625265000000001</v>
      </c>
    </row>
    <row r="2357" spans="1:28" hidden="1" x14ac:dyDescent="0.25">
      <c r="A2357" t="s">
        <v>500</v>
      </c>
      <c r="B2357" t="s">
        <v>510</v>
      </c>
      <c r="C2357">
        <v>14</v>
      </c>
      <c r="D2357" t="s">
        <v>2</v>
      </c>
      <c r="E2357">
        <v>7.1745596000000003</v>
      </c>
      <c r="F2357">
        <v>6.6763681999999998</v>
      </c>
      <c r="G2357">
        <v>6.3819964499999999</v>
      </c>
      <c r="H2357">
        <v>6.1623089499999999</v>
      </c>
      <c r="I2357">
        <v>6.2189546</v>
      </c>
      <c r="J2357">
        <v>6.5208446499999999</v>
      </c>
      <c r="K2357">
        <v>7.0977074499999997</v>
      </c>
      <c r="L2357">
        <v>8.6072451000000001</v>
      </c>
      <c r="M2357">
        <v>10.161747200000001</v>
      </c>
      <c r="N2357">
        <v>11.46299735</v>
      </c>
      <c r="O2357">
        <v>12.7126796</v>
      </c>
      <c r="P2357">
        <v>13.339608350000001</v>
      </c>
      <c r="Q2357">
        <v>13.016967449999999</v>
      </c>
      <c r="R2357">
        <v>13.35158785</v>
      </c>
      <c r="S2357">
        <v>13.38648895</v>
      </c>
      <c r="T2357">
        <v>13.666184149999999</v>
      </c>
      <c r="U2357">
        <v>13.2643693</v>
      </c>
      <c r="V2357">
        <v>12.89811675</v>
      </c>
      <c r="W2357">
        <v>13.212650350000001</v>
      </c>
      <c r="X2357">
        <v>12.45804635</v>
      </c>
      <c r="Y2357">
        <v>11.467132700000001</v>
      </c>
      <c r="Z2357">
        <v>10.46590965</v>
      </c>
      <c r="AA2357">
        <v>9.1535767999999997</v>
      </c>
      <c r="AB2357">
        <v>8.0799219499999992</v>
      </c>
    </row>
    <row r="2358" spans="1:28" hidden="1" x14ac:dyDescent="0.25">
      <c r="A2358" t="s">
        <v>500</v>
      </c>
      <c r="B2358" t="s">
        <v>510</v>
      </c>
      <c r="C2358">
        <v>14</v>
      </c>
      <c r="D2358" t="s">
        <v>3</v>
      </c>
      <c r="E2358">
        <v>1.3878349681</v>
      </c>
      <c r="F2358">
        <v>1.3310430737000001</v>
      </c>
      <c r="G2358">
        <v>1.2621372631000001</v>
      </c>
      <c r="H2358">
        <v>1.1613792617000001</v>
      </c>
      <c r="I2358">
        <v>1.1685731864</v>
      </c>
      <c r="J2358">
        <v>1.1844745122</v>
      </c>
      <c r="K2358">
        <v>1.2768973926</v>
      </c>
      <c r="L2358">
        <v>1.8011052438999999</v>
      </c>
      <c r="M2358">
        <v>2.3062483488000001</v>
      </c>
      <c r="N2358">
        <v>2.7452596997000001</v>
      </c>
      <c r="O2358">
        <v>3.1357497018</v>
      </c>
      <c r="P2358">
        <v>3.3432209912999999</v>
      </c>
      <c r="Q2358">
        <v>3.2963588450999999</v>
      </c>
      <c r="R2358">
        <v>3.5177550354</v>
      </c>
      <c r="S2358">
        <v>3.3841280094999999</v>
      </c>
      <c r="T2358">
        <v>3.3160903811</v>
      </c>
      <c r="U2358">
        <v>3.3011014533999998</v>
      </c>
      <c r="V2358">
        <v>3.1239230305999999</v>
      </c>
      <c r="W2358">
        <v>3.1281182206000002</v>
      </c>
      <c r="X2358">
        <v>2.4704334964000001</v>
      </c>
      <c r="Y2358">
        <v>2.1158449175</v>
      </c>
      <c r="Z2358">
        <v>1.8767351515999999</v>
      </c>
      <c r="AA2358">
        <v>1.6306716086999999</v>
      </c>
      <c r="AB2358">
        <v>1.5585475674</v>
      </c>
    </row>
    <row r="2359" spans="1:28" hidden="1" x14ac:dyDescent="0.25">
      <c r="A2359" t="s">
        <v>500</v>
      </c>
      <c r="B2359" t="s">
        <v>510</v>
      </c>
      <c r="C2359">
        <v>14</v>
      </c>
      <c r="D2359" t="s">
        <v>4</v>
      </c>
      <c r="E2359">
        <v>0.37760840000000001</v>
      </c>
      <c r="F2359">
        <v>0.35138779999999997</v>
      </c>
      <c r="G2359">
        <v>0.33589455000000001</v>
      </c>
      <c r="H2359">
        <v>0.32433204999999998</v>
      </c>
      <c r="I2359">
        <v>0.32731339999999998</v>
      </c>
      <c r="J2359">
        <v>0.34320234999999999</v>
      </c>
      <c r="K2359">
        <v>0.37356355000000002</v>
      </c>
      <c r="L2359">
        <v>0.4530129</v>
      </c>
      <c r="M2359">
        <v>0.53482879999999999</v>
      </c>
      <c r="N2359">
        <v>0.60331564999999998</v>
      </c>
      <c r="O2359">
        <v>0.66908840000000003</v>
      </c>
      <c r="P2359">
        <v>0.70208464999999998</v>
      </c>
      <c r="Q2359">
        <v>0.68510355000000001</v>
      </c>
      <c r="R2359">
        <v>0.70271514999999996</v>
      </c>
      <c r="S2359">
        <v>0.70455204999999999</v>
      </c>
      <c r="T2359">
        <v>0.71927284999999996</v>
      </c>
      <c r="U2359">
        <v>0.69812470000000004</v>
      </c>
      <c r="V2359">
        <v>0.67884825000000004</v>
      </c>
      <c r="W2359">
        <v>0.69540265000000001</v>
      </c>
      <c r="X2359">
        <v>0.65568665000000004</v>
      </c>
      <c r="Y2359">
        <v>0.60353330000000005</v>
      </c>
      <c r="Z2359">
        <v>0.55083735</v>
      </c>
      <c r="AA2359">
        <v>0.48176720000000001</v>
      </c>
      <c r="AB2359">
        <v>0.42525905000000003</v>
      </c>
    </row>
    <row r="2360" spans="1:28" hidden="1" x14ac:dyDescent="0.25">
      <c r="A2360" t="s">
        <v>500</v>
      </c>
      <c r="B2360" t="s">
        <v>511</v>
      </c>
      <c r="C2360">
        <v>115</v>
      </c>
      <c r="D2360" t="s">
        <v>2</v>
      </c>
      <c r="E2360">
        <v>12.496500955</v>
      </c>
      <c r="F2360">
        <v>12.023454705000001</v>
      </c>
      <c r="G2360">
        <v>11.715159555</v>
      </c>
      <c r="H2360">
        <v>11.31648523</v>
      </c>
      <c r="I2360">
        <v>11.719227105</v>
      </c>
      <c r="J2360">
        <v>12.180733095000001</v>
      </c>
      <c r="K2360">
        <v>13.005010645</v>
      </c>
      <c r="L2360">
        <v>15.127074459999999</v>
      </c>
      <c r="M2360">
        <v>17.311921675000001</v>
      </c>
      <c r="N2360">
        <v>18.595871145</v>
      </c>
      <c r="O2360">
        <v>19.639028499999998</v>
      </c>
      <c r="P2360">
        <v>20.134041235000002</v>
      </c>
      <c r="Q2360">
        <v>19.385360465000002</v>
      </c>
      <c r="R2360">
        <v>20.128111534999999</v>
      </c>
      <c r="S2360">
        <v>20.86885419</v>
      </c>
      <c r="T2360">
        <v>20.823751040000001</v>
      </c>
      <c r="U2360">
        <v>20.5039373</v>
      </c>
      <c r="V2360">
        <v>19.712607015</v>
      </c>
      <c r="W2360">
        <v>20.202766655000001</v>
      </c>
      <c r="X2360">
        <v>19.324248109999999</v>
      </c>
      <c r="Y2360">
        <v>18.161720575</v>
      </c>
      <c r="Z2360">
        <v>16.86506559</v>
      </c>
      <c r="AA2360">
        <v>15.302962955</v>
      </c>
      <c r="AB2360">
        <v>13.900688389999999</v>
      </c>
    </row>
    <row r="2361" spans="1:28" hidden="1" x14ac:dyDescent="0.25">
      <c r="A2361" t="s">
        <v>500</v>
      </c>
      <c r="B2361" t="s">
        <v>511</v>
      </c>
      <c r="C2361">
        <v>115</v>
      </c>
      <c r="D2361" t="s">
        <v>3</v>
      </c>
      <c r="E2361">
        <v>3.4671197257999999</v>
      </c>
      <c r="F2361">
        <v>3.5485860166999998</v>
      </c>
      <c r="G2361">
        <v>3.3158921064000002</v>
      </c>
      <c r="H2361">
        <v>3.1260280205000002</v>
      </c>
      <c r="I2361">
        <v>2.9062407488000002</v>
      </c>
      <c r="J2361">
        <v>3.1056560408</v>
      </c>
      <c r="K2361">
        <v>3.5977145537999999</v>
      </c>
      <c r="L2361">
        <v>4.5796552153999999</v>
      </c>
      <c r="M2361">
        <v>5.7757058459000001</v>
      </c>
      <c r="N2361">
        <v>6.6252799639999997</v>
      </c>
      <c r="O2361">
        <v>7.2639851204000001</v>
      </c>
      <c r="P2361">
        <v>7.9384685229</v>
      </c>
      <c r="Q2361">
        <v>7.4401278132000002</v>
      </c>
      <c r="R2361">
        <v>7.2586931190000001</v>
      </c>
      <c r="S2361">
        <v>7.3506836288999997</v>
      </c>
      <c r="T2361">
        <v>7.1285119043999998</v>
      </c>
      <c r="U2361">
        <v>7.3531696210000002</v>
      </c>
      <c r="V2361">
        <v>6.3097558214999996</v>
      </c>
      <c r="W2361">
        <v>5.8767995059000002</v>
      </c>
      <c r="X2361">
        <v>5.3614593437</v>
      </c>
      <c r="Y2361">
        <v>5.0389192852000004</v>
      </c>
      <c r="Z2361">
        <v>5.1816513853000004</v>
      </c>
      <c r="AA2361">
        <v>4.4097445829000002</v>
      </c>
      <c r="AB2361">
        <v>4.2240615174</v>
      </c>
    </row>
    <row r="2362" spans="1:28" hidden="1" x14ac:dyDescent="0.25">
      <c r="A2362" t="s">
        <v>500</v>
      </c>
      <c r="B2362" t="s">
        <v>511</v>
      </c>
      <c r="C2362">
        <v>115</v>
      </c>
      <c r="D2362" t="s">
        <v>4</v>
      </c>
      <c r="E2362">
        <v>0.190302045</v>
      </c>
      <c r="F2362">
        <v>0.18309829499999999</v>
      </c>
      <c r="G2362">
        <v>0.17840344499999999</v>
      </c>
      <c r="H2362">
        <v>0.17233226230000001</v>
      </c>
      <c r="I2362">
        <v>0.1784653873</v>
      </c>
      <c r="J2362">
        <v>0.1854933973</v>
      </c>
      <c r="K2362">
        <v>0.19804584729999999</v>
      </c>
      <c r="L2362">
        <v>0.23036154</v>
      </c>
      <c r="M2362">
        <v>0.26363332499999997</v>
      </c>
      <c r="N2362">
        <v>0.28318585499999999</v>
      </c>
      <c r="O2362">
        <v>0.29907149999999999</v>
      </c>
      <c r="P2362">
        <v>0.30660976499999998</v>
      </c>
      <c r="Q2362">
        <v>0.29520853499999999</v>
      </c>
      <c r="R2362">
        <v>0.30651946499999999</v>
      </c>
      <c r="S2362">
        <v>0.31779981000000002</v>
      </c>
      <c r="T2362">
        <v>0.31711296</v>
      </c>
      <c r="U2362">
        <v>0.31224269999999998</v>
      </c>
      <c r="V2362">
        <v>0.30019198499999999</v>
      </c>
      <c r="W2362">
        <v>0.307656345</v>
      </c>
      <c r="X2362">
        <v>0.29427788999999999</v>
      </c>
      <c r="Y2362">
        <v>0.27657442500000001</v>
      </c>
      <c r="Z2362">
        <v>0.25682841000000001</v>
      </c>
      <c r="AA2362">
        <v>0.233040045</v>
      </c>
      <c r="AB2362">
        <v>0.21168561</v>
      </c>
    </row>
    <row r="2363" spans="1:28" hidden="1" x14ac:dyDescent="0.25">
      <c r="A2363" t="s">
        <v>500</v>
      </c>
      <c r="B2363" t="s">
        <v>512</v>
      </c>
      <c r="C2363">
        <v>115</v>
      </c>
      <c r="D2363" t="s">
        <v>2</v>
      </c>
      <c r="E2363">
        <v>4.7625390249999997</v>
      </c>
      <c r="F2363">
        <v>4.7554194450000002</v>
      </c>
      <c r="G2363">
        <v>4.7474793599999998</v>
      </c>
      <c r="H2363">
        <v>4.6083126500000002</v>
      </c>
      <c r="I2363">
        <v>4.5458922150000003</v>
      </c>
      <c r="J2363">
        <v>4.5594142949999998</v>
      </c>
      <c r="K2363">
        <v>4.6165157299999997</v>
      </c>
      <c r="L2363">
        <v>5.0162829049999997</v>
      </c>
      <c r="M2363">
        <v>5.6171082800000001</v>
      </c>
      <c r="N2363">
        <v>6.1015342349999999</v>
      </c>
      <c r="O2363">
        <v>6.3856959</v>
      </c>
      <c r="P2363">
        <v>6.3813481100000002</v>
      </c>
      <c r="Q2363">
        <v>6.2787554349999999</v>
      </c>
      <c r="R2363">
        <v>6.42070674</v>
      </c>
      <c r="S2363">
        <v>6.7188780599999998</v>
      </c>
      <c r="T2363">
        <v>6.6584049700000003</v>
      </c>
      <c r="U2363">
        <v>6.5208822250000003</v>
      </c>
      <c r="V2363">
        <v>6.1780224400000003</v>
      </c>
      <c r="W2363">
        <v>6.3604513349999996</v>
      </c>
      <c r="X2363">
        <v>6.5354513599999997</v>
      </c>
      <c r="Y2363">
        <v>6.3907656949999998</v>
      </c>
      <c r="Z2363">
        <v>6.2301358349999996</v>
      </c>
      <c r="AA2363">
        <v>5.6349495850000002</v>
      </c>
      <c r="AB2363">
        <v>5.2686251300000002</v>
      </c>
    </row>
    <row r="2364" spans="1:28" hidden="1" x14ac:dyDescent="0.25">
      <c r="A2364" t="s">
        <v>500</v>
      </c>
      <c r="B2364" t="s">
        <v>512</v>
      </c>
      <c r="C2364">
        <v>115</v>
      </c>
      <c r="D2364" t="s">
        <v>3</v>
      </c>
      <c r="E2364">
        <v>0.87331114200000004</v>
      </c>
      <c r="F2364">
        <v>0.83590030000000004</v>
      </c>
      <c r="G2364">
        <v>0.81160210560000001</v>
      </c>
      <c r="H2364">
        <v>0.75626993590000002</v>
      </c>
      <c r="I2364">
        <v>0.74313828820000005</v>
      </c>
      <c r="J2364">
        <v>0.77386362600000003</v>
      </c>
      <c r="K2364">
        <v>0.76635218289999996</v>
      </c>
      <c r="L2364">
        <v>1.1690968294999999</v>
      </c>
      <c r="M2364">
        <v>1.5425478517</v>
      </c>
      <c r="N2364">
        <v>1.8426108704999999</v>
      </c>
      <c r="O2364">
        <v>2.0277687431999998</v>
      </c>
      <c r="P2364">
        <v>2.1132568076</v>
      </c>
      <c r="Q2364">
        <v>2.1079552058000002</v>
      </c>
      <c r="R2364">
        <v>2.0921007059000001</v>
      </c>
      <c r="S2364">
        <v>2.2274044711999998</v>
      </c>
      <c r="T2364">
        <v>2.1814154321000001</v>
      </c>
      <c r="U2364">
        <v>2.2142228226</v>
      </c>
      <c r="V2364">
        <v>2.0654840581</v>
      </c>
      <c r="W2364">
        <v>1.9111804786</v>
      </c>
      <c r="X2364">
        <v>1.565167529</v>
      </c>
      <c r="Y2364">
        <v>1.4259430096000001</v>
      </c>
      <c r="Z2364">
        <v>1.3536512284</v>
      </c>
      <c r="AA2364">
        <v>1.1053101516999999</v>
      </c>
      <c r="AB2364">
        <v>1.0334546482</v>
      </c>
    </row>
    <row r="2365" spans="1:28" hidden="1" x14ac:dyDescent="0.25">
      <c r="A2365" t="s">
        <v>500</v>
      </c>
      <c r="B2365" t="s">
        <v>512</v>
      </c>
      <c r="C2365">
        <v>115</v>
      </c>
      <c r="D2365" t="s">
        <v>4</v>
      </c>
      <c r="E2365">
        <v>7.2525975000000006E-2</v>
      </c>
      <c r="F2365">
        <v>7.2417554999999995E-2</v>
      </c>
      <c r="G2365">
        <v>7.2296639999999995E-2</v>
      </c>
      <c r="H2365">
        <v>7.0177349999999999E-2</v>
      </c>
      <c r="I2365">
        <v>6.9226784999999999E-2</v>
      </c>
      <c r="J2365">
        <v>6.9432704999999997E-2</v>
      </c>
      <c r="K2365">
        <v>7.030227E-2</v>
      </c>
      <c r="L2365">
        <v>7.6390095000000005E-2</v>
      </c>
      <c r="M2365">
        <v>8.553972E-2</v>
      </c>
      <c r="N2365">
        <v>9.2916764999999998E-2</v>
      </c>
      <c r="O2365">
        <v>9.72441E-2</v>
      </c>
      <c r="P2365">
        <v>9.7177890000000003E-2</v>
      </c>
      <c r="Q2365">
        <v>9.5615565E-2</v>
      </c>
      <c r="R2365">
        <v>9.7777260000000005E-2</v>
      </c>
      <c r="S2365">
        <v>0.10231794</v>
      </c>
      <c r="T2365">
        <v>0.10139703</v>
      </c>
      <c r="U2365">
        <v>9.9302774999999996E-2</v>
      </c>
      <c r="V2365">
        <v>9.4081559999999995E-2</v>
      </c>
      <c r="W2365">
        <v>9.6859664999999998E-2</v>
      </c>
      <c r="X2365">
        <v>9.9524639999999998E-2</v>
      </c>
      <c r="Y2365">
        <v>9.7321304999999997E-2</v>
      </c>
      <c r="Z2365">
        <v>9.4875164999999997E-2</v>
      </c>
      <c r="AA2365">
        <v>8.5811415000000002E-2</v>
      </c>
      <c r="AB2365">
        <v>8.0232869999999998E-2</v>
      </c>
    </row>
    <row r="2366" spans="1:28" hidden="1" x14ac:dyDescent="0.25">
      <c r="A2366" t="s">
        <v>500</v>
      </c>
      <c r="B2366" t="s">
        <v>513</v>
      </c>
      <c r="C2366">
        <v>115</v>
      </c>
      <c r="D2366" t="s">
        <v>2</v>
      </c>
      <c r="E2366">
        <v>3.0156848649999999</v>
      </c>
      <c r="F2366">
        <v>2.9791640199999998</v>
      </c>
      <c r="G2366">
        <v>2.9158817099999998</v>
      </c>
      <c r="H2366">
        <v>2.9364347199999998</v>
      </c>
      <c r="I2366">
        <v>3.0655219250000001</v>
      </c>
      <c r="J2366">
        <v>3.3944784349999999</v>
      </c>
      <c r="K2366">
        <v>3.7534538049999999</v>
      </c>
      <c r="L2366">
        <v>4.1068984000000004</v>
      </c>
      <c r="M2366">
        <v>4.2641083399999999</v>
      </c>
      <c r="N2366">
        <v>4.0134701650000002</v>
      </c>
      <c r="O2366">
        <v>4.0081285099999997</v>
      </c>
      <c r="P2366">
        <v>4.0218584249999996</v>
      </c>
      <c r="Q2366">
        <v>3.9431224500000002</v>
      </c>
      <c r="R2366">
        <v>3.4515936599999999</v>
      </c>
      <c r="S2366">
        <v>3.8571339199999999</v>
      </c>
      <c r="T2366">
        <v>4.1431040450000003</v>
      </c>
      <c r="U2366">
        <v>4.3997851949999998</v>
      </c>
      <c r="V2366">
        <v>4.4743112800000002</v>
      </c>
      <c r="W2366">
        <v>4.8536859999999997</v>
      </c>
      <c r="X2366">
        <v>5.1206475950000003</v>
      </c>
      <c r="Y2366">
        <v>4.8360338150000004</v>
      </c>
      <c r="Z2366">
        <v>4.3081132149999997</v>
      </c>
      <c r="AA2366">
        <v>3.7105609949999998</v>
      </c>
      <c r="AB2366">
        <v>3.23946997</v>
      </c>
    </row>
    <row r="2367" spans="1:28" hidden="1" x14ac:dyDescent="0.25">
      <c r="A2367" t="s">
        <v>500</v>
      </c>
      <c r="B2367" t="s">
        <v>513</v>
      </c>
      <c r="C2367">
        <v>115</v>
      </c>
      <c r="D2367" t="s">
        <v>3</v>
      </c>
      <c r="E2367">
        <v>0.69013215920000004</v>
      </c>
      <c r="F2367">
        <v>0.63991374270000001</v>
      </c>
      <c r="G2367">
        <v>0.63784937269999997</v>
      </c>
      <c r="H2367">
        <v>0.6409040842</v>
      </c>
      <c r="I2367">
        <v>0.66303060589999996</v>
      </c>
      <c r="J2367">
        <v>0.70510373589999997</v>
      </c>
      <c r="K2367">
        <v>0.78159347980000005</v>
      </c>
      <c r="L2367">
        <v>1.1962530318</v>
      </c>
      <c r="M2367">
        <v>1.6269959886000001</v>
      </c>
      <c r="N2367">
        <v>1.8646590649000001</v>
      </c>
      <c r="O2367">
        <v>2.1742467904999998</v>
      </c>
      <c r="P2367">
        <v>2.2652703832999999</v>
      </c>
      <c r="Q2367">
        <v>2.1164690967999999</v>
      </c>
      <c r="R2367">
        <v>1.8413486842</v>
      </c>
      <c r="S2367">
        <v>2.0418845397999998</v>
      </c>
      <c r="T2367">
        <v>1.9854263168999999</v>
      </c>
      <c r="U2367">
        <v>1.9033602116999999</v>
      </c>
      <c r="V2367">
        <v>1.6855471697</v>
      </c>
      <c r="W2367">
        <v>1.4657714341000001</v>
      </c>
      <c r="X2367">
        <v>1.0947847629</v>
      </c>
      <c r="Y2367">
        <v>0.91142288169999996</v>
      </c>
      <c r="Z2367">
        <v>0.79735828279999998</v>
      </c>
      <c r="AA2367">
        <v>0.7137007688</v>
      </c>
      <c r="AB2367">
        <v>0.69904751669999998</v>
      </c>
    </row>
    <row r="2368" spans="1:28" hidden="1" x14ac:dyDescent="0.25">
      <c r="A2368" t="s">
        <v>500</v>
      </c>
      <c r="B2368" t="s">
        <v>513</v>
      </c>
      <c r="C2368">
        <v>115</v>
      </c>
      <c r="D2368" t="s">
        <v>4</v>
      </c>
      <c r="E2368">
        <v>4.5924134999999998E-2</v>
      </c>
      <c r="F2368">
        <v>4.5367980000000002E-2</v>
      </c>
      <c r="G2368">
        <v>4.4404289999999999E-2</v>
      </c>
      <c r="H2368">
        <v>4.4717279999999998E-2</v>
      </c>
      <c r="I2368">
        <v>4.6683074999999997E-2</v>
      </c>
      <c r="J2368">
        <v>5.1692565000000003E-2</v>
      </c>
      <c r="K2368">
        <v>5.7159195000000003E-2</v>
      </c>
      <c r="L2368">
        <v>6.2541600000000003E-2</v>
      </c>
      <c r="M2368">
        <v>6.4935660000000006E-2</v>
      </c>
      <c r="N2368">
        <v>6.1118835000000003E-2</v>
      </c>
      <c r="O2368">
        <v>6.103749E-2</v>
      </c>
      <c r="P2368">
        <v>6.1246574999999998E-2</v>
      </c>
      <c r="Q2368">
        <v>6.0047549999999998E-2</v>
      </c>
      <c r="R2368">
        <v>5.2562339999999999E-2</v>
      </c>
      <c r="S2368">
        <v>5.8738079999999998E-2</v>
      </c>
      <c r="T2368">
        <v>6.3092955000000006E-2</v>
      </c>
      <c r="U2368">
        <v>6.7001804999999998E-2</v>
      </c>
      <c r="V2368">
        <v>6.8136719999999998E-2</v>
      </c>
      <c r="W2368">
        <v>7.3913999999999994E-2</v>
      </c>
      <c r="X2368">
        <v>7.7979405000000002E-2</v>
      </c>
      <c r="Y2368">
        <v>7.3645185000000002E-2</v>
      </c>
      <c r="Z2368">
        <v>6.5605785E-2</v>
      </c>
      <c r="AA2368">
        <v>5.6506004999999998E-2</v>
      </c>
      <c r="AB2368">
        <v>4.9332029999999999E-2</v>
      </c>
    </row>
    <row r="2369" spans="1:28" hidden="1" x14ac:dyDescent="0.25">
      <c r="A2369" t="s">
        <v>500</v>
      </c>
      <c r="B2369" t="s">
        <v>514</v>
      </c>
      <c r="C2369">
        <v>115</v>
      </c>
      <c r="D2369" t="s">
        <v>2</v>
      </c>
      <c r="E2369">
        <v>4.31697329</v>
      </c>
      <c r="F2369">
        <v>4.1202392400000001</v>
      </c>
      <c r="G2369">
        <v>4.0110362300000002</v>
      </c>
      <c r="H2369">
        <v>4.1663825499999998</v>
      </c>
      <c r="I2369">
        <v>4.2342352600000002</v>
      </c>
      <c r="J2369">
        <v>4.52597059</v>
      </c>
      <c r="K2369">
        <v>5.2623654550000003</v>
      </c>
      <c r="L2369">
        <v>5.4465289349999999</v>
      </c>
      <c r="M2369">
        <v>5.53074742</v>
      </c>
      <c r="N2369">
        <v>5.5984316950000004</v>
      </c>
      <c r="O2369">
        <v>5.6828678650000004</v>
      </c>
      <c r="P2369">
        <v>5.7584764650000002</v>
      </c>
      <c r="Q2369">
        <v>5.6620213250000004</v>
      </c>
      <c r="R2369">
        <v>5.7114190750000002</v>
      </c>
      <c r="S2369">
        <v>5.9208507600000004</v>
      </c>
      <c r="T2369">
        <v>6.0220033649999998</v>
      </c>
      <c r="U2369">
        <v>6.0055154499999999</v>
      </c>
      <c r="V2369">
        <v>6.0415605399999999</v>
      </c>
      <c r="W2369">
        <v>6.5985888749999999</v>
      </c>
      <c r="X2369">
        <v>7.15950402</v>
      </c>
      <c r="Y2369">
        <v>6.9635609250000003</v>
      </c>
      <c r="Z2369">
        <v>6.20306508</v>
      </c>
      <c r="AA2369">
        <v>5.3301659600000004</v>
      </c>
      <c r="AB2369">
        <v>4.609639445</v>
      </c>
    </row>
    <row r="2370" spans="1:28" hidden="1" x14ac:dyDescent="0.25">
      <c r="A2370" t="s">
        <v>500</v>
      </c>
      <c r="B2370" t="s">
        <v>514</v>
      </c>
      <c r="C2370">
        <v>115</v>
      </c>
      <c r="D2370" t="s">
        <v>3</v>
      </c>
      <c r="E2370">
        <v>-1.2757627010000001</v>
      </c>
      <c r="F2370">
        <v>-1.2239341560000001</v>
      </c>
      <c r="G2370">
        <v>-1.2736989080000001</v>
      </c>
      <c r="H2370">
        <v>-1.3456211226000001</v>
      </c>
      <c r="I2370">
        <v>-1.4698395928000001</v>
      </c>
      <c r="J2370">
        <v>-1.4073573265999999</v>
      </c>
      <c r="K2370">
        <v>-1.5081674365</v>
      </c>
      <c r="L2370">
        <v>-1.3289169195999999</v>
      </c>
      <c r="M2370">
        <v>-1.0173433145999999</v>
      </c>
      <c r="N2370">
        <v>-0.77307919680000003</v>
      </c>
      <c r="O2370">
        <v>-0.53486694069999996</v>
      </c>
      <c r="P2370">
        <v>-0.42401899250000002</v>
      </c>
      <c r="Q2370">
        <v>-0.36752001719999999</v>
      </c>
      <c r="R2370">
        <v>-0.26811054179999999</v>
      </c>
      <c r="S2370">
        <v>-0.36550680629999999</v>
      </c>
      <c r="T2370">
        <v>-0.33021031080000002</v>
      </c>
      <c r="U2370">
        <v>-0.42545220810000001</v>
      </c>
      <c r="V2370">
        <v>-0.55546943140000005</v>
      </c>
      <c r="W2370">
        <v>-0.81819981580000001</v>
      </c>
      <c r="X2370">
        <v>-0.88182461690000002</v>
      </c>
      <c r="Y2370">
        <v>-1.2031485674</v>
      </c>
      <c r="Z2370">
        <v>-1.1862880202999999</v>
      </c>
      <c r="AA2370">
        <v>-1.2496595076999999</v>
      </c>
      <c r="AB2370">
        <v>-1.2470498528</v>
      </c>
    </row>
    <row r="2371" spans="1:28" hidden="1" x14ac:dyDescent="0.25">
      <c r="A2371" t="s">
        <v>500</v>
      </c>
      <c r="B2371" t="s">
        <v>514</v>
      </c>
      <c r="C2371">
        <v>115</v>
      </c>
      <c r="D2371" t="s">
        <v>4</v>
      </c>
      <c r="E2371">
        <v>6.5740709999999994E-2</v>
      </c>
      <c r="F2371">
        <v>6.2744759999999997E-2</v>
      </c>
      <c r="G2371">
        <v>6.1081770000000001E-2</v>
      </c>
      <c r="H2371">
        <v>6.3447450000000002E-2</v>
      </c>
      <c r="I2371">
        <v>6.4480739999999995E-2</v>
      </c>
      <c r="J2371">
        <v>6.8923410000000004E-2</v>
      </c>
      <c r="K2371">
        <v>8.0137545000000004E-2</v>
      </c>
      <c r="L2371">
        <v>8.2942064999999995E-2</v>
      </c>
      <c r="M2371">
        <v>8.4224579999999993E-2</v>
      </c>
      <c r="N2371">
        <v>8.5255305000000003E-2</v>
      </c>
      <c r="O2371">
        <v>8.6541135000000005E-2</v>
      </c>
      <c r="P2371">
        <v>8.7692535000000002E-2</v>
      </c>
      <c r="Q2371">
        <v>8.6223675E-2</v>
      </c>
      <c r="R2371">
        <v>8.6975924999999996E-2</v>
      </c>
      <c r="S2371">
        <v>9.0165239999999994E-2</v>
      </c>
      <c r="T2371">
        <v>9.1705634999999994E-2</v>
      </c>
      <c r="U2371">
        <v>9.1454549999999996E-2</v>
      </c>
      <c r="V2371">
        <v>9.2003459999999995E-2</v>
      </c>
      <c r="W2371">
        <v>0.100486125</v>
      </c>
      <c r="X2371">
        <v>0.10902798</v>
      </c>
      <c r="Y2371">
        <v>0.106044075</v>
      </c>
      <c r="Z2371">
        <v>9.4462920000000006E-2</v>
      </c>
      <c r="AA2371">
        <v>8.1170039999999999E-2</v>
      </c>
      <c r="AB2371">
        <v>7.0197554999999995E-2</v>
      </c>
    </row>
    <row r="2372" spans="1:28" hidden="1" x14ac:dyDescent="0.25">
      <c r="A2372" t="s">
        <v>500</v>
      </c>
      <c r="B2372" t="s">
        <v>515</v>
      </c>
      <c r="C2372">
        <v>34</v>
      </c>
      <c r="D2372" t="s">
        <v>2</v>
      </c>
      <c r="E2372">
        <v>31.452727240000002</v>
      </c>
      <c r="F2372">
        <v>30.4284441</v>
      </c>
      <c r="G2372">
        <v>29.889592610000001</v>
      </c>
      <c r="H2372">
        <v>29.811168110000001</v>
      </c>
      <c r="I2372">
        <v>30.77310353</v>
      </c>
      <c r="J2372">
        <v>32.656653409999997</v>
      </c>
      <c r="K2372">
        <v>34.253468380000001</v>
      </c>
      <c r="L2372">
        <v>40.21566747</v>
      </c>
      <c r="M2372">
        <v>45.450290899999999</v>
      </c>
      <c r="N2372">
        <v>47.912481669999998</v>
      </c>
      <c r="O2372">
        <v>51.252862909999997</v>
      </c>
      <c r="P2372">
        <v>52.820342170000004</v>
      </c>
      <c r="Q2372">
        <v>50.797357699999999</v>
      </c>
      <c r="R2372">
        <v>51.627104430000003</v>
      </c>
      <c r="S2372">
        <v>52.69587662</v>
      </c>
      <c r="T2372">
        <v>52.029731060000003</v>
      </c>
      <c r="U2372">
        <v>51.435553679999998</v>
      </c>
      <c r="V2372">
        <v>49.298657259999999</v>
      </c>
      <c r="W2372">
        <v>50.560697099999999</v>
      </c>
      <c r="X2372">
        <v>48.195789570000002</v>
      </c>
      <c r="Y2372">
        <v>45.448175329999998</v>
      </c>
      <c r="Z2372">
        <v>42.219426540000001</v>
      </c>
      <c r="AA2372">
        <v>37.845817789999998</v>
      </c>
      <c r="AB2372">
        <v>34.50361101</v>
      </c>
    </row>
    <row r="2373" spans="1:28" hidden="1" x14ac:dyDescent="0.25">
      <c r="A2373" t="s">
        <v>500</v>
      </c>
      <c r="B2373" t="s">
        <v>515</v>
      </c>
      <c r="C2373">
        <v>34</v>
      </c>
      <c r="D2373" t="s">
        <v>3</v>
      </c>
      <c r="E2373">
        <v>21.864236885099999</v>
      </c>
      <c r="F2373">
        <v>21.571227737899999</v>
      </c>
      <c r="G2373">
        <v>22.300461863900001</v>
      </c>
      <c r="H2373">
        <v>22.521455349899998</v>
      </c>
      <c r="I2373">
        <v>24.003206330499999</v>
      </c>
      <c r="J2373">
        <v>24.926548023599999</v>
      </c>
      <c r="K2373">
        <v>25.583076627800001</v>
      </c>
      <c r="L2373">
        <v>29.345621725099999</v>
      </c>
      <c r="M2373">
        <v>33.685471392499998</v>
      </c>
      <c r="N2373">
        <v>34.650680518500003</v>
      </c>
      <c r="O2373">
        <v>35.228605856900003</v>
      </c>
      <c r="P2373">
        <v>36.731574220299997</v>
      </c>
      <c r="Q2373">
        <v>34.611755206700003</v>
      </c>
      <c r="R2373">
        <v>35.874958315100002</v>
      </c>
      <c r="S2373">
        <v>37.055780340399998</v>
      </c>
      <c r="T2373">
        <v>35.938394088999999</v>
      </c>
      <c r="U2373">
        <v>35.434397631499998</v>
      </c>
      <c r="V2373">
        <v>33.423908213499999</v>
      </c>
      <c r="W2373">
        <v>34.226948476700002</v>
      </c>
      <c r="X2373">
        <v>32.086635194099998</v>
      </c>
      <c r="Y2373">
        <v>30.635973684300001</v>
      </c>
      <c r="Z2373">
        <v>29.271864882599999</v>
      </c>
      <c r="AA2373">
        <v>26.249359321299998</v>
      </c>
      <c r="AB2373">
        <v>24.155389350099998</v>
      </c>
    </row>
    <row r="2374" spans="1:28" hidden="1" x14ac:dyDescent="0.25">
      <c r="A2374" t="s">
        <v>500</v>
      </c>
      <c r="B2374" t="s">
        <v>515</v>
      </c>
      <c r="C2374">
        <v>34</v>
      </c>
      <c r="D2374" t="s">
        <v>4</v>
      </c>
      <c r="E2374">
        <v>0.97276476000000001</v>
      </c>
      <c r="F2374">
        <v>0.94108590000000003</v>
      </c>
      <c r="G2374">
        <v>0.92442038999999998</v>
      </c>
      <c r="H2374">
        <v>0.92199489000000001</v>
      </c>
      <c r="I2374">
        <v>0.95174546999999998</v>
      </c>
      <c r="J2374">
        <v>1.0099995900000001</v>
      </c>
      <c r="K2374">
        <v>1.05938562</v>
      </c>
      <c r="L2374">
        <v>1.24378353</v>
      </c>
      <c r="M2374">
        <v>1.4056791</v>
      </c>
      <c r="N2374">
        <v>1.4818293300000001</v>
      </c>
      <c r="O2374">
        <v>1.5851400899999999</v>
      </c>
      <c r="P2374">
        <v>1.6336188300000001</v>
      </c>
      <c r="Q2374">
        <v>1.5710523000000001</v>
      </c>
      <c r="R2374">
        <v>1.5967145700000001</v>
      </c>
      <c r="S2374">
        <v>1.6297693799999999</v>
      </c>
      <c r="T2374">
        <v>1.6091669399999999</v>
      </c>
      <c r="U2374">
        <v>1.59079032</v>
      </c>
      <c r="V2374">
        <v>1.5247007400000001</v>
      </c>
      <c r="W2374">
        <v>1.5637329</v>
      </c>
      <c r="X2374">
        <v>1.4905914300000001</v>
      </c>
      <c r="Y2374">
        <v>1.4056136699999999</v>
      </c>
      <c r="Z2374">
        <v>1.3057554600000001</v>
      </c>
      <c r="AA2374">
        <v>1.1704892099999999</v>
      </c>
      <c r="AB2374">
        <v>1.06712199</v>
      </c>
    </row>
    <row r="2375" spans="1:28" hidden="1" x14ac:dyDescent="0.25">
      <c r="A2375" t="s">
        <v>500</v>
      </c>
      <c r="B2375" t="s">
        <v>516</v>
      </c>
      <c r="C2375">
        <v>115</v>
      </c>
      <c r="D2375" t="s">
        <v>2</v>
      </c>
      <c r="E2375">
        <v>20.717339519999999</v>
      </c>
      <c r="F2375">
        <v>20.013797360000002</v>
      </c>
      <c r="G2375">
        <v>19.913870095</v>
      </c>
      <c r="H2375">
        <v>19.900135254999999</v>
      </c>
      <c r="I2375">
        <v>20.117989675</v>
      </c>
      <c r="J2375">
        <v>21.345080020000001</v>
      </c>
      <c r="K2375">
        <v>22.274545719999999</v>
      </c>
      <c r="L2375">
        <v>26.287406170000001</v>
      </c>
      <c r="M2375">
        <v>29.255025005</v>
      </c>
      <c r="N2375">
        <v>30.991857775</v>
      </c>
      <c r="O2375">
        <v>33.418477179999996</v>
      </c>
      <c r="P2375">
        <v>34.493106269999998</v>
      </c>
      <c r="Q2375">
        <v>33.08084676</v>
      </c>
      <c r="R2375">
        <v>33.233445914999997</v>
      </c>
      <c r="S2375">
        <v>33.860401369999998</v>
      </c>
      <c r="T2375">
        <v>33.647024760000001</v>
      </c>
      <c r="U2375">
        <v>32.791819195000002</v>
      </c>
      <c r="V2375">
        <v>31.713023554999999</v>
      </c>
      <c r="W2375">
        <v>33.005933570000003</v>
      </c>
      <c r="X2375">
        <v>31.664241430000001</v>
      </c>
      <c r="Y2375">
        <v>30.20270828</v>
      </c>
      <c r="Z2375">
        <v>27.851915160000001</v>
      </c>
      <c r="AA2375">
        <v>25.105648479999999</v>
      </c>
      <c r="AB2375">
        <v>22.731752185000001</v>
      </c>
    </row>
    <row r="2376" spans="1:28" hidden="1" x14ac:dyDescent="0.25">
      <c r="A2376" t="s">
        <v>500</v>
      </c>
      <c r="B2376" t="s">
        <v>516</v>
      </c>
      <c r="C2376">
        <v>115</v>
      </c>
      <c r="D2376" t="s">
        <v>3</v>
      </c>
      <c r="E2376">
        <v>8.4846588643</v>
      </c>
      <c r="F2376">
        <v>8.3986250762000001</v>
      </c>
      <c r="G2376">
        <v>8.1064323580999993</v>
      </c>
      <c r="H2376">
        <v>7.8838028989</v>
      </c>
      <c r="I2376">
        <v>7.9701099157000002</v>
      </c>
      <c r="J2376">
        <v>8.1922708540000002</v>
      </c>
      <c r="K2376">
        <v>8.6130433712999999</v>
      </c>
      <c r="L2376">
        <v>11.6298675424</v>
      </c>
      <c r="M2376">
        <v>13.8775376411</v>
      </c>
      <c r="N2376">
        <v>14.710286114100001</v>
      </c>
      <c r="O2376">
        <v>16.0050343998</v>
      </c>
      <c r="P2376">
        <v>16.332706833300001</v>
      </c>
      <c r="Q2376">
        <v>15.8433338395</v>
      </c>
      <c r="R2376">
        <v>15.9353302081</v>
      </c>
      <c r="S2376">
        <v>15.8680670865</v>
      </c>
      <c r="T2376">
        <v>16.2101317013</v>
      </c>
      <c r="U2376">
        <v>16.398401736299999</v>
      </c>
      <c r="V2376">
        <v>15.609949586999999</v>
      </c>
      <c r="W2376">
        <v>15.3821507548</v>
      </c>
      <c r="X2376">
        <v>13.7075111636</v>
      </c>
      <c r="Y2376">
        <v>11.279761921</v>
      </c>
      <c r="Z2376">
        <v>10.118131547999999</v>
      </c>
      <c r="AA2376">
        <v>9.5711401436999992</v>
      </c>
      <c r="AB2376">
        <v>9.1406721292000004</v>
      </c>
    </row>
    <row r="2377" spans="1:28" hidden="1" x14ac:dyDescent="0.25">
      <c r="A2377" t="s">
        <v>500</v>
      </c>
      <c r="B2377" t="s">
        <v>516</v>
      </c>
      <c r="C2377">
        <v>115</v>
      </c>
      <c r="D2377" t="s">
        <v>4</v>
      </c>
      <c r="E2377">
        <v>0.31549248000000002</v>
      </c>
      <c r="F2377">
        <v>0.30477863999999999</v>
      </c>
      <c r="G2377">
        <v>0.30325690500000002</v>
      </c>
      <c r="H2377">
        <v>0.30304774499999998</v>
      </c>
      <c r="I2377">
        <v>0.30636532500000002</v>
      </c>
      <c r="J2377">
        <v>0.32505198000000002</v>
      </c>
      <c r="K2377">
        <v>0.33920628000000003</v>
      </c>
      <c r="L2377">
        <v>0.40031582999999998</v>
      </c>
      <c r="M2377">
        <v>0.44550799499999999</v>
      </c>
      <c r="N2377">
        <v>0.47195722499999998</v>
      </c>
      <c r="O2377">
        <v>0.50891081999999999</v>
      </c>
      <c r="P2377">
        <v>0.52527573000000005</v>
      </c>
      <c r="Q2377">
        <v>0.50376924000000001</v>
      </c>
      <c r="R2377">
        <v>0.50609308500000005</v>
      </c>
      <c r="S2377">
        <v>0.51564063000000004</v>
      </c>
      <c r="T2377">
        <v>0.51239124000000003</v>
      </c>
      <c r="U2377">
        <v>0.499367805</v>
      </c>
      <c r="V2377">
        <v>0.48293944500000002</v>
      </c>
      <c r="W2377">
        <v>0.50262843000000001</v>
      </c>
      <c r="X2377">
        <v>0.48219656999999999</v>
      </c>
      <c r="Y2377">
        <v>0.45993972</v>
      </c>
      <c r="Z2377">
        <v>0.42414084000000002</v>
      </c>
      <c r="AA2377">
        <v>0.38231952000000002</v>
      </c>
      <c r="AB2377">
        <v>0.34616881500000002</v>
      </c>
    </row>
    <row r="2378" spans="1:28" hidden="1" x14ac:dyDescent="0.25">
      <c r="A2378" t="s">
        <v>500</v>
      </c>
      <c r="B2378" t="s">
        <v>517</v>
      </c>
      <c r="C2378">
        <v>115</v>
      </c>
      <c r="D2378" t="s">
        <v>2</v>
      </c>
      <c r="E2378">
        <v>16.689542530000001</v>
      </c>
      <c r="F2378">
        <v>15.873883729999999</v>
      </c>
      <c r="G2378">
        <v>15.359332535</v>
      </c>
      <c r="H2378">
        <v>15.203969470000001</v>
      </c>
      <c r="I2378">
        <v>15.553290855</v>
      </c>
      <c r="J2378">
        <v>16.479104175</v>
      </c>
      <c r="K2378">
        <v>17.553766755000002</v>
      </c>
      <c r="L2378">
        <v>19.455614605000001</v>
      </c>
      <c r="M2378">
        <v>21.385315299999998</v>
      </c>
      <c r="N2378">
        <v>21.996540305</v>
      </c>
      <c r="O2378">
        <v>23.510607445000002</v>
      </c>
      <c r="P2378">
        <v>23.953775690000001</v>
      </c>
      <c r="Q2378">
        <v>23.392145435</v>
      </c>
      <c r="R2378">
        <v>24.701370005000001</v>
      </c>
      <c r="S2378">
        <v>25.206520359999999</v>
      </c>
      <c r="T2378">
        <v>24.490635165</v>
      </c>
      <c r="U2378">
        <v>24.200950604999999</v>
      </c>
      <c r="V2378">
        <v>23.661744859999999</v>
      </c>
      <c r="W2378">
        <v>25.147378005</v>
      </c>
      <c r="X2378">
        <v>25.7314702</v>
      </c>
      <c r="Y2378">
        <v>25.264390095</v>
      </c>
      <c r="Z2378">
        <v>23.980801135</v>
      </c>
      <c r="AA2378">
        <v>21.380911364999999</v>
      </c>
      <c r="AB2378">
        <v>18.777836104999999</v>
      </c>
    </row>
    <row r="2379" spans="1:28" hidden="1" x14ac:dyDescent="0.25">
      <c r="A2379" t="s">
        <v>500</v>
      </c>
      <c r="B2379" t="s">
        <v>517</v>
      </c>
      <c r="C2379">
        <v>115</v>
      </c>
      <c r="D2379" t="s">
        <v>3</v>
      </c>
      <c r="E2379">
        <v>6.6066241079000001</v>
      </c>
      <c r="F2379">
        <v>6.4716676999000002</v>
      </c>
      <c r="G2379">
        <v>6.3610813788999998</v>
      </c>
      <c r="H2379">
        <v>6.2360572001000003</v>
      </c>
      <c r="I2379">
        <v>6.3936899012000001</v>
      </c>
      <c r="J2379">
        <v>6.5491848877000001</v>
      </c>
      <c r="K2379">
        <v>6.7764335404000002</v>
      </c>
      <c r="L2379">
        <v>8.0277453882999996</v>
      </c>
      <c r="M2379">
        <v>9.3724258964999994</v>
      </c>
      <c r="N2379">
        <v>9.9448953848000006</v>
      </c>
      <c r="O2379">
        <v>10.8618938544</v>
      </c>
      <c r="P2379">
        <v>11.2736501076</v>
      </c>
      <c r="Q2379">
        <v>10.9958996752</v>
      </c>
      <c r="R2379">
        <v>11.5474382397</v>
      </c>
      <c r="S2379">
        <v>11.469742159100001</v>
      </c>
      <c r="T2379">
        <v>11.151128807499999</v>
      </c>
      <c r="U2379">
        <v>10.976883877400001</v>
      </c>
      <c r="V2379">
        <v>10.440251702099999</v>
      </c>
      <c r="W2379">
        <v>10.720317637200001</v>
      </c>
      <c r="X2379">
        <v>10.0315651283</v>
      </c>
      <c r="Y2379">
        <v>9.4189894961</v>
      </c>
      <c r="Z2379">
        <v>8.7356502230000004</v>
      </c>
      <c r="AA2379">
        <v>7.7318310487000002</v>
      </c>
      <c r="AB2379">
        <v>7.1406329217</v>
      </c>
    </row>
    <row r="2380" spans="1:28" hidden="1" x14ac:dyDescent="0.25">
      <c r="A2380" t="s">
        <v>500</v>
      </c>
      <c r="B2380" t="s">
        <v>517</v>
      </c>
      <c r="C2380">
        <v>115</v>
      </c>
      <c r="D2380" t="s">
        <v>4</v>
      </c>
      <c r="E2380">
        <v>0.25415546999999999</v>
      </c>
      <c r="F2380">
        <v>0.24173427</v>
      </c>
      <c r="G2380">
        <v>0.233898465</v>
      </c>
      <c r="H2380">
        <v>0.23153252999999999</v>
      </c>
      <c r="I2380">
        <v>0.23685214499999999</v>
      </c>
      <c r="J2380">
        <v>0.25095082499999999</v>
      </c>
      <c r="K2380">
        <v>0.26731624500000001</v>
      </c>
      <c r="L2380">
        <v>0.29627839500000003</v>
      </c>
      <c r="M2380">
        <v>0.32566469999999997</v>
      </c>
      <c r="N2380">
        <v>0.33497269499999999</v>
      </c>
      <c r="O2380">
        <v>0.358029555</v>
      </c>
      <c r="P2380">
        <v>0.36477830999999999</v>
      </c>
      <c r="Q2380">
        <v>0.35622556500000002</v>
      </c>
      <c r="R2380">
        <v>0.376162995</v>
      </c>
      <c r="S2380">
        <v>0.38385564</v>
      </c>
      <c r="T2380">
        <v>0.37295383500000001</v>
      </c>
      <c r="U2380">
        <v>0.36854239500000002</v>
      </c>
      <c r="V2380">
        <v>0.36033113999999999</v>
      </c>
      <c r="W2380">
        <v>0.38295499500000002</v>
      </c>
      <c r="X2380">
        <v>0.39184980000000003</v>
      </c>
      <c r="Y2380">
        <v>0.38473690500000002</v>
      </c>
      <c r="Z2380">
        <v>0.365189865</v>
      </c>
      <c r="AA2380">
        <v>0.325597635</v>
      </c>
      <c r="AB2380">
        <v>0.28595689499999999</v>
      </c>
    </row>
    <row r="2381" spans="1:28" hidden="1" x14ac:dyDescent="0.25">
      <c r="A2381" t="s">
        <v>500</v>
      </c>
      <c r="B2381" t="s">
        <v>518</v>
      </c>
      <c r="C2381">
        <v>14</v>
      </c>
      <c r="D2381" t="s">
        <v>2</v>
      </c>
      <c r="E2381">
        <v>7.8718092500000001</v>
      </c>
      <c r="F2381">
        <v>7.4461969000000003</v>
      </c>
      <c r="G2381">
        <v>7.1866255499999996</v>
      </c>
      <c r="H2381">
        <v>7.06611425</v>
      </c>
      <c r="I2381">
        <v>7.2373080500000002</v>
      </c>
      <c r="J2381">
        <v>7.52880795</v>
      </c>
      <c r="K2381">
        <v>8.0418336000000004</v>
      </c>
      <c r="L2381">
        <v>9.9338554999999999</v>
      </c>
      <c r="M2381">
        <v>11.838018399999999</v>
      </c>
      <c r="N2381">
        <v>13.020827300000001</v>
      </c>
      <c r="O2381">
        <v>13.959931750000001</v>
      </c>
      <c r="P2381">
        <v>14.37797355</v>
      </c>
      <c r="Q2381">
        <v>13.74610195</v>
      </c>
      <c r="R2381">
        <v>13.101022499999999</v>
      </c>
      <c r="S2381">
        <v>14.230644699999999</v>
      </c>
      <c r="T2381">
        <v>14.3300774</v>
      </c>
      <c r="U2381">
        <v>13.896983799999999</v>
      </c>
      <c r="V2381">
        <v>13.049672149999999</v>
      </c>
      <c r="W2381">
        <v>13.27528955</v>
      </c>
      <c r="X2381">
        <v>12.57347515</v>
      </c>
      <c r="Y2381">
        <v>11.8143824</v>
      </c>
      <c r="Z2381">
        <v>10.9172195</v>
      </c>
      <c r="AA2381">
        <v>9.8166815500000002</v>
      </c>
      <c r="AB2381">
        <v>8.8004446999999999</v>
      </c>
    </row>
    <row r="2382" spans="1:28" hidden="1" x14ac:dyDescent="0.25">
      <c r="A2382" t="s">
        <v>500</v>
      </c>
      <c r="B2382" t="s">
        <v>518</v>
      </c>
      <c r="C2382">
        <v>14</v>
      </c>
      <c r="D2382" t="s">
        <v>3</v>
      </c>
      <c r="E2382">
        <v>2.6012787988000001</v>
      </c>
      <c r="F2382">
        <v>2.5567245940999999</v>
      </c>
      <c r="G2382">
        <v>2.5191839268999998</v>
      </c>
      <c r="H2382">
        <v>2.5103687826000001</v>
      </c>
      <c r="I2382">
        <v>2.5638774420999999</v>
      </c>
      <c r="J2382">
        <v>2.6006081283000002</v>
      </c>
      <c r="K2382">
        <v>2.7111001238000001</v>
      </c>
      <c r="L2382">
        <v>3.5258443585000001</v>
      </c>
      <c r="M2382">
        <v>4.4940055804999997</v>
      </c>
      <c r="N2382">
        <v>5.2641455346999999</v>
      </c>
      <c r="O2382">
        <v>5.6264643743000002</v>
      </c>
      <c r="P2382">
        <v>5.8617959282000003</v>
      </c>
      <c r="Q2382">
        <v>5.6126754219999997</v>
      </c>
      <c r="R2382">
        <v>5.2721348277000004</v>
      </c>
      <c r="S2382">
        <v>5.7311473900000003</v>
      </c>
      <c r="T2382">
        <v>5.7756492952</v>
      </c>
      <c r="U2382">
        <v>5.5751300303000004</v>
      </c>
      <c r="V2382">
        <v>5.1698665263999999</v>
      </c>
      <c r="W2382">
        <v>5.0096170640000004</v>
      </c>
      <c r="X2382">
        <v>4.0834133107000001</v>
      </c>
      <c r="Y2382">
        <v>3.5320319916999998</v>
      </c>
      <c r="Z2382">
        <v>3.0900408818999998</v>
      </c>
      <c r="AA2382">
        <v>2.759021648</v>
      </c>
      <c r="AB2382">
        <v>2.6907224873</v>
      </c>
    </row>
    <row r="2383" spans="1:28" hidden="1" x14ac:dyDescent="0.25">
      <c r="A2383" t="s">
        <v>500</v>
      </c>
      <c r="B2383" t="s">
        <v>518</v>
      </c>
      <c r="C2383">
        <v>14</v>
      </c>
      <c r="D2383" t="s">
        <v>4</v>
      </c>
      <c r="E2383">
        <v>0.41430574999999997</v>
      </c>
      <c r="F2383">
        <v>0.39190510000000001</v>
      </c>
      <c r="G2383">
        <v>0.37824344999999998</v>
      </c>
      <c r="H2383">
        <v>0.37190075</v>
      </c>
      <c r="I2383">
        <v>0.38091095000000003</v>
      </c>
      <c r="J2383">
        <v>0.39625305</v>
      </c>
      <c r="K2383">
        <v>0.42325439999999998</v>
      </c>
      <c r="L2383">
        <v>0.52283449999999998</v>
      </c>
      <c r="M2383">
        <v>0.62305359999999999</v>
      </c>
      <c r="N2383">
        <v>0.68530670000000005</v>
      </c>
      <c r="O2383">
        <v>0.73473325</v>
      </c>
      <c r="P2383">
        <v>0.75673544999999998</v>
      </c>
      <c r="Q2383">
        <v>0.72347905000000001</v>
      </c>
      <c r="R2383">
        <v>0.68952749999999996</v>
      </c>
      <c r="S2383">
        <v>0.74898129999999996</v>
      </c>
      <c r="T2383">
        <v>0.75421459999999996</v>
      </c>
      <c r="U2383">
        <v>0.73142019999999996</v>
      </c>
      <c r="V2383">
        <v>0.68682485000000004</v>
      </c>
      <c r="W2383">
        <v>0.69869945</v>
      </c>
      <c r="X2383">
        <v>0.66176184999999998</v>
      </c>
      <c r="Y2383">
        <v>0.62180959999999996</v>
      </c>
      <c r="Z2383">
        <v>0.5745905</v>
      </c>
      <c r="AA2383">
        <v>0.51666745000000003</v>
      </c>
      <c r="AB2383">
        <v>0.46318130000000002</v>
      </c>
    </row>
    <row r="2384" spans="1:28" hidden="1" x14ac:dyDescent="0.25">
      <c r="A2384" t="s">
        <v>500</v>
      </c>
      <c r="B2384" t="s">
        <v>519</v>
      </c>
      <c r="C2384">
        <v>115</v>
      </c>
      <c r="D2384" t="s">
        <v>2</v>
      </c>
      <c r="E2384">
        <v>24.730384165</v>
      </c>
      <c r="F2384">
        <v>23.493234999999999</v>
      </c>
      <c r="G2384">
        <v>22.911276314999999</v>
      </c>
      <c r="H2384">
        <v>22.66618763</v>
      </c>
      <c r="I2384">
        <v>23.175450359999999</v>
      </c>
      <c r="J2384">
        <v>24.410700445</v>
      </c>
      <c r="K2384">
        <v>26.135158659999998</v>
      </c>
      <c r="L2384">
        <v>31.205905170000001</v>
      </c>
      <c r="M2384">
        <v>36.772090919999997</v>
      </c>
      <c r="N2384">
        <v>41.016076695000002</v>
      </c>
      <c r="O2384">
        <v>44.727987140000003</v>
      </c>
      <c r="P2384">
        <v>46.170933339999998</v>
      </c>
      <c r="Q2384">
        <v>45.005707889999996</v>
      </c>
      <c r="R2384">
        <v>44.940822984999997</v>
      </c>
      <c r="S2384">
        <v>46.053922235000002</v>
      </c>
      <c r="T2384">
        <v>46.699750289999997</v>
      </c>
      <c r="U2384">
        <v>45.556733635000001</v>
      </c>
      <c r="V2384">
        <v>43.610060404999999</v>
      </c>
      <c r="W2384">
        <v>43.813071860000001</v>
      </c>
      <c r="X2384">
        <v>40.721547905000001</v>
      </c>
      <c r="Y2384">
        <v>37.469033580000001</v>
      </c>
      <c r="Z2384">
        <v>34.375961205000003</v>
      </c>
      <c r="AA2384">
        <v>30.478341815</v>
      </c>
      <c r="AB2384">
        <v>27.269620589999999</v>
      </c>
    </row>
    <row r="2385" spans="1:28" hidden="1" x14ac:dyDescent="0.25">
      <c r="A2385" t="s">
        <v>500</v>
      </c>
      <c r="B2385" t="s">
        <v>519</v>
      </c>
      <c r="C2385">
        <v>115</v>
      </c>
      <c r="D2385" t="s">
        <v>3</v>
      </c>
      <c r="E2385">
        <v>3.0460017177999998</v>
      </c>
      <c r="F2385">
        <v>3.5136642935000002</v>
      </c>
      <c r="G2385">
        <v>3.0420906405000001</v>
      </c>
      <c r="H2385">
        <v>3.1802176162000002</v>
      </c>
      <c r="I2385">
        <v>3.4500829579999999</v>
      </c>
      <c r="J2385">
        <v>3.5999317078000002</v>
      </c>
      <c r="K2385">
        <v>3.3676800721000002</v>
      </c>
      <c r="L2385">
        <v>5.5592021238999996</v>
      </c>
      <c r="M2385">
        <v>8.8564685249000004</v>
      </c>
      <c r="N2385">
        <v>11.576737669</v>
      </c>
      <c r="O2385">
        <v>13.5243422427</v>
      </c>
      <c r="P2385">
        <v>14.745309406000001</v>
      </c>
      <c r="Q2385">
        <v>14.6805661631</v>
      </c>
      <c r="R2385">
        <v>13.0204388768</v>
      </c>
      <c r="S2385">
        <v>13.0717234453</v>
      </c>
      <c r="T2385">
        <v>14.330700824199999</v>
      </c>
      <c r="U2385">
        <v>14.7625568859</v>
      </c>
      <c r="V2385">
        <v>13.816562642599999</v>
      </c>
      <c r="W2385">
        <v>11.762488751399999</v>
      </c>
      <c r="X2385">
        <v>9.3190273660000003</v>
      </c>
      <c r="Y2385">
        <v>7.8786746978000002</v>
      </c>
      <c r="Z2385">
        <v>6.5741355994999999</v>
      </c>
      <c r="AA2385">
        <v>5.4831388123</v>
      </c>
      <c r="AB2385">
        <v>3.8060480053000001</v>
      </c>
    </row>
    <row r="2386" spans="1:28" hidden="1" x14ac:dyDescent="0.25">
      <c r="A2386" t="s">
        <v>500</v>
      </c>
      <c r="B2386" t="s">
        <v>519</v>
      </c>
      <c r="C2386">
        <v>115</v>
      </c>
      <c r="D2386" t="s">
        <v>4</v>
      </c>
      <c r="E2386">
        <v>0.37660483500000003</v>
      </c>
      <c r="F2386">
        <v>0.357765</v>
      </c>
      <c r="G2386">
        <v>0.34890268499999999</v>
      </c>
      <c r="H2386">
        <v>0.34517037</v>
      </c>
      <c r="I2386">
        <v>0.35292563999999998</v>
      </c>
      <c r="J2386">
        <v>0.37173655500000002</v>
      </c>
      <c r="K2386">
        <v>0.39799733999999998</v>
      </c>
      <c r="L2386">
        <v>0.47521682999999998</v>
      </c>
      <c r="M2386">
        <v>0.55998108000000002</v>
      </c>
      <c r="N2386">
        <v>0.62461030500000003</v>
      </c>
      <c r="O2386">
        <v>0.68113685999999996</v>
      </c>
      <c r="P2386">
        <v>0.70311066</v>
      </c>
      <c r="Q2386">
        <v>0.68536611000000003</v>
      </c>
      <c r="R2386">
        <v>0.68437801499999995</v>
      </c>
      <c r="S2386">
        <v>0.70132876499999997</v>
      </c>
      <c r="T2386">
        <v>0.71116371</v>
      </c>
      <c r="U2386">
        <v>0.69375736499999996</v>
      </c>
      <c r="V2386">
        <v>0.66411259499999997</v>
      </c>
      <c r="W2386">
        <v>0.66720413999999995</v>
      </c>
      <c r="X2386">
        <v>0.62012509500000002</v>
      </c>
      <c r="Y2386">
        <v>0.57059442000000005</v>
      </c>
      <c r="Z2386">
        <v>0.52349179499999998</v>
      </c>
      <c r="AA2386">
        <v>0.46413718500000001</v>
      </c>
      <c r="AB2386">
        <v>0.41527341000000001</v>
      </c>
    </row>
    <row r="2387" spans="1:28" hidden="1" x14ac:dyDescent="0.25">
      <c r="A2387" t="s">
        <v>500</v>
      </c>
      <c r="B2387" t="s">
        <v>520</v>
      </c>
      <c r="C2387">
        <v>115</v>
      </c>
      <c r="D2387" t="s">
        <v>2</v>
      </c>
      <c r="E2387">
        <v>15.07547228</v>
      </c>
      <c r="F2387">
        <v>14.454564724999999</v>
      </c>
      <c r="G2387">
        <v>13.992428335</v>
      </c>
      <c r="H2387">
        <v>13.790328004999999</v>
      </c>
      <c r="I2387">
        <v>14.032620274999999</v>
      </c>
      <c r="J2387">
        <v>14.656453279999999</v>
      </c>
      <c r="K2387">
        <v>15.352668025</v>
      </c>
      <c r="L2387">
        <v>17.731369149999999</v>
      </c>
      <c r="M2387">
        <v>20.312991109999999</v>
      </c>
      <c r="N2387">
        <v>21.849013899999999</v>
      </c>
      <c r="O2387">
        <v>23.072845865000001</v>
      </c>
      <c r="P2387">
        <v>24.221899584999999</v>
      </c>
      <c r="Q2387">
        <v>23.292672254999999</v>
      </c>
      <c r="R2387">
        <v>23.266298880000001</v>
      </c>
      <c r="S2387">
        <v>24.644468525000001</v>
      </c>
      <c r="T2387">
        <v>24.676794255000001</v>
      </c>
      <c r="U2387">
        <v>24.707799099999999</v>
      </c>
      <c r="V2387">
        <v>23.951210750000001</v>
      </c>
      <c r="W2387">
        <v>24.147198169999999</v>
      </c>
      <c r="X2387">
        <v>22.713792680000001</v>
      </c>
      <c r="Y2387">
        <v>21.19753884</v>
      </c>
      <c r="Z2387">
        <v>19.750032090000001</v>
      </c>
      <c r="AA2387">
        <v>17.836917809999999</v>
      </c>
      <c r="AB2387">
        <v>16.363730140000001</v>
      </c>
    </row>
    <row r="2388" spans="1:28" hidden="1" x14ac:dyDescent="0.25">
      <c r="A2388" t="s">
        <v>500</v>
      </c>
      <c r="B2388" t="s">
        <v>520</v>
      </c>
      <c r="C2388">
        <v>115</v>
      </c>
      <c r="D2388" t="s">
        <v>3</v>
      </c>
      <c r="E2388">
        <v>4.2908684514999997</v>
      </c>
      <c r="F2388">
        <v>4.3213418448000001</v>
      </c>
      <c r="G2388">
        <v>3.9549043313999999</v>
      </c>
      <c r="H2388">
        <v>3.6564450908000001</v>
      </c>
      <c r="I2388">
        <v>3.7673354350000001</v>
      </c>
      <c r="J2388">
        <v>3.8492292714</v>
      </c>
      <c r="K2388">
        <v>4.3332718427000003</v>
      </c>
      <c r="L2388">
        <v>5.4544203064000003</v>
      </c>
      <c r="M2388">
        <v>6.9044980943000001</v>
      </c>
      <c r="N2388">
        <v>7.1736673929999997</v>
      </c>
      <c r="O2388">
        <v>8.518937738</v>
      </c>
      <c r="P2388">
        <v>8.8794725851000003</v>
      </c>
      <c r="Q2388">
        <v>8.8724799614999998</v>
      </c>
      <c r="R2388">
        <v>9.5070496297999991</v>
      </c>
      <c r="S2388">
        <v>10.0473717489</v>
      </c>
      <c r="T2388">
        <v>9.9764963696999995</v>
      </c>
      <c r="U2388">
        <v>9.7495953975000003</v>
      </c>
      <c r="V2388">
        <v>8.9917512215999995</v>
      </c>
      <c r="W2388">
        <v>8.3077900225000008</v>
      </c>
      <c r="X2388">
        <v>7.1214345721000001</v>
      </c>
      <c r="Y2388">
        <v>6.7003567479999999</v>
      </c>
      <c r="Z2388">
        <v>5.7909786549</v>
      </c>
      <c r="AA2388">
        <v>5.2300274671000002</v>
      </c>
      <c r="AB2388">
        <v>4.6186428926999996</v>
      </c>
    </row>
    <row r="2389" spans="1:28" hidden="1" x14ac:dyDescent="0.25">
      <c r="A2389" t="s">
        <v>500</v>
      </c>
      <c r="B2389" t="s">
        <v>520</v>
      </c>
      <c r="C2389">
        <v>115</v>
      </c>
      <c r="D2389" t="s">
        <v>4</v>
      </c>
      <c r="E2389">
        <v>0.22957572000000001</v>
      </c>
      <c r="F2389">
        <v>0.220120275</v>
      </c>
      <c r="G2389">
        <v>0.213082665</v>
      </c>
      <c r="H2389">
        <v>0.210004995</v>
      </c>
      <c r="I2389">
        <v>0.213694725</v>
      </c>
      <c r="J2389">
        <v>0.22319472000000001</v>
      </c>
      <c r="K2389">
        <v>0.23379697499999999</v>
      </c>
      <c r="L2389">
        <v>0.27002084999999998</v>
      </c>
      <c r="M2389">
        <v>0.30933488999999997</v>
      </c>
      <c r="N2389">
        <v>0.33272610000000002</v>
      </c>
      <c r="O2389">
        <v>0.35136313499999999</v>
      </c>
      <c r="P2389">
        <v>0.36886141500000003</v>
      </c>
      <c r="Q2389">
        <v>0.35471074499999999</v>
      </c>
      <c r="R2389">
        <v>0.35430911999999998</v>
      </c>
      <c r="S2389">
        <v>0.37529647500000002</v>
      </c>
      <c r="T2389">
        <v>0.37578874499999998</v>
      </c>
      <c r="U2389">
        <v>0.37626090000000001</v>
      </c>
      <c r="V2389">
        <v>0.36473925000000001</v>
      </c>
      <c r="W2389">
        <v>0.36772382999999997</v>
      </c>
      <c r="X2389">
        <v>0.34589532000000001</v>
      </c>
      <c r="Y2389">
        <v>0.32280515999999998</v>
      </c>
      <c r="Z2389">
        <v>0.30076191000000002</v>
      </c>
      <c r="AA2389">
        <v>0.27162818999999999</v>
      </c>
      <c r="AB2389">
        <v>0.24919385999999999</v>
      </c>
    </row>
    <row r="2390" spans="1:28" hidden="1" x14ac:dyDescent="0.25">
      <c r="A2390" t="s">
        <v>500</v>
      </c>
      <c r="B2390" t="s">
        <v>521</v>
      </c>
      <c r="C2390">
        <v>115</v>
      </c>
      <c r="D2390" t="s">
        <v>2</v>
      </c>
      <c r="E2390">
        <v>10.823415414999999</v>
      </c>
      <c r="F2390">
        <v>10.30622048</v>
      </c>
      <c r="G2390">
        <v>10.02758959</v>
      </c>
      <c r="H2390">
        <v>9.8954922249999999</v>
      </c>
      <c r="I2390">
        <v>10.201389884999999</v>
      </c>
      <c r="J2390">
        <v>11.45427344</v>
      </c>
      <c r="K2390">
        <v>13.991462050000001</v>
      </c>
      <c r="L2390">
        <v>16.293954710000001</v>
      </c>
      <c r="M2390">
        <v>17.358701294999999</v>
      </c>
      <c r="N2390">
        <v>18.009548909999999</v>
      </c>
      <c r="O2390">
        <v>18.671133025</v>
      </c>
      <c r="P2390">
        <v>19.234795335000001</v>
      </c>
      <c r="Q2390">
        <v>18.645278744999999</v>
      </c>
      <c r="R2390">
        <v>18.68479202</v>
      </c>
      <c r="S2390">
        <v>18.654970160000001</v>
      </c>
      <c r="T2390">
        <v>18.797656275000001</v>
      </c>
      <c r="U2390">
        <v>18.540432389999999</v>
      </c>
      <c r="V2390">
        <v>18.467904870000002</v>
      </c>
      <c r="W2390">
        <v>19.618245985000001</v>
      </c>
      <c r="X2390">
        <v>21.183582375</v>
      </c>
      <c r="Y2390">
        <v>20.575646285000001</v>
      </c>
      <c r="Z2390">
        <v>18.24954022</v>
      </c>
      <c r="AA2390">
        <v>15.253346535</v>
      </c>
      <c r="AB2390">
        <v>12.690372594999999</v>
      </c>
    </row>
    <row r="2391" spans="1:28" hidden="1" x14ac:dyDescent="0.25">
      <c r="A2391" t="s">
        <v>500</v>
      </c>
      <c r="B2391" t="s">
        <v>521</v>
      </c>
      <c r="C2391">
        <v>115</v>
      </c>
      <c r="D2391" t="s">
        <v>3</v>
      </c>
      <c r="E2391">
        <v>6.3389504528999998</v>
      </c>
      <c r="F2391">
        <v>6.1808151102000002</v>
      </c>
      <c r="G2391">
        <v>6.0481572357999998</v>
      </c>
      <c r="H2391">
        <v>6.1326752820000001</v>
      </c>
      <c r="I2391">
        <v>6.4052561065000004</v>
      </c>
      <c r="J2391">
        <v>6.5986274505000004</v>
      </c>
      <c r="K2391">
        <v>7.0826173564000001</v>
      </c>
      <c r="L2391">
        <v>8.8388080987999995</v>
      </c>
      <c r="M2391">
        <v>9.8376293723000003</v>
      </c>
      <c r="N2391">
        <v>10.562009331600001</v>
      </c>
      <c r="O2391">
        <v>10.9251991804</v>
      </c>
      <c r="P2391">
        <v>11.357165586100001</v>
      </c>
      <c r="Q2391">
        <v>10.860484668</v>
      </c>
      <c r="R2391">
        <v>11.151223891900001</v>
      </c>
      <c r="S2391">
        <v>11.2320688177</v>
      </c>
      <c r="T2391">
        <v>10.949241390199999</v>
      </c>
      <c r="U2391">
        <v>10.735233214999999</v>
      </c>
      <c r="V2391">
        <v>10.4167255665</v>
      </c>
      <c r="W2391">
        <v>10.567465845599999</v>
      </c>
      <c r="X2391">
        <v>9.4593171616999996</v>
      </c>
      <c r="Y2391">
        <v>8.7341453015999999</v>
      </c>
      <c r="Z2391">
        <v>8.2828143518000008</v>
      </c>
      <c r="AA2391">
        <v>7.1262706783</v>
      </c>
      <c r="AB2391">
        <v>6.7075925784999999</v>
      </c>
    </row>
    <row r="2392" spans="1:28" hidden="1" x14ac:dyDescent="0.25">
      <c r="A2392" t="s">
        <v>500</v>
      </c>
      <c r="B2392" t="s">
        <v>521</v>
      </c>
      <c r="C2392">
        <v>115</v>
      </c>
      <c r="D2392" t="s">
        <v>4</v>
      </c>
      <c r="E2392">
        <v>0.16482358499999999</v>
      </c>
      <c r="F2392">
        <v>0.15694752000000001</v>
      </c>
      <c r="G2392">
        <v>0.15270441000000001</v>
      </c>
      <c r="H2392">
        <v>0.150692775</v>
      </c>
      <c r="I2392">
        <v>0.15535111500000001</v>
      </c>
      <c r="J2392">
        <v>0.17443056000000001</v>
      </c>
      <c r="K2392">
        <v>0.21306795000000001</v>
      </c>
      <c r="L2392">
        <v>0.24813129</v>
      </c>
      <c r="M2392">
        <v>0.26434570499999999</v>
      </c>
      <c r="N2392">
        <v>0.27425708999999998</v>
      </c>
      <c r="O2392">
        <v>0.28433197500000001</v>
      </c>
      <c r="P2392">
        <v>0.29291566499999999</v>
      </c>
      <c r="Q2392">
        <v>0.28393825499999997</v>
      </c>
      <c r="R2392">
        <v>0.28453998000000003</v>
      </c>
      <c r="S2392">
        <v>0.28408583999999998</v>
      </c>
      <c r="T2392">
        <v>0.28625872499999999</v>
      </c>
      <c r="U2392">
        <v>0.28234161000000002</v>
      </c>
      <c r="V2392">
        <v>0.28123713</v>
      </c>
      <c r="W2392">
        <v>0.29875501500000001</v>
      </c>
      <c r="X2392">
        <v>0.32259262500000002</v>
      </c>
      <c r="Y2392">
        <v>0.31333471499999999</v>
      </c>
      <c r="Z2392">
        <v>0.27791178</v>
      </c>
      <c r="AA2392">
        <v>0.232284465</v>
      </c>
      <c r="AB2392">
        <v>0.19325440499999999</v>
      </c>
    </row>
    <row r="2393" spans="1:28" hidden="1" x14ac:dyDescent="0.25">
      <c r="A2393" t="s">
        <v>500</v>
      </c>
      <c r="B2393" t="s">
        <v>522</v>
      </c>
      <c r="C2393">
        <v>34</v>
      </c>
      <c r="D2393" t="s">
        <v>2</v>
      </c>
      <c r="E2393">
        <v>21.60776753</v>
      </c>
      <c r="F2393">
        <v>20.187835939999999</v>
      </c>
      <c r="G2393">
        <v>19.01651438</v>
      </c>
      <c r="H2393">
        <v>18.052915410000001</v>
      </c>
      <c r="I2393">
        <v>17.724100929999999</v>
      </c>
      <c r="J2393">
        <v>17.402793280000001</v>
      </c>
      <c r="K2393">
        <v>16.097133509999999</v>
      </c>
      <c r="L2393">
        <v>16.504825480000001</v>
      </c>
      <c r="M2393">
        <v>16.84630331</v>
      </c>
      <c r="N2393">
        <v>16.8747893</v>
      </c>
      <c r="O2393">
        <v>17.520656039999999</v>
      </c>
      <c r="P2393">
        <v>18.52753835</v>
      </c>
      <c r="Q2393">
        <v>18.118403019999999</v>
      </c>
      <c r="R2393">
        <v>19.988091600000001</v>
      </c>
      <c r="S2393">
        <v>22.19040579</v>
      </c>
      <c r="T2393">
        <v>22.625514809999999</v>
      </c>
      <c r="U2393">
        <v>21.810721600000001</v>
      </c>
      <c r="V2393">
        <v>20.845847079999999</v>
      </c>
      <c r="W2393">
        <v>21.933228719999999</v>
      </c>
      <c r="X2393">
        <v>21.66916368</v>
      </c>
      <c r="Y2393">
        <v>21.720843339999998</v>
      </c>
      <c r="Z2393">
        <v>22.286494959999999</v>
      </c>
      <c r="AA2393">
        <v>22.381522950000001</v>
      </c>
      <c r="AB2393">
        <v>22.9991947</v>
      </c>
    </row>
    <row r="2394" spans="1:28" hidden="1" x14ac:dyDescent="0.25">
      <c r="A2394" t="s">
        <v>500</v>
      </c>
      <c r="B2394" t="s">
        <v>522</v>
      </c>
      <c r="C2394">
        <v>34</v>
      </c>
      <c r="D2394" t="s">
        <v>3</v>
      </c>
      <c r="E2394">
        <v>10.299307753700001</v>
      </c>
      <c r="F2394">
        <v>10.146182470299999</v>
      </c>
      <c r="G2394">
        <v>10.0409081565</v>
      </c>
      <c r="H2394">
        <v>9.9591413529999997</v>
      </c>
      <c r="I2394">
        <v>9.7825319268000008</v>
      </c>
      <c r="J2394">
        <v>10.071882673499999</v>
      </c>
      <c r="K2394">
        <v>9.6452120859000008</v>
      </c>
      <c r="L2394">
        <v>10.259120322599999</v>
      </c>
      <c r="M2394">
        <v>9.8126191252999995</v>
      </c>
      <c r="N2394">
        <v>9.5000217621999994</v>
      </c>
      <c r="O2394">
        <v>10.205415477900001</v>
      </c>
      <c r="P2394">
        <v>10.5546126974</v>
      </c>
      <c r="Q2394">
        <v>10.205004109600001</v>
      </c>
      <c r="R2394">
        <v>10.869843813499999</v>
      </c>
      <c r="S2394">
        <v>11.9408967257</v>
      </c>
      <c r="T2394">
        <v>11.4784234606</v>
      </c>
      <c r="U2394">
        <v>11.420562241100001</v>
      </c>
      <c r="V2394">
        <v>11.1207971958</v>
      </c>
      <c r="W2394">
        <v>11.70089119</v>
      </c>
      <c r="X2394">
        <v>10.793800896400001</v>
      </c>
      <c r="Y2394">
        <v>10.1790819171</v>
      </c>
      <c r="Z2394">
        <v>10.0825018772</v>
      </c>
      <c r="AA2394">
        <v>9.8488672059999995</v>
      </c>
      <c r="AB2394">
        <v>10.147915254500001</v>
      </c>
    </row>
    <row r="2395" spans="1:28" hidden="1" x14ac:dyDescent="0.25">
      <c r="A2395" t="s">
        <v>500</v>
      </c>
      <c r="B2395" t="s">
        <v>522</v>
      </c>
      <c r="C2395">
        <v>34</v>
      </c>
      <c r="D2395" t="s">
        <v>4</v>
      </c>
      <c r="E2395">
        <v>0.66828147000000004</v>
      </c>
      <c r="F2395">
        <v>0.62436605999999994</v>
      </c>
      <c r="G2395">
        <v>0.58813961999999997</v>
      </c>
      <c r="H2395">
        <v>0.55833759000000005</v>
      </c>
      <c r="I2395">
        <v>0.54816807000000001</v>
      </c>
      <c r="J2395">
        <v>0.53823072000000005</v>
      </c>
      <c r="K2395">
        <v>0.49784949000000001</v>
      </c>
      <c r="L2395">
        <v>0.51045852000000003</v>
      </c>
      <c r="M2395">
        <v>0.52101969000000004</v>
      </c>
      <c r="N2395">
        <v>0.5219007</v>
      </c>
      <c r="O2395">
        <v>0.54187596000000005</v>
      </c>
      <c r="P2395">
        <v>0.57301665000000002</v>
      </c>
      <c r="Q2395">
        <v>0.56036297999999996</v>
      </c>
      <c r="R2395">
        <v>0.61818839999999997</v>
      </c>
      <c r="S2395">
        <v>0.68630120999999999</v>
      </c>
      <c r="T2395">
        <v>0.69975818999999995</v>
      </c>
      <c r="U2395">
        <v>0.6745584</v>
      </c>
      <c r="V2395">
        <v>0.64471692000000003</v>
      </c>
      <c r="W2395">
        <v>0.67834728</v>
      </c>
      <c r="X2395">
        <v>0.67018032000000005</v>
      </c>
      <c r="Y2395">
        <v>0.67177865999999997</v>
      </c>
      <c r="Z2395">
        <v>0.68927304</v>
      </c>
      <c r="AA2395">
        <v>0.69221204999999997</v>
      </c>
      <c r="AB2395">
        <v>0.71131529999999998</v>
      </c>
    </row>
    <row r="2396" spans="1:28" hidden="1" x14ac:dyDescent="0.25">
      <c r="A2396" t="s">
        <v>500</v>
      </c>
      <c r="B2396" t="s">
        <v>523</v>
      </c>
      <c r="C2396">
        <v>115</v>
      </c>
      <c r="D2396" t="s">
        <v>2</v>
      </c>
      <c r="E2396">
        <v>8.7136173200000009</v>
      </c>
      <c r="F2396">
        <v>8.2489110649999997</v>
      </c>
      <c r="G2396">
        <v>7.9052189549999996</v>
      </c>
      <c r="H2396">
        <v>7.7177911850000003</v>
      </c>
      <c r="I2396">
        <v>7.4851391100000004</v>
      </c>
      <c r="J2396">
        <v>7.5274921399999997</v>
      </c>
      <c r="K2396">
        <v>7.3418245649999996</v>
      </c>
      <c r="L2396">
        <v>7.5488695950000002</v>
      </c>
      <c r="M2396">
        <v>7.481081895</v>
      </c>
      <c r="N2396">
        <v>7.2893092900000003</v>
      </c>
      <c r="O2396">
        <v>7.3817042600000002</v>
      </c>
      <c r="P2396">
        <v>7.1650948799999998</v>
      </c>
      <c r="Q2396">
        <v>6.9114061600000003</v>
      </c>
      <c r="R2396">
        <v>7.348554085</v>
      </c>
      <c r="S2396">
        <v>8.1948010750000009</v>
      </c>
      <c r="T2396">
        <v>8.4550489100000004</v>
      </c>
      <c r="U2396">
        <v>8.5312396449999994</v>
      </c>
      <c r="V2396">
        <v>8.6219394299999994</v>
      </c>
      <c r="W2396">
        <v>9.5428415399999995</v>
      </c>
      <c r="X2396">
        <v>9.9634641199999994</v>
      </c>
      <c r="Y2396">
        <v>10.146670179999999</v>
      </c>
      <c r="Z2396">
        <v>10.04324124</v>
      </c>
      <c r="AA2396">
        <v>9.6963656100000009</v>
      </c>
      <c r="AB2396">
        <v>9.2845243049999997</v>
      </c>
    </row>
    <row r="2397" spans="1:28" hidden="1" x14ac:dyDescent="0.25">
      <c r="A2397" t="s">
        <v>500</v>
      </c>
      <c r="B2397" t="s">
        <v>523</v>
      </c>
      <c r="C2397">
        <v>115</v>
      </c>
      <c r="D2397" t="s">
        <v>3</v>
      </c>
      <c r="E2397">
        <v>3.4191201895000001</v>
      </c>
      <c r="F2397">
        <v>3.1580135006000001</v>
      </c>
      <c r="G2397">
        <v>3.0542421113999998</v>
      </c>
      <c r="H2397">
        <v>2.9248865258999999</v>
      </c>
      <c r="I2397">
        <v>2.8511862458000001</v>
      </c>
      <c r="J2397">
        <v>2.8088293269000002</v>
      </c>
      <c r="K2397">
        <v>2.7918698353</v>
      </c>
      <c r="L2397">
        <v>3.2044156956999998</v>
      </c>
      <c r="M2397">
        <v>3.4063023383000002</v>
      </c>
      <c r="N2397">
        <v>3.5406898834999998</v>
      </c>
      <c r="O2397">
        <v>3.7264204873</v>
      </c>
      <c r="P2397">
        <v>3.7261808220999999</v>
      </c>
      <c r="Q2397">
        <v>3.6056629812000001</v>
      </c>
      <c r="R2397">
        <v>3.8114659206999999</v>
      </c>
      <c r="S2397">
        <v>4.0359925734999997</v>
      </c>
      <c r="T2397">
        <v>4.0349072319000001</v>
      </c>
      <c r="U2397">
        <v>4.0224971462000001</v>
      </c>
      <c r="V2397">
        <v>4.0032664900999997</v>
      </c>
      <c r="W2397">
        <v>4.2359586197999999</v>
      </c>
      <c r="X2397">
        <v>3.9690807566999999</v>
      </c>
      <c r="Y2397">
        <v>3.8845516895999999</v>
      </c>
      <c r="Z2397">
        <v>3.7736878262000002</v>
      </c>
      <c r="AA2397">
        <v>3.6934710037</v>
      </c>
      <c r="AB2397">
        <v>3.5544877221000002</v>
      </c>
    </row>
    <row r="2398" spans="1:28" hidden="1" x14ac:dyDescent="0.25">
      <c r="A2398" t="s">
        <v>500</v>
      </c>
      <c r="B2398" t="s">
        <v>523</v>
      </c>
      <c r="C2398">
        <v>115</v>
      </c>
      <c r="D2398" t="s">
        <v>4</v>
      </c>
      <c r="E2398">
        <v>0.13269468000000001</v>
      </c>
      <c r="F2398">
        <v>0.12561793499999999</v>
      </c>
      <c r="G2398">
        <v>0.120384045</v>
      </c>
      <c r="H2398">
        <v>0.117529815</v>
      </c>
      <c r="I2398">
        <v>0.11398688999999999</v>
      </c>
      <c r="J2398">
        <v>0.11463186</v>
      </c>
      <c r="K2398">
        <v>0.11180443499999999</v>
      </c>
      <c r="L2398">
        <v>0.114957405</v>
      </c>
      <c r="M2398">
        <v>0.113925105</v>
      </c>
      <c r="N2398">
        <v>0.11100471000000001</v>
      </c>
      <c r="O2398">
        <v>0.11241174</v>
      </c>
      <c r="P2398">
        <v>0.10911311999999999</v>
      </c>
      <c r="Q2398">
        <v>0.10524984</v>
      </c>
      <c r="R2398">
        <v>0.111906915</v>
      </c>
      <c r="S2398">
        <v>0.124793925</v>
      </c>
      <c r="T2398">
        <v>0.12875708999999999</v>
      </c>
      <c r="U2398">
        <v>0.12991735500000001</v>
      </c>
      <c r="V2398">
        <v>0.13129857</v>
      </c>
      <c r="W2398">
        <v>0.14532245999999999</v>
      </c>
      <c r="X2398">
        <v>0.15172788000000001</v>
      </c>
      <c r="Y2398">
        <v>0.15451782</v>
      </c>
      <c r="Z2398">
        <v>0.15294276000000001</v>
      </c>
      <c r="AA2398">
        <v>0.14766039</v>
      </c>
      <c r="AB2398">
        <v>0.14138869500000001</v>
      </c>
    </row>
    <row r="2399" spans="1:28" hidden="1" x14ac:dyDescent="0.25">
      <c r="A2399" t="s">
        <v>500</v>
      </c>
      <c r="B2399" t="s">
        <v>524</v>
      </c>
      <c r="C2399">
        <v>34</v>
      </c>
      <c r="D2399" t="s">
        <v>2</v>
      </c>
      <c r="E2399">
        <v>10.98114011</v>
      </c>
      <c r="F2399">
        <v>10.65853557</v>
      </c>
      <c r="G2399">
        <v>10.42616625</v>
      </c>
      <c r="H2399">
        <v>10.179998680000001</v>
      </c>
      <c r="I2399">
        <v>10.07514168</v>
      </c>
      <c r="J2399">
        <v>10.064035179999999</v>
      </c>
      <c r="K2399">
        <v>9.8311158699999996</v>
      </c>
      <c r="L2399">
        <v>9.2217744800000006</v>
      </c>
      <c r="M2399">
        <v>8.4940232499999997</v>
      </c>
      <c r="N2399">
        <v>6.6791387000000002</v>
      </c>
      <c r="O2399">
        <v>2.02891602</v>
      </c>
      <c r="P2399">
        <v>0.76368681999999999</v>
      </c>
      <c r="Q2399">
        <v>0</v>
      </c>
      <c r="R2399">
        <v>0.92184047000000002</v>
      </c>
      <c r="S2399">
        <v>1.71117991</v>
      </c>
      <c r="T2399">
        <v>5.7853448099999998</v>
      </c>
      <c r="U2399">
        <v>6.0398922099999997</v>
      </c>
      <c r="V2399">
        <v>7.7250576899999999</v>
      </c>
      <c r="W2399">
        <v>11.013516770000001</v>
      </c>
      <c r="X2399">
        <v>12.051052049999999</v>
      </c>
      <c r="Y2399">
        <v>12.103397129999999</v>
      </c>
      <c r="Z2399">
        <v>12.160078110000001</v>
      </c>
      <c r="AA2399">
        <v>11.914941649999999</v>
      </c>
      <c r="AB2399">
        <v>11.61364607</v>
      </c>
    </row>
    <row r="2400" spans="1:28" hidden="1" x14ac:dyDescent="0.25">
      <c r="A2400" t="s">
        <v>500</v>
      </c>
      <c r="B2400" t="s">
        <v>524</v>
      </c>
      <c r="C2400">
        <v>34</v>
      </c>
      <c r="D2400" t="s">
        <v>3</v>
      </c>
      <c r="E2400">
        <v>3.5347396061</v>
      </c>
      <c r="F2400">
        <v>3.4423988741999998</v>
      </c>
      <c r="G2400">
        <v>3.3221770946000002</v>
      </c>
      <c r="H2400">
        <v>3.2474306841999998</v>
      </c>
      <c r="I2400">
        <v>3.1993470566000002</v>
      </c>
      <c r="J2400">
        <v>3.1848248159999999</v>
      </c>
      <c r="K2400">
        <v>3.6007340400999999</v>
      </c>
      <c r="L2400">
        <v>6.0168618232000002</v>
      </c>
      <c r="M2400">
        <v>5.8604370552000002</v>
      </c>
      <c r="N2400">
        <v>6.7588501446000002</v>
      </c>
      <c r="O2400">
        <v>7.7323981564000004</v>
      </c>
      <c r="P2400">
        <v>8.2296509120000003</v>
      </c>
      <c r="Q2400">
        <v>0</v>
      </c>
      <c r="R2400">
        <v>8.6147326869</v>
      </c>
      <c r="S2400">
        <v>8.1450508477000003</v>
      </c>
      <c r="T2400">
        <v>7.7823723985999997</v>
      </c>
      <c r="U2400">
        <v>7.5735826121000001</v>
      </c>
      <c r="V2400">
        <v>7.3729681716000002</v>
      </c>
      <c r="W2400">
        <v>7.2749315110000001</v>
      </c>
      <c r="X2400">
        <v>4.2813608433999999</v>
      </c>
      <c r="Y2400">
        <v>3.5395287225000001</v>
      </c>
      <c r="Z2400">
        <v>3.5419747193000002</v>
      </c>
      <c r="AA2400">
        <v>3.5620952210999999</v>
      </c>
      <c r="AB2400">
        <v>3.6069892888999999</v>
      </c>
    </row>
    <row r="2401" spans="1:28" hidden="1" x14ac:dyDescent="0.25">
      <c r="A2401" t="s">
        <v>500</v>
      </c>
      <c r="B2401" t="s">
        <v>524</v>
      </c>
      <c r="C2401">
        <v>34</v>
      </c>
      <c r="D2401" t="s">
        <v>4</v>
      </c>
      <c r="E2401">
        <v>0.33962289000000001</v>
      </c>
      <c r="F2401">
        <v>0.32964543000000002</v>
      </c>
      <c r="G2401">
        <v>0.32245875000000002</v>
      </c>
      <c r="H2401">
        <v>0.31484531999999998</v>
      </c>
      <c r="I2401">
        <v>0.31160231999999999</v>
      </c>
      <c r="J2401">
        <v>0.31125881999999999</v>
      </c>
      <c r="K2401">
        <v>0.30405513000000001</v>
      </c>
      <c r="L2401">
        <v>0.28520951999999999</v>
      </c>
      <c r="M2401">
        <v>0.26270175000000001</v>
      </c>
      <c r="N2401">
        <v>0.20657130000000001</v>
      </c>
      <c r="O2401">
        <v>6.2749979999999997E-2</v>
      </c>
      <c r="P2401">
        <v>2.361918E-2</v>
      </c>
      <c r="Q2401">
        <v>0</v>
      </c>
      <c r="R2401">
        <v>2.8510529999999999E-2</v>
      </c>
      <c r="S2401">
        <v>5.2923089999999999E-2</v>
      </c>
      <c r="T2401">
        <v>0.17892818999999999</v>
      </c>
      <c r="U2401">
        <v>0.18680078999999999</v>
      </c>
      <c r="V2401">
        <v>0.23891931</v>
      </c>
      <c r="W2401">
        <v>0.34062422999999997</v>
      </c>
      <c r="X2401">
        <v>0.37271294999999999</v>
      </c>
      <c r="Y2401">
        <v>0.37433187000000001</v>
      </c>
      <c r="Z2401">
        <v>0.37608489000000001</v>
      </c>
      <c r="AA2401">
        <v>0.36850335000000001</v>
      </c>
      <c r="AB2401">
        <v>0.35918493000000001</v>
      </c>
    </row>
    <row r="2402" spans="1:28" hidden="1" x14ac:dyDescent="0.25">
      <c r="A2402" t="s">
        <v>500</v>
      </c>
      <c r="B2402" t="s">
        <v>525</v>
      </c>
      <c r="C2402">
        <v>115</v>
      </c>
      <c r="D2402" t="s">
        <v>2</v>
      </c>
      <c r="E2402">
        <v>1.8088205100000001</v>
      </c>
      <c r="F2402">
        <v>1.795929815</v>
      </c>
      <c r="G2402">
        <v>1.8152929449999999</v>
      </c>
      <c r="H2402">
        <v>1.884855615</v>
      </c>
      <c r="I2402">
        <v>1.94785523</v>
      </c>
      <c r="J2402">
        <v>1.9397013999999999</v>
      </c>
      <c r="K2402">
        <v>1.839076755</v>
      </c>
      <c r="L2402">
        <v>2.0632272949999999</v>
      </c>
      <c r="M2402">
        <v>1.9215478500000001</v>
      </c>
      <c r="N2402">
        <v>1.9670164349999999</v>
      </c>
      <c r="O2402">
        <v>1.9157087699999999</v>
      </c>
      <c r="P2402">
        <v>1.9428671900000001</v>
      </c>
      <c r="Q2402">
        <v>1.8422455</v>
      </c>
      <c r="R2402">
        <v>2.016522535</v>
      </c>
      <c r="S2402">
        <v>2.0637168400000001</v>
      </c>
      <c r="T2402">
        <v>2.0131065549999998</v>
      </c>
      <c r="U2402">
        <v>1.895357685</v>
      </c>
      <c r="V2402">
        <v>2.1130988300000002</v>
      </c>
      <c r="W2402">
        <v>1.97005122</v>
      </c>
      <c r="X2402">
        <v>2.0730507</v>
      </c>
      <c r="Y2402">
        <v>1.976145415</v>
      </c>
      <c r="Z2402">
        <v>2.076711945</v>
      </c>
      <c r="AA2402">
        <v>2.0236204450000002</v>
      </c>
      <c r="AB2402">
        <v>1.768170545</v>
      </c>
    </row>
    <row r="2403" spans="1:28" hidden="1" x14ac:dyDescent="0.25">
      <c r="A2403" t="s">
        <v>500</v>
      </c>
      <c r="B2403" t="s">
        <v>525</v>
      </c>
      <c r="C2403">
        <v>115</v>
      </c>
      <c r="D2403" t="s">
        <v>3</v>
      </c>
      <c r="E2403">
        <v>-2.6837312396000002</v>
      </c>
      <c r="F2403">
        <v>-2.8021348282999998</v>
      </c>
      <c r="G2403">
        <v>-2.8353103210000001</v>
      </c>
      <c r="H2403">
        <v>-2.8951524807000002</v>
      </c>
      <c r="I2403">
        <v>-3.0044421446</v>
      </c>
      <c r="J2403">
        <v>-3.0864674352999999</v>
      </c>
      <c r="K2403">
        <v>-3.0659038777999998</v>
      </c>
      <c r="L2403">
        <v>-3.3237641625999998</v>
      </c>
      <c r="M2403">
        <v>-3.1739160743000001</v>
      </c>
      <c r="N2403">
        <v>-2.9744482575000002</v>
      </c>
      <c r="O2403">
        <v>-3.0315611649999998</v>
      </c>
      <c r="P2403">
        <v>-2.8203294673000001</v>
      </c>
      <c r="Q2403">
        <v>-2.6117687486999999</v>
      </c>
      <c r="R2403">
        <v>-2.7424025365000002</v>
      </c>
      <c r="S2403">
        <v>-2.7616712823</v>
      </c>
      <c r="T2403">
        <v>-2.6048394946000002</v>
      </c>
      <c r="U2403">
        <v>-2.6675898760000001</v>
      </c>
      <c r="V2403">
        <v>-2.4843356356999999</v>
      </c>
      <c r="W2403">
        <v>-2.8746974576</v>
      </c>
      <c r="X2403">
        <v>-2.6247932786999999</v>
      </c>
      <c r="Y2403">
        <v>-2.5416924871000002</v>
      </c>
      <c r="Z2403">
        <v>-2.5051700046000001</v>
      </c>
      <c r="AA2403">
        <v>-2.4527628529999999</v>
      </c>
      <c r="AB2403">
        <v>-2.6474273591999999</v>
      </c>
    </row>
    <row r="2404" spans="1:28" hidden="1" x14ac:dyDescent="0.25">
      <c r="A2404" t="s">
        <v>500</v>
      </c>
      <c r="B2404" t="s">
        <v>525</v>
      </c>
      <c r="C2404">
        <v>115</v>
      </c>
      <c r="D2404" t="s">
        <v>4</v>
      </c>
      <c r="E2404">
        <v>2.7545489999999999E-2</v>
      </c>
      <c r="F2404">
        <v>2.7349185000000002E-2</v>
      </c>
      <c r="G2404">
        <v>2.7644055000000001E-2</v>
      </c>
      <c r="H2404">
        <v>2.8703385000000001E-2</v>
      </c>
      <c r="I2404">
        <v>2.9662770000000001E-2</v>
      </c>
      <c r="J2404">
        <v>2.9538600000000002E-2</v>
      </c>
      <c r="K2404">
        <v>2.8006244999999999E-2</v>
      </c>
      <c r="L2404">
        <v>3.1419704999999999E-2</v>
      </c>
      <c r="M2404">
        <v>2.9262150000000001E-2</v>
      </c>
      <c r="N2404">
        <v>2.9954564999999999E-2</v>
      </c>
      <c r="O2404">
        <v>2.9173230000000001E-2</v>
      </c>
      <c r="P2404">
        <v>2.9586810000000002E-2</v>
      </c>
      <c r="Q2404">
        <v>2.80545E-2</v>
      </c>
      <c r="R2404">
        <v>3.0708465000000001E-2</v>
      </c>
      <c r="S2404">
        <v>3.1427160000000003E-2</v>
      </c>
      <c r="T2404">
        <v>3.0656445000000001E-2</v>
      </c>
      <c r="U2404">
        <v>2.8863315E-2</v>
      </c>
      <c r="V2404">
        <v>3.217917E-2</v>
      </c>
      <c r="W2404">
        <v>3.0000780000000001E-2</v>
      </c>
      <c r="X2404">
        <v>3.1569300000000002E-2</v>
      </c>
      <c r="Y2404">
        <v>3.0093584999999999E-2</v>
      </c>
      <c r="Z2404">
        <v>3.1625054999999999E-2</v>
      </c>
      <c r="AA2404">
        <v>3.0816554999999999E-2</v>
      </c>
      <c r="AB2404">
        <v>2.6926454999999998E-2</v>
      </c>
    </row>
    <row r="2405" spans="1:28" hidden="1" x14ac:dyDescent="0.25">
      <c r="A2405" t="s">
        <v>500</v>
      </c>
      <c r="B2405" t="s">
        <v>526</v>
      </c>
      <c r="C2405">
        <v>115</v>
      </c>
      <c r="D2405" t="s">
        <v>2</v>
      </c>
      <c r="E2405">
        <v>17.471495614999998</v>
      </c>
      <c r="F2405">
        <v>16.660832735</v>
      </c>
      <c r="G2405">
        <v>16.019686385</v>
      </c>
      <c r="H2405">
        <v>15.629925825000001</v>
      </c>
      <c r="I2405">
        <v>15.443136335</v>
      </c>
      <c r="J2405">
        <v>15.49253113</v>
      </c>
      <c r="K2405">
        <v>14.98485228</v>
      </c>
      <c r="L2405">
        <v>15.61599103</v>
      </c>
      <c r="M2405">
        <v>16.131645424999999</v>
      </c>
      <c r="N2405">
        <v>16.678029850000001</v>
      </c>
      <c r="O2405">
        <v>17.586770165000001</v>
      </c>
      <c r="P2405">
        <v>17.865300585</v>
      </c>
      <c r="Q2405">
        <v>17.968860530000001</v>
      </c>
      <c r="R2405">
        <v>19.093045955000001</v>
      </c>
      <c r="S2405">
        <v>20.298221035000001</v>
      </c>
      <c r="T2405">
        <v>20.252288515</v>
      </c>
      <c r="U2405">
        <v>19.75005376</v>
      </c>
      <c r="V2405">
        <v>19.232921865000002</v>
      </c>
      <c r="W2405">
        <v>20.414925804999999</v>
      </c>
      <c r="X2405">
        <v>20.815990225</v>
      </c>
      <c r="Y2405">
        <v>20.988877424999998</v>
      </c>
      <c r="Z2405">
        <v>20.388127895</v>
      </c>
      <c r="AA2405">
        <v>19.786114609999998</v>
      </c>
      <c r="AB2405">
        <v>18.794147705</v>
      </c>
    </row>
    <row r="2406" spans="1:28" hidden="1" x14ac:dyDescent="0.25">
      <c r="A2406" t="s">
        <v>500</v>
      </c>
      <c r="B2406" t="s">
        <v>526</v>
      </c>
      <c r="C2406">
        <v>115</v>
      </c>
      <c r="D2406" t="s">
        <v>3</v>
      </c>
      <c r="E2406">
        <v>8.9750880560000006</v>
      </c>
      <c r="F2406">
        <v>8.4570383095999997</v>
      </c>
      <c r="G2406">
        <v>8.4804807512</v>
      </c>
      <c r="H2406">
        <v>8.4191373403000007</v>
      </c>
      <c r="I2406">
        <v>8.4400767809000001</v>
      </c>
      <c r="J2406">
        <v>8.5801175907000005</v>
      </c>
      <c r="K2406">
        <v>8.3635458157000002</v>
      </c>
      <c r="L2406">
        <v>9.1955857220000006</v>
      </c>
      <c r="M2406">
        <v>9.4649659000999993</v>
      </c>
      <c r="N2406">
        <v>9.6079516668</v>
      </c>
      <c r="O2406">
        <v>10.1314627231</v>
      </c>
      <c r="P2406">
        <v>10.320510004799999</v>
      </c>
      <c r="Q2406">
        <v>10.279599962700001</v>
      </c>
      <c r="R2406">
        <v>10.7334569859</v>
      </c>
      <c r="S2406">
        <v>11.508970731</v>
      </c>
      <c r="T2406">
        <v>11.6021370087</v>
      </c>
      <c r="U2406">
        <v>11.419833622400001</v>
      </c>
      <c r="V2406">
        <v>10.7448850249</v>
      </c>
      <c r="W2406">
        <v>11.029908372</v>
      </c>
      <c r="X2406">
        <v>11.2579111336</v>
      </c>
      <c r="Y2406">
        <v>10.8804908961</v>
      </c>
      <c r="Z2406">
        <v>10.563445420300001</v>
      </c>
      <c r="AA2406">
        <v>10.1586318774</v>
      </c>
      <c r="AB2406">
        <v>9.7323938618000003</v>
      </c>
    </row>
    <row r="2407" spans="1:28" hidden="1" x14ac:dyDescent="0.25">
      <c r="A2407" t="s">
        <v>500</v>
      </c>
      <c r="B2407" t="s">
        <v>526</v>
      </c>
      <c r="C2407">
        <v>115</v>
      </c>
      <c r="D2407" t="s">
        <v>4</v>
      </c>
      <c r="E2407">
        <v>0.26606338499999999</v>
      </c>
      <c r="F2407">
        <v>0.253718265</v>
      </c>
      <c r="G2407">
        <v>0.24395461500000001</v>
      </c>
      <c r="H2407">
        <v>0.238019175</v>
      </c>
      <c r="I2407">
        <v>0.235174665</v>
      </c>
      <c r="J2407">
        <v>0.23592687000000001</v>
      </c>
      <c r="K2407">
        <v>0.22819571999999999</v>
      </c>
      <c r="L2407">
        <v>0.23780697000000001</v>
      </c>
      <c r="M2407">
        <v>0.24565957499999999</v>
      </c>
      <c r="N2407">
        <v>0.25398015000000002</v>
      </c>
      <c r="O2407">
        <v>0.26781883499999998</v>
      </c>
      <c r="P2407">
        <v>0.272060415</v>
      </c>
      <c r="Q2407">
        <v>0.27363746999999999</v>
      </c>
      <c r="R2407">
        <v>0.29075704499999999</v>
      </c>
      <c r="S2407">
        <v>0.30910996499999999</v>
      </c>
      <c r="T2407">
        <v>0.30841048500000001</v>
      </c>
      <c r="U2407">
        <v>0.30076224000000001</v>
      </c>
      <c r="V2407">
        <v>0.29288713500000002</v>
      </c>
      <c r="W2407">
        <v>0.31088719500000001</v>
      </c>
      <c r="X2407">
        <v>0.31699477500000001</v>
      </c>
      <c r="Y2407">
        <v>0.319627575</v>
      </c>
      <c r="Z2407">
        <v>0.31047910499999998</v>
      </c>
      <c r="AA2407">
        <v>0.30131139000000001</v>
      </c>
      <c r="AB2407">
        <v>0.28620529500000003</v>
      </c>
    </row>
    <row r="2408" spans="1:28" hidden="1" x14ac:dyDescent="0.25">
      <c r="A2408" t="s">
        <v>500</v>
      </c>
      <c r="B2408" t="s">
        <v>527</v>
      </c>
      <c r="C2408">
        <v>115</v>
      </c>
      <c r="D2408" t="s">
        <v>2</v>
      </c>
      <c r="E2408">
        <v>0.97080221</v>
      </c>
      <c r="F2408">
        <v>0.99211760999999998</v>
      </c>
      <c r="G2408">
        <v>1.0543912799999999</v>
      </c>
      <c r="H2408">
        <v>1.10482328</v>
      </c>
      <c r="I2408">
        <v>1.0424383049999999</v>
      </c>
      <c r="J2408">
        <v>1.256904325</v>
      </c>
      <c r="K2408">
        <v>1.26563241</v>
      </c>
      <c r="L2408">
        <v>1.307036885</v>
      </c>
      <c r="M2408">
        <v>1.284630105</v>
      </c>
      <c r="N2408">
        <v>1.581178145</v>
      </c>
      <c r="O2408">
        <v>2.0643068549999999</v>
      </c>
      <c r="P2408">
        <v>1.8479919899999999</v>
      </c>
      <c r="Q2408">
        <v>1.8303092700000001</v>
      </c>
      <c r="R2408">
        <v>1.637135995</v>
      </c>
      <c r="S2408">
        <v>1.7719647650000001</v>
      </c>
      <c r="T2408">
        <v>1.5282294700000001</v>
      </c>
      <c r="U2408">
        <v>1.520545485</v>
      </c>
      <c r="V2408">
        <v>1.3439477900000001</v>
      </c>
      <c r="W2408">
        <v>1.4721258399999999</v>
      </c>
      <c r="X2408">
        <v>1.36351186</v>
      </c>
      <c r="Y2408">
        <v>1.1128608799999999</v>
      </c>
      <c r="Z2408">
        <v>1.0712278850000001</v>
      </c>
      <c r="AA2408">
        <v>0.95687825000000004</v>
      </c>
      <c r="AB2408">
        <v>0.94933118000000005</v>
      </c>
    </row>
    <row r="2409" spans="1:28" hidden="1" x14ac:dyDescent="0.25">
      <c r="A2409" t="s">
        <v>500</v>
      </c>
      <c r="B2409" t="s">
        <v>527</v>
      </c>
      <c r="C2409">
        <v>115</v>
      </c>
      <c r="D2409" t="s">
        <v>3</v>
      </c>
      <c r="E2409">
        <v>0.6435358242</v>
      </c>
      <c r="F2409">
        <v>0.64473043490000004</v>
      </c>
      <c r="G2409">
        <v>0.63428689370000002</v>
      </c>
      <c r="H2409">
        <v>0.67074918699999997</v>
      </c>
      <c r="I2409">
        <v>0.67743148080000004</v>
      </c>
      <c r="J2409">
        <v>0.6760116934</v>
      </c>
      <c r="K2409">
        <v>0.70741320789999995</v>
      </c>
      <c r="L2409">
        <v>0.82237650179999999</v>
      </c>
      <c r="M2409">
        <v>0.79040073749999995</v>
      </c>
      <c r="N2409">
        <v>0.96036592430000001</v>
      </c>
      <c r="O2409">
        <v>1.0529994935</v>
      </c>
      <c r="P2409">
        <v>0.99995148369999998</v>
      </c>
      <c r="Q2409">
        <v>0.99137759120000002</v>
      </c>
      <c r="R2409">
        <v>1.0562024359</v>
      </c>
      <c r="S2409">
        <v>1.034960474</v>
      </c>
      <c r="T2409">
        <v>0.95954583189999998</v>
      </c>
      <c r="U2409">
        <v>0.91671799610000004</v>
      </c>
      <c r="V2409">
        <v>0.86459328469999996</v>
      </c>
      <c r="W2409">
        <v>0.91040735750000001</v>
      </c>
      <c r="X2409">
        <v>0.80978291089999999</v>
      </c>
      <c r="Y2409">
        <v>0.74263255399999994</v>
      </c>
      <c r="Z2409">
        <v>0.72014830019999998</v>
      </c>
      <c r="AA2409">
        <v>0.67088860959999996</v>
      </c>
      <c r="AB2409">
        <v>0.651287952</v>
      </c>
    </row>
    <row r="2410" spans="1:28" hidden="1" x14ac:dyDescent="0.25">
      <c r="A2410" t="s">
        <v>500</v>
      </c>
      <c r="B2410" t="s">
        <v>527</v>
      </c>
      <c r="C2410">
        <v>115</v>
      </c>
      <c r="D2410" t="s">
        <v>4</v>
      </c>
      <c r="E2410">
        <v>1.478379E-2</v>
      </c>
      <c r="F2410">
        <v>1.5108389999999999E-2</v>
      </c>
      <c r="G2410">
        <v>1.605672E-2</v>
      </c>
      <c r="H2410">
        <v>1.6824720000000001E-2</v>
      </c>
      <c r="I2410">
        <v>1.5874695000000001E-2</v>
      </c>
      <c r="J2410">
        <v>1.9140674999999999E-2</v>
      </c>
      <c r="K2410">
        <v>1.927359E-2</v>
      </c>
      <c r="L2410">
        <v>1.9904115E-2</v>
      </c>
      <c r="M2410">
        <v>1.9562895E-2</v>
      </c>
      <c r="N2410">
        <v>2.4078855E-2</v>
      </c>
      <c r="O2410">
        <v>3.1436144999999999E-2</v>
      </c>
      <c r="P2410">
        <v>2.8142009999999999E-2</v>
      </c>
      <c r="Q2410">
        <v>2.7872729999999998E-2</v>
      </c>
      <c r="R2410">
        <v>2.4931004999999999E-2</v>
      </c>
      <c r="S2410">
        <v>2.6984234999999999E-2</v>
      </c>
      <c r="T2410">
        <v>2.327253E-2</v>
      </c>
      <c r="U2410">
        <v>2.3155515000000002E-2</v>
      </c>
      <c r="V2410">
        <v>2.0466209999999999E-2</v>
      </c>
      <c r="W2410">
        <v>2.2418159999999999E-2</v>
      </c>
      <c r="X2410">
        <v>2.076414E-2</v>
      </c>
      <c r="Y2410">
        <v>1.694712E-2</v>
      </c>
      <c r="Z2410">
        <v>1.6313115E-2</v>
      </c>
      <c r="AA2410">
        <v>1.457175E-2</v>
      </c>
      <c r="AB2410">
        <v>1.445682E-2</v>
      </c>
    </row>
    <row r="2411" spans="1:28" hidden="1" x14ac:dyDescent="0.25">
      <c r="A2411" t="s">
        <v>528</v>
      </c>
      <c r="B2411" t="s">
        <v>529</v>
      </c>
      <c r="C2411">
        <v>110</v>
      </c>
      <c r="D2411" t="s">
        <v>2</v>
      </c>
      <c r="E2411">
        <v>42.487055009999999</v>
      </c>
      <c r="F2411">
        <v>40.867332830000002</v>
      </c>
      <c r="G2411">
        <v>38.710510835000001</v>
      </c>
      <c r="H2411">
        <v>36.674278450000003</v>
      </c>
      <c r="I2411">
        <v>36.27649211</v>
      </c>
      <c r="J2411">
        <v>33.991923495000002</v>
      </c>
      <c r="K2411">
        <v>29.676279954999998</v>
      </c>
      <c r="L2411">
        <v>32.037866704999999</v>
      </c>
      <c r="M2411">
        <v>38.231210820000001</v>
      </c>
      <c r="N2411">
        <v>40.625028739999998</v>
      </c>
      <c r="O2411">
        <v>40.46878804</v>
      </c>
      <c r="P2411">
        <v>44.812566134999997</v>
      </c>
      <c r="Q2411">
        <v>43.051124125000001</v>
      </c>
      <c r="R2411">
        <v>44.167923035000001</v>
      </c>
      <c r="S2411">
        <v>52.600782850000002</v>
      </c>
      <c r="T2411">
        <v>51.699125670000001</v>
      </c>
      <c r="U2411">
        <v>49.394885619999997</v>
      </c>
      <c r="V2411">
        <v>45.908090029999997</v>
      </c>
      <c r="W2411">
        <v>50.473489184999998</v>
      </c>
      <c r="X2411">
        <v>48.332256784999998</v>
      </c>
      <c r="Y2411">
        <v>48.512300009999997</v>
      </c>
      <c r="Z2411">
        <v>46.854004244999999</v>
      </c>
      <c r="AA2411">
        <v>47.479648664999999</v>
      </c>
      <c r="AB2411">
        <v>46.204841965</v>
      </c>
    </row>
    <row r="2412" spans="1:28" hidden="1" x14ac:dyDescent="0.25">
      <c r="A2412" t="s">
        <v>528</v>
      </c>
      <c r="B2412" t="s">
        <v>529</v>
      </c>
      <c r="C2412">
        <v>110</v>
      </c>
      <c r="D2412" t="s">
        <v>3</v>
      </c>
      <c r="E2412">
        <v>19.937649193199999</v>
      </c>
      <c r="F2412">
        <v>19.190482052099998</v>
      </c>
      <c r="G2412">
        <v>18.207682157299999</v>
      </c>
      <c r="H2412">
        <v>17.072726680500001</v>
      </c>
      <c r="I2412">
        <v>16.7681244083</v>
      </c>
      <c r="J2412">
        <v>15.4990564178</v>
      </c>
      <c r="K2412">
        <v>13.2821825276</v>
      </c>
      <c r="L2412">
        <v>14.360798173299999</v>
      </c>
      <c r="M2412">
        <v>17.5864071556</v>
      </c>
      <c r="N2412">
        <v>19.125666371200001</v>
      </c>
      <c r="O2412">
        <v>19.576998934199999</v>
      </c>
      <c r="P2412">
        <v>22.4309769334</v>
      </c>
      <c r="Q2412">
        <v>21.798894751599999</v>
      </c>
      <c r="R2412">
        <v>22.4564422487</v>
      </c>
      <c r="S2412">
        <v>26.486436838100001</v>
      </c>
      <c r="T2412">
        <v>26.871700153199999</v>
      </c>
      <c r="U2412">
        <v>25.680824970300002</v>
      </c>
      <c r="V2412">
        <v>23.515598763100002</v>
      </c>
      <c r="W2412">
        <v>24.9549671983</v>
      </c>
      <c r="X2412">
        <v>23.155909233300001</v>
      </c>
      <c r="Y2412">
        <v>22.412668603899998</v>
      </c>
      <c r="Z2412">
        <v>20.7979585876</v>
      </c>
      <c r="AA2412">
        <v>20.9704772694</v>
      </c>
      <c r="AB2412">
        <v>21.2274880951</v>
      </c>
    </row>
    <row r="2413" spans="1:28" hidden="1" x14ac:dyDescent="0.25">
      <c r="A2413" t="s">
        <v>528</v>
      </c>
      <c r="B2413" t="s">
        <v>529</v>
      </c>
      <c r="C2413">
        <v>110</v>
      </c>
      <c r="D2413" t="s">
        <v>4</v>
      </c>
      <c r="E2413">
        <v>0.64701098999999995</v>
      </c>
      <c r="F2413">
        <v>0.62234517</v>
      </c>
      <c r="G2413">
        <v>0.58950016500000002</v>
      </c>
      <c r="H2413">
        <v>0.55849154999999995</v>
      </c>
      <c r="I2413">
        <v>0.55243388999999998</v>
      </c>
      <c r="J2413">
        <v>0.517643505</v>
      </c>
      <c r="K2413">
        <v>0.45192304500000002</v>
      </c>
      <c r="L2413">
        <v>0.48788629500000003</v>
      </c>
      <c r="M2413">
        <v>0.58220117999999998</v>
      </c>
      <c r="N2413">
        <v>0.61865526000000004</v>
      </c>
      <c r="O2413">
        <v>0.61627595999999996</v>
      </c>
      <c r="P2413">
        <v>0.68242486499999999</v>
      </c>
      <c r="Q2413">
        <v>0.65560087499999997</v>
      </c>
      <c r="R2413">
        <v>0.67260796499999997</v>
      </c>
      <c r="S2413">
        <v>0.80102715000000002</v>
      </c>
      <c r="T2413">
        <v>0.78729632999999999</v>
      </c>
      <c r="U2413">
        <v>0.75220637999999995</v>
      </c>
      <c r="V2413">
        <v>0.69910797000000002</v>
      </c>
      <c r="W2413">
        <v>0.768631815</v>
      </c>
      <c r="X2413">
        <v>0.73602421500000004</v>
      </c>
      <c r="Y2413">
        <v>0.73876598999999998</v>
      </c>
      <c r="Z2413">
        <v>0.713512755</v>
      </c>
      <c r="AA2413">
        <v>0.72304033499999998</v>
      </c>
      <c r="AB2413">
        <v>0.70362703500000001</v>
      </c>
    </row>
    <row r="2414" spans="1:28" hidden="1" x14ac:dyDescent="0.25">
      <c r="A2414" t="s">
        <v>528</v>
      </c>
      <c r="B2414" t="s">
        <v>530</v>
      </c>
      <c r="C2414">
        <v>66</v>
      </c>
      <c r="D2414" t="s">
        <v>2</v>
      </c>
      <c r="E2414">
        <v>12.311433245</v>
      </c>
      <c r="F2414">
        <v>12.323660050000001</v>
      </c>
      <c r="G2414">
        <v>12.286398484999999</v>
      </c>
      <c r="H2414">
        <v>12.206834125</v>
      </c>
      <c r="I2414">
        <v>11.880720325</v>
      </c>
      <c r="J2414">
        <v>11.08942747</v>
      </c>
      <c r="K2414">
        <v>9.7632510499999992</v>
      </c>
      <c r="L2414">
        <v>9.7623458349999996</v>
      </c>
      <c r="M2414">
        <v>9.3672318000000008</v>
      </c>
      <c r="N2414">
        <v>9.325813535</v>
      </c>
      <c r="O2414">
        <v>9.4982781700000007</v>
      </c>
      <c r="P2414">
        <v>9.6865678150000001</v>
      </c>
      <c r="Q2414">
        <v>9.7556005549999991</v>
      </c>
      <c r="R2414">
        <v>10.516766199999999</v>
      </c>
      <c r="S2414">
        <v>10.685292805</v>
      </c>
      <c r="T2414">
        <v>10.472217605000001</v>
      </c>
      <c r="U2414">
        <v>10.37034004</v>
      </c>
      <c r="V2414">
        <v>11.980594399999999</v>
      </c>
      <c r="W2414">
        <v>14.69776615</v>
      </c>
      <c r="X2414">
        <v>14.34045543</v>
      </c>
      <c r="Y2414">
        <v>14.56814606</v>
      </c>
      <c r="Z2414">
        <v>13.232240794999999</v>
      </c>
      <c r="AA2414">
        <v>13.024815555</v>
      </c>
      <c r="AB2414">
        <v>12.487277414999999</v>
      </c>
    </row>
    <row r="2415" spans="1:28" hidden="1" x14ac:dyDescent="0.25">
      <c r="A2415" t="s">
        <v>528</v>
      </c>
      <c r="B2415" t="s">
        <v>530</v>
      </c>
      <c r="C2415">
        <v>66</v>
      </c>
      <c r="D2415" t="s">
        <v>3</v>
      </c>
      <c r="E2415">
        <v>6.1999476845999997</v>
      </c>
      <c r="F2415">
        <v>6.2541197719000001</v>
      </c>
      <c r="G2415">
        <v>6.2273555260000002</v>
      </c>
      <c r="H2415">
        <v>6.1445502849000002</v>
      </c>
      <c r="I2415">
        <v>5.9860237739000004</v>
      </c>
      <c r="J2415">
        <v>5.7428740712000002</v>
      </c>
      <c r="K2415">
        <v>5.1478720014999997</v>
      </c>
      <c r="L2415">
        <v>5.090574148</v>
      </c>
      <c r="M2415">
        <v>4.9431689345000001</v>
      </c>
      <c r="N2415">
        <v>4.9236112080999996</v>
      </c>
      <c r="O2415">
        <v>4.9899295633999996</v>
      </c>
      <c r="P2415">
        <v>5.0523920158999998</v>
      </c>
      <c r="Q2415">
        <v>5.0671839267000003</v>
      </c>
      <c r="R2415">
        <v>5.4120475461000002</v>
      </c>
      <c r="S2415">
        <v>5.5194341518999996</v>
      </c>
      <c r="T2415">
        <v>5.3928850000999997</v>
      </c>
      <c r="U2415">
        <v>5.3108727683000003</v>
      </c>
      <c r="V2415">
        <v>5.4595668717999999</v>
      </c>
      <c r="W2415">
        <v>6.6024258293999996</v>
      </c>
      <c r="X2415">
        <v>6.6865596974999999</v>
      </c>
      <c r="Y2415">
        <v>7.1227948596999999</v>
      </c>
      <c r="Z2415">
        <v>6.4595499823000004</v>
      </c>
      <c r="AA2415">
        <v>6.4199333478999998</v>
      </c>
      <c r="AB2415">
        <v>6.2239825701999996</v>
      </c>
    </row>
    <row r="2416" spans="1:28" hidden="1" x14ac:dyDescent="0.25">
      <c r="A2416" t="s">
        <v>528</v>
      </c>
      <c r="B2416" t="s">
        <v>530</v>
      </c>
      <c r="C2416">
        <v>66</v>
      </c>
      <c r="D2416" t="s">
        <v>4</v>
      </c>
      <c r="E2416">
        <v>0.187483755</v>
      </c>
      <c r="F2416">
        <v>0.18766995</v>
      </c>
      <c r="G2416">
        <v>0.187102515</v>
      </c>
      <c r="H2416">
        <v>0.18589087500000001</v>
      </c>
      <c r="I2416">
        <v>0.18092467500000001</v>
      </c>
      <c r="J2416">
        <v>0.16887452999999999</v>
      </c>
      <c r="K2416">
        <v>0.14867895</v>
      </c>
      <c r="L2416">
        <v>0.14866516499999999</v>
      </c>
      <c r="M2416">
        <v>0.1426482</v>
      </c>
      <c r="N2416">
        <v>0.14201746500000001</v>
      </c>
      <c r="O2416">
        <v>0.14464383</v>
      </c>
      <c r="P2416">
        <v>0.14751118499999999</v>
      </c>
      <c r="Q2416">
        <v>0.14856244499999999</v>
      </c>
      <c r="R2416">
        <v>0.16015380000000001</v>
      </c>
      <c r="S2416">
        <v>0.16272019500000001</v>
      </c>
      <c r="T2416">
        <v>0.15947539499999999</v>
      </c>
      <c r="U2416">
        <v>0.15792396</v>
      </c>
      <c r="V2416">
        <v>0.18244560000000001</v>
      </c>
      <c r="W2416">
        <v>0.22382384999999999</v>
      </c>
      <c r="X2416">
        <v>0.21838257</v>
      </c>
      <c r="Y2416">
        <v>0.22184994</v>
      </c>
      <c r="Z2416">
        <v>0.20150620499999999</v>
      </c>
      <c r="AA2416">
        <v>0.19834744500000001</v>
      </c>
      <c r="AB2416">
        <v>0.19016158499999999</v>
      </c>
    </row>
    <row r="2417" spans="1:28" hidden="1" x14ac:dyDescent="0.25">
      <c r="A2417" t="s">
        <v>528</v>
      </c>
      <c r="B2417" t="s">
        <v>531</v>
      </c>
      <c r="C2417">
        <v>110</v>
      </c>
      <c r="D2417" t="s">
        <v>2</v>
      </c>
      <c r="E2417">
        <v>22.151409885</v>
      </c>
      <c r="F2417">
        <v>21.713960549999999</v>
      </c>
      <c r="G2417">
        <v>21.204428915000001</v>
      </c>
      <c r="H2417">
        <v>20.719767545</v>
      </c>
      <c r="I2417">
        <v>20.138979039999999</v>
      </c>
      <c r="J2417">
        <v>19.696146679999998</v>
      </c>
      <c r="K2417">
        <v>17.190086040000001</v>
      </c>
      <c r="L2417">
        <v>17.62530829</v>
      </c>
      <c r="M2417">
        <v>17.323351615</v>
      </c>
      <c r="N2417">
        <v>17.102197445000002</v>
      </c>
      <c r="O2417">
        <v>17.288151655</v>
      </c>
      <c r="P2417">
        <v>17.824376789999999</v>
      </c>
      <c r="Q2417">
        <v>17.711547995</v>
      </c>
      <c r="R2417">
        <v>19.161481784999999</v>
      </c>
      <c r="S2417">
        <v>19.834023040000002</v>
      </c>
      <c r="T2417">
        <v>19.368968095</v>
      </c>
      <c r="U2417">
        <v>18.766608089999998</v>
      </c>
      <c r="V2417">
        <v>19.116806125</v>
      </c>
      <c r="W2417">
        <v>25.546117825</v>
      </c>
      <c r="X2417">
        <v>25.50694536</v>
      </c>
      <c r="Y2417">
        <v>26.34687456</v>
      </c>
      <c r="Z2417">
        <v>24.708828425</v>
      </c>
      <c r="AA2417">
        <v>24.066943325</v>
      </c>
      <c r="AB2417">
        <v>22.671494809999999</v>
      </c>
    </row>
    <row r="2418" spans="1:28" hidden="1" x14ac:dyDescent="0.25">
      <c r="A2418" t="s">
        <v>528</v>
      </c>
      <c r="B2418" t="s">
        <v>531</v>
      </c>
      <c r="C2418">
        <v>110</v>
      </c>
      <c r="D2418" t="s">
        <v>3</v>
      </c>
      <c r="E2418">
        <v>8.5272515432000002</v>
      </c>
      <c r="F2418">
        <v>8.5778076367999994</v>
      </c>
      <c r="G2418">
        <v>8.4822147215000001</v>
      </c>
      <c r="H2418">
        <v>8.1811528454999998</v>
      </c>
      <c r="I2418">
        <v>8.0125423510000005</v>
      </c>
      <c r="J2418">
        <v>7.9757205644000004</v>
      </c>
      <c r="K2418">
        <v>7.5460523823000001</v>
      </c>
      <c r="L2418">
        <v>7.5555587280000003</v>
      </c>
      <c r="M2418">
        <v>7.7447393868000001</v>
      </c>
      <c r="N2418">
        <v>7.9525921120999996</v>
      </c>
      <c r="O2418">
        <v>8.0280873714999998</v>
      </c>
      <c r="P2418">
        <v>8.0908879870000003</v>
      </c>
      <c r="Q2418">
        <v>8.0737459905000009</v>
      </c>
      <c r="R2418">
        <v>8.3852747090000008</v>
      </c>
      <c r="S2418">
        <v>8.4874785140999993</v>
      </c>
      <c r="T2418">
        <v>8.5203386276999993</v>
      </c>
      <c r="U2418">
        <v>8.4928328449000006</v>
      </c>
      <c r="V2418">
        <v>8.5695648355999996</v>
      </c>
      <c r="W2418">
        <v>9.7661440883000008</v>
      </c>
      <c r="X2418">
        <v>9.6567348492999994</v>
      </c>
      <c r="Y2418">
        <v>9.6114999915000006</v>
      </c>
      <c r="Z2418">
        <v>8.8355041093000004</v>
      </c>
      <c r="AA2418">
        <v>8.8210807545000005</v>
      </c>
      <c r="AB2418">
        <v>8.6132380735999998</v>
      </c>
    </row>
    <row r="2419" spans="1:28" hidden="1" x14ac:dyDescent="0.25">
      <c r="A2419" t="s">
        <v>528</v>
      </c>
      <c r="B2419" t="s">
        <v>531</v>
      </c>
      <c r="C2419">
        <v>110</v>
      </c>
      <c r="D2419" t="s">
        <v>4</v>
      </c>
      <c r="E2419">
        <v>0.33733111500000001</v>
      </c>
      <c r="F2419">
        <v>0.33066944999999998</v>
      </c>
      <c r="G2419">
        <v>0.32291008500000001</v>
      </c>
      <c r="H2419">
        <v>0.31552945500000001</v>
      </c>
      <c r="I2419">
        <v>0.30668496000000001</v>
      </c>
      <c r="J2419">
        <v>0.29994132000000001</v>
      </c>
      <c r="K2419">
        <v>0.26177795999999998</v>
      </c>
      <c r="L2419">
        <v>0.26840571000000002</v>
      </c>
      <c r="M2419">
        <v>0.26380738500000001</v>
      </c>
      <c r="N2419">
        <v>0.26043955499999999</v>
      </c>
      <c r="O2419">
        <v>0.26327134499999999</v>
      </c>
      <c r="P2419">
        <v>0.27143720999999998</v>
      </c>
      <c r="Q2419">
        <v>0.26971900500000001</v>
      </c>
      <c r="R2419">
        <v>0.291799215</v>
      </c>
      <c r="S2419">
        <v>0.30204096000000002</v>
      </c>
      <c r="T2419">
        <v>0.29495890499999999</v>
      </c>
      <c r="U2419">
        <v>0.28578590999999998</v>
      </c>
      <c r="V2419">
        <v>0.291118875</v>
      </c>
      <c r="W2419">
        <v>0.389027175</v>
      </c>
      <c r="X2419">
        <v>0.38843063999999999</v>
      </c>
      <c r="Y2419">
        <v>0.40122143999999998</v>
      </c>
      <c r="Z2419">
        <v>0.376276575</v>
      </c>
      <c r="AA2419">
        <v>0.36650167500000003</v>
      </c>
      <c r="AB2419">
        <v>0.34525118999999999</v>
      </c>
    </row>
    <row r="2420" spans="1:28" hidden="1" x14ac:dyDescent="0.25">
      <c r="A2420" t="s">
        <v>528</v>
      </c>
      <c r="B2420" t="s">
        <v>532</v>
      </c>
      <c r="C2420">
        <v>110</v>
      </c>
      <c r="D2420" t="s">
        <v>2</v>
      </c>
      <c r="E2420">
        <v>22.211018145000001</v>
      </c>
      <c r="F2420">
        <v>21.771651015</v>
      </c>
      <c r="G2420">
        <v>21.264425265</v>
      </c>
      <c r="H2420">
        <v>20.781815649999999</v>
      </c>
      <c r="I2420">
        <v>20.190842244999999</v>
      </c>
      <c r="J2420">
        <v>19.746185664999999</v>
      </c>
      <c r="K2420">
        <v>17.234950820000002</v>
      </c>
      <c r="L2420">
        <v>17.677014880000002</v>
      </c>
      <c r="M2420">
        <v>17.372988719999999</v>
      </c>
      <c r="N2420">
        <v>17.160667045</v>
      </c>
      <c r="O2420">
        <v>17.337286410000001</v>
      </c>
      <c r="P2420">
        <v>17.87899307</v>
      </c>
      <c r="Q2420">
        <v>17.766200720000001</v>
      </c>
      <c r="R2420">
        <v>19.219722865000001</v>
      </c>
      <c r="S2420">
        <v>19.895838685000001</v>
      </c>
      <c r="T2420">
        <v>19.435164035</v>
      </c>
      <c r="U2420">
        <v>18.82695116</v>
      </c>
      <c r="V2420">
        <v>19.167268660000001</v>
      </c>
      <c r="W2420">
        <v>25.612049785</v>
      </c>
      <c r="X2420">
        <v>25.569796239999999</v>
      </c>
      <c r="Y2420">
        <v>26.416475644999998</v>
      </c>
      <c r="Z2420">
        <v>24.788631155000001</v>
      </c>
      <c r="AA2420">
        <v>24.136861580000001</v>
      </c>
      <c r="AB2420">
        <v>23.011447860000001</v>
      </c>
    </row>
    <row r="2421" spans="1:28" hidden="1" x14ac:dyDescent="0.25">
      <c r="A2421" t="s">
        <v>528</v>
      </c>
      <c r="B2421" t="s">
        <v>532</v>
      </c>
      <c r="C2421">
        <v>110</v>
      </c>
      <c r="D2421" t="s">
        <v>3</v>
      </c>
      <c r="E2421">
        <v>8.4611784171999993</v>
      </c>
      <c r="F2421">
        <v>8.5085058542999992</v>
      </c>
      <c r="G2421">
        <v>8.4216192284000009</v>
      </c>
      <c r="H2421">
        <v>8.1210134119999999</v>
      </c>
      <c r="I2421">
        <v>7.9545022323000003</v>
      </c>
      <c r="J2421">
        <v>7.9192237592000003</v>
      </c>
      <c r="K2421">
        <v>7.4903755964999998</v>
      </c>
      <c r="L2421">
        <v>7.5042406806999997</v>
      </c>
      <c r="M2421">
        <v>7.6891015239999998</v>
      </c>
      <c r="N2421">
        <v>7.8998985150000003</v>
      </c>
      <c r="O2421">
        <v>7.9822101149</v>
      </c>
      <c r="P2421">
        <v>8.0445779723000008</v>
      </c>
      <c r="Q2421">
        <v>8.0156794797999993</v>
      </c>
      <c r="R2421">
        <v>8.3277213541999995</v>
      </c>
      <c r="S2421">
        <v>8.4287389377000004</v>
      </c>
      <c r="T2421">
        <v>8.4668734406000006</v>
      </c>
      <c r="U2421">
        <v>8.4379721520000004</v>
      </c>
      <c r="V2421">
        <v>8.5166128698999994</v>
      </c>
      <c r="W2421">
        <v>9.6890812697000008</v>
      </c>
      <c r="X2421">
        <v>9.5786344352999997</v>
      </c>
      <c r="Y2421">
        <v>9.5378674792999991</v>
      </c>
      <c r="Z2421">
        <v>8.7615141316000003</v>
      </c>
      <c r="AA2421">
        <v>8.7549053311999998</v>
      </c>
      <c r="AB2421">
        <v>8.5414879541000008</v>
      </c>
    </row>
    <row r="2422" spans="1:28" hidden="1" x14ac:dyDescent="0.25">
      <c r="A2422" t="s">
        <v>528</v>
      </c>
      <c r="B2422" t="s">
        <v>532</v>
      </c>
      <c r="C2422">
        <v>110</v>
      </c>
      <c r="D2422" t="s">
        <v>4</v>
      </c>
      <c r="E2422">
        <v>0.338238855</v>
      </c>
      <c r="F2422">
        <v>0.33154798499999999</v>
      </c>
      <c r="G2422">
        <v>0.323823735</v>
      </c>
      <c r="H2422">
        <v>0.31647435000000002</v>
      </c>
      <c r="I2422">
        <v>0.30747475499999999</v>
      </c>
      <c r="J2422">
        <v>0.30070333500000002</v>
      </c>
      <c r="K2422">
        <v>0.26246118000000002</v>
      </c>
      <c r="L2422">
        <v>0.26919312000000001</v>
      </c>
      <c r="M2422">
        <v>0.26456328000000001</v>
      </c>
      <c r="N2422">
        <v>0.261329955</v>
      </c>
      <c r="O2422">
        <v>0.26401959000000003</v>
      </c>
      <c r="P2422">
        <v>0.27226893000000002</v>
      </c>
      <c r="Q2422">
        <v>0.27055128000000001</v>
      </c>
      <c r="R2422">
        <v>0.29268613500000001</v>
      </c>
      <c r="S2422">
        <v>0.302982315</v>
      </c>
      <c r="T2422">
        <v>0.29596696500000003</v>
      </c>
      <c r="U2422">
        <v>0.28670484000000002</v>
      </c>
      <c r="V2422">
        <v>0.29188734</v>
      </c>
      <c r="W2422">
        <v>0.39003121499999999</v>
      </c>
      <c r="X2422">
        <v>0.38938776000000003</v>
      </c>
      <c r="Y2422">
        <v>0.40228135500000001</v>
      </c>
      <c r="Z2422">
        <v>0.37749184499999999</v>
      </c>
      <c r="AA2422">
        <v>0.36756642</v>
      </c>
      <c r="AB2422">
        <v>0.35042814</v>
      </c>
    </row>
    <row r="2423" spans="1:28" hidden="1" x14ac:dyDescent="0.25">
      <c r="A2423" t="s">
        <v>528</v>
      </c>
      <c r="B2423" t="s">
        <v>533</v>
      </c>
      <c r="C2423">
        <v>34</v>
      </c>
      <c r="D2423" t="s">
        <v>2</v>
      </c>
      <c r="E2423">
        <v>25.634138589999999</v>
      </c>
      <c r="F2423">
        <v>24.652185280000001</v>
      </c>
      <c r="G2423">
        <v>23.78923254</v>
      </c>
      <c r="H2423">
        <v>23.174228289999999</v>
      </c>
      <c r="I2423">
        <v>22.17382461</v>
      </c>
      <c r="J2423">
        <v>21.60230061</v>
      </c>
      <c r="K2423">
        <v>20.071991749999999</v>
      </c>
      <c r="L2423">
        <v>18.11391192</v>
      </c>
      <c r="M2423">
        <v>17.62866069</v>
      </c>
      <c r="N2423">
        <v>18.623097900000001</v>
      </c>
      <c r="O2423">
        <v>19.220918600000001</v>
      </c>
      <c r="P2423">
        <v>19.784993969999999</v>
      </c>
      <c r="Q2423">
        <v>19.982945749999999</v>
      </c>
      <c r="R2423">
        <v>20.541161349999999</v>
      </c>
      <c r="S2423">
        <v>21.919127830000001</v>
      </c>
      <c r="T2423">
        <v>22.476822540000001</v>
      </c>
      <c r="U2423">
        <v>21.999564110000001</v>
      </c>
      <c r="V2423">
        <v>21.355933220000001</v>
      </c>
      <c r="W2423">
        <v>25.461752130000001</v>
      </c>
      <c r="X2423">
        <v>30.22989965</v>
      </c>
      <c r="Y2423">
        <v>30.933376630000001</v>
      </c>
      <c r="Z2423">
        <v>28.610641789999999</v>
      </c>
      <c r="AA2423">
        <v>28.702173899999998</v>
      </c>
      <c r="AB2423">
        <v>27.145128929999998</v>
      </c>
    </row>
    <row r="2424" spans="1:28" hidden="1" x14ac:dyDescent="0.25">
      <c r="A2424" t="s">
        <v>528</v>
      </c>
      <c r="B2424" t="s">
        <v>533</v>
      </c>
      <c r="C2424">
        <v>34</v>
      </c>
      <c r="D2424" t="s">
        <v>3</v>
      </c>
      <c r="E2424">
        <v>9.2622228422999999</v>
      </c>
      <c r="F2424">
        <v>9.0298960984000001</v>
      </c>
      <c r="G2424">
        <v>8.9108487715999996</v>
      </c>
      <c r="H2424">
        <v>8.6019094925000008</v>
      </c>
      <c r="I2424">
        <v>8.2378233179000002</v>
      </c>
      <c r="J2424">
        <v>8.0353746587000003</v>
      </c>
      <c r="K2424">
        <v>7.3793130980999999</v>
      </c>
      <c r="L2424">
        <v>7.1008154037000004</v>
      </c>
      <c r="M2424">
        <v>7.5903244233000002</v>
      </c>
      <c r="N2424">
        <v>8.4838492205999998</v>
      </c>
      <c r="O2424">
        <v>8.7102221384000007</v>
      </c>
      <c r="P2424">
        <v>9.0436754953000005</v>
      </c>
      <c r="Q2424">
        <v>9.1318342491000006</v>
      </c>
      <c r="R2424">
        <v>9.2261494949999996</v>
      </c>
      <c r="S2424">
        <v>9.4822801431000006</v>
      </c>
      <c r="T2424">
        <v>9.8908032711999994</v>
      </c>
      <c r="U2424">
        <v>9.9095684506000001</v>
      </c>
      <c r="V2424">
        <v>9.6058830891000007</v>
      </c>
      <c r="W2424">
        <v>10.214632251699999</v>
      </c>
      <c r="X2424">
        <v>10.5298826766</v>
      </c>
      <c r="Y2424">
        <v>10.5187141648</v>
      </c>
      <c r="Z2424">
        <v>9.6881734118999994</v>
      </c>
      <c r="AA2424">
        <v>9.8670238949000009</v>
      </c>
      <c r="AB2424">
        <v>9.7139608227000007</v>
      </c>
    </row>
    <row r="2425" spans="1:28" hidden="1" x14ac:dyDescent="0.25">
      <c r="A2425" t="s">
        <v>528</v>
      </c>
      <c r="B2425" t="s">
        <v>533</v>
      </c>
      <c r="C2425">
        <v>34</v>
      </c>
      <c r="D2425" t="s">
        <v>4</v>
      </c>
      <c r="E2425">
        <v>0.79280841000000002</v>
      </c>
      <c r="F2425">
        <v>0.76243872000000001</v>
      </c>
      <c r="G2425">
        <v>0.73574945999999997</v>
      </c>
      <c r="H2425">
        <v>0.71672871000000005</v>
      </c>
      <c r="I2425">
        <v>0.68578839000000003</v>
      </c>
      <c r="J2425">
        <v>0.66811239</v>
      </c>
      <c r="K2425">
        <v>0.62078325000000001</v>
      </c>
      <c r="L2425">
        <v>0.56022408000000001</v>
      </c>
      <c r="M2425">
        <v>0.54521631000000004</v>
      </c>
      <c r="N2425">
        <v>0.57597209999999999</v>
      </c>
      <c r="O2425">
        <v>0.59446140000000003</v>
      </c>
      <c r="P2425">
        <v>0.61190703000000002</v>
      </c>
      <c r="Q2425">
        <v>0.61802924999999997</v>
      </c>
      <c r="R2425">
        <v>0.63529365000000004</v>
      </c>
      <c r="S2425">
        <v>0.67791117000000001</v>
      </c>
      <c r="T2425">
        <v>0.69515945999999995</v>
      </c>
      <c r="U2425">
        <v>0.68039888999999998</v>
      </c>
      <c r="V2425">
        <v>0.66049278</v>
      </c>
      <c r="W2425">
        <v>0.78747687</v>
      </c>
      <c r="X2425">
        <v>0.93494535000000001</v>
      </c>
      <c r="Y2425">
        <v>0.95670237000000002</v>
      </c>
      <c r="Z2425">
        <v>0.88486520999999996</v>
      </c>
      <c r="AA2425">
        <v>0.88769609999999999</v>
      </c>
      <c r="AB2425">
        <v>0.83954006999999997</v>
      </c>
    </row>
    <row r="2426" spans="1:28" hidden="1" x14ac:dyDescent="0.25">
      <c r="A2426" t="s">
        <v>528</v>
      </c>
      <c r="B2426" t="s">
        <v>534</v>
      </c>
      <c r="C2426">
        <v>110</v>
      </c>
      <c r="D2426" t="s">
        <v>2</v>
      </c>
      <c r="E2426">
        <v>42.244036795</v>
      </c>
      <c r="F2426">
        <v>41.120285754999998</v>
      </c>
      <c r="G2426">
        <v>40.146138485000002</v>
      </c>
      <c r="H2426">
        <v>38.928674545</v>
      </c>
      <c r="I2426">
        <v>37.317750384999997</v>
      </c>
      <c r="J2426">
        <v>37.09819487</v>
      </c>
      <c r="K2426">
        <v>35.042789460000002</v>
      </c>
      <c r="L2426">
        <v>33.66147668</v>
      </c>
      <c r="M2426">
        <v>32.519397744999999</v>
      </c>
      <c r="N2426">
        <v>33.214075889999997</v>
      </c>
      <c r="O2426">
        <v>33.476422759999998</v>
      </c>
      <c r="P2426">
        <v>34.150709435000003</v>
      </c>
      <c r="Q2426">
        <v>34.372972715000003</v>
      </c>
      <c r="R2426">
        <v>36.40931148</v>
      </c>
      <c r="S2426">
        <v>36.877506605000001</v>
      </c>
      <c r="T2426">
        <v>36.968295040000001</v>
      </c>
      <c r="U2426">
        <v>37.054784935000001</v>
      </c>
      <c r="V2426">
        <v>37.951864819999997</v>
      </c>
      <c r="W2426">
        <v>44.453388840000002</v>
      </c>
      <c r="X2426">
        <v>48.829825595000003</v>
      </c>
      <c r="Y2426">
        <v>50.305879615000002</v>
      </c>
      <c r="Z2426">
        <v>46.335288470000002</v>
      </c>
      <c r="AA2426">
        <v>46.226110085000002</v>
      </c>
      <c r="AB2426">
        <v>44.222582654999997</v>
      </c>
    </row>
    <row r="2427" spans="1:28" hidden="1" x14ac:dyDescent="0.25">
      <c r="A2427" t="s">
        <v>528</v>
      </c>
      <c r="B2427" t="s">
        <v>534</v>
      </c>
      <c r="C2427">
        <v>110</v>
      </c>
      <c r="D2427" t="s">
        <v>3</v>
      </c>
      <c r="E2427">
        <v>14.4612331663</v>
      </c>
      <c r="F2427">
        <v>14.1275436998</v>
      </c>
      <c r="G2427">
        <v>13.365577186499999</v>
      </c>
      <c r="H2427">
        <v>13.111596867899999</v>
      </c>
      <c r="I2427">
        <v>12.692269381899999</v>
      </c>
      <c r="J2427">
        <v>12.242226773600001</v>
      </c>
      <c r="K2427">
        <v>11.3605605811</v>
      </c>
      <c r="L2427">
        <v>11.004152981400001</v>
      </c>
      <c r="M2427">
        <v>11.009500875500001</v>
      </c>
      <c r="N2427">
        <v>11.134636452100001</v>
      </c>
      <c r="O2427">
        <v>11.590980396599999</v>
      </c>
      <c r="P2427">
        <v>12.073988433</v>
      </c>
      <c r="Q2427">
        <v>12.305067772599999</v>
      </c>
      <c r="R2427">
        <v>12.7702538354</v>
      </c>
      <c r="S2427">
        <v>12.913185482099999</v>
      </c>
      <c r="T2427">
        <v>13.118745930599999</v>
      </c>
      <c r="U2427">
        <v>13.2067416093</v>
      </c>
      <c r="V2427">
        <v>13.5532084564</v>
      </c>
      <c r="W2427">
        <v>14.933578948199999</v>
      </c>
      <c r="X2427">
        <v>15.418636730499999</v>
      </c>
      <c r="Y2427">
        <v>16.129547186700002</v>
      </c>
      <c r="Z2427">
        <v>15.170398824499999</v>
      </c>
      <c r="AA2427">
        <v>15.2707467256</v>
      </c>
      <c r="AB2427">
        <v>15.0084952638</v>
      </c>
    </row>
    <row r="2428" spans="1:28" hidden="1" x14ac:dyDescent="0.25">
      <c r="A2428" t="s">
        <v>528</v>
      </c>
      <c r="B2428" t="s">
        <v>534</v>
      </c>
      <c r="C2428">
        <v>110</v>
      </c>
      <c r="D2428" t="s">
        <v>4</v>
      </c>
      <c r="E2428">
        <v>0.64331020500000002</v>
      </c>
      <c r="F2428">
        <v>0.62619724499999996</v>
      </c>
      <c r="G2428">
        <v>0.61136251500000005</v>
      </c>
      <c r="H2428">
        <v>0.59282245499999997</v>
      </c>
      <c r="I2428">
        <v>0.568290615</v>
      </c>
      <c r="J2428">
        <v>0.56494712999999996</v>
      </c>
      <c r="K2428">
        <v>0.53364654</v>
      </c>
      <c r="L2428">
        <v>0.51261131999999998</v>
      </c>
      <c r="M2428">
        <v>0.49521925500000002</v>
      </c>
      <c r="N2428">
        <v>0.50579810999999997</v>
      </c>
      <c r="O2428">
        <v>0.50979324000000004</v>
      </c>
      <c r="P2428">
        <v>0.520061565</v>
      </c>
      <c r="Q2428">
        <v>0.52344628500000001</v>
      </c>
      <c r="R2428">
        <v>0.55445652000000001</v>
      </c>
      <c r="S2428">
        <v>0.56158639499999996</v>
      </c>
      <c r="T2428">
        <v>0.56296895999999996</v>
      </c>
      <c r="U2428">
        <v>0.564286065</v>
      </c>
      <c r="V2428">
        <v>0.57794718</v>
      </c>
      <c r="W2428">
        <v>0.67695516</v>
      </c>
      <c r="X2428">
        <v>0.74360140500000005</v>
      </c>
      <c r="Y2428">
        <v>0.76607938499999995</v>
      </c>
      <c r="Z2428">
        <v>0.70561353000000004</v>
      </c>
      <c r="AA2428">
        <v>0.70395091499999995</v>
      </c>
      <c r="AB2428">
        <v>0.67344034500000005</v>
      </c>
    </row>
    <row r="2429" spans="1:28" hidden="1" x14ac:dyDescent="0.25">
      <c r="A2429" t="s">
        <v>528</v>
      </c>
      <c r="B2429" t="s">
        <v>535</v>
      </c>
      <c r="C2429">
        <v>66</v>
      </c>
      <c r="D2429" t="s">
        <v>2</v>
      </c>
      <c r="E2429">
        <v>7.3226663150000002</v>
      </c>
      <c r="F2429">
        <v>7.0471627999999997</v>
      </c>
      <c r="G2429">
        <v>6.8395858699999996</v>
      </c>
      <c r="H2429">
        <v>6.6515050450000004</v>
      </c>
      <c r="I2429">
        <v>6.5028793800000004</v>
      </c>
      <c r="J2429">
        <v>6.335716015</v>
      </c>
      <c r="K2429">
        <v>5.8255096550000003</v>
      </c>
      <c r="L2429">
        <v>5.3913521900000001</v>
      </c>
      <c r="M2429">
        <v>5.197713995</v>
      </c>
      <c r="N2429">
        <v>5.4449302800000003</v>
      </c>
      <c r="O2429">
        <v>5.6959427549999999</v>
      </c>
      <c r="P2429">
        <v>5.8907442349999997</v>
      </c>
      <c r="Q2429">
        <v>5.9689128499999997</v>
      </c>
      <c r="R2429">
        <v>6.3275326349999998</v>
      </c>
      <c r="S2429">
        <v>6.6142848499999998</v>
      </c>
      <c r="T2429">
        <v>6.7078677300000003</v>
      </c>
      <c r="U2429">
        <v>6.5816744549999999</v>
      </c>
      <c r="V2429">
        <v>6.66102507</v>
      </c>
      <c r="W2429">
        <v>8.0234179700000006</v>
      </c>
      <c r="X2429">
        <v>8.8357730799999992</v>
      </c>
      <c r="Y2429">
        <v>8.8394008349999993</v>
      </c>
      <c r="Z2429">
        <v>8.0450830450000002</v>
      </c>
      <c r="AA2429">
        <v>8.0805794899999999</v>
      </c>
      <c r="AB2429">
        <v>7.7039992149999996</v>
      </c>
    </row>
    <row r="2430" spans="1:28" hidden="1" x14ac:dyDescent="0.25">
      <c r="A2430" t="s">
        <v>528</v>
      </c>
      <c r="B2430" t="s">
        <v>535</v>
      </c>
      <c r="C2430">
        <v>66</v>
      </c>
      <c r="D2430" t="s">
        <v>3</v>
      </c>
      <c r="E2430">
        <v>2.4032041966</v>
      </c>
      <c r="F2430">
        <v>2.3826439497999998</v>
      </c>
      <c r="G2430">
        <v>2.3606599876000001</v>
      </c>
      <c r="H2430">
        <v>2.3370184511000001</v>
      </c>
      <c r="I2430">
        <v>2.2859002900999998</v>
      </c>
      <c r="J2430">
        <v>2.1887063179999999</v>
      </c>
      <c r="K2430">
        <v>1.9651409849000001</v>
      </c>
      <c r="L2430">
        <v>2.0001274320000002</v>
      </c>
      <c r="M2430">
        <v>1.9684861762999999</v>
      </c>
      <c r="N2430">
        <v>2.0761455951999999</v>
      </c>
      <c r="O2430">
        <v>2.1573599886000001</v>
      </c>
      <c r="P2430">
        <v>2.2398789962999999</v>
      </c>
      <c r="Q2430">
        <v>2.2491683496000001</v>
      </c>
      <c r="R2430">
        <v>2.3472322749000001</v>
      </c>
      <c r="S2430">
        <v>2.4510074271</v>
      </c>
      <c r="T2430">
        <v>2.5252263062</v>
      </c>
      <c r="U2430">
        <v>2.5030200563</v>
      </c>
      <c r="V2430">
        <v>2.4957022187</v>
      </c>
      <c r="W2430">
        <v>2.5849840987000001</v>
      </c>
      <c r="X2430">
        <v>2.3160766173999998</v>
      </c>
      <c r="Y2430">
        <v>2.3002127321999999</v>
      </c>
      <c r="Z2430">
        <v>2.1250428122999998</v>
      </c>
      <c r="AA2430">
        <v>2.2373735927</v>
      </c>
      <c r="AB2430">
        <v>2.3724396746999998</v>
      </c>
    </row>
    <row r="2431" spans="1:28" hidden="1" x14ac:dyDescent="0.25">
      <c r="A2431" t="s">
        <v>528</v>
      </c>
      <c r="B2431" t="s">
        <v>535</v>
      </c>
      <c r="C2431">
        <v>66</v>
      </c>
      <c r="D2431" t="s">
        <v>4</v>
      </c>
      <c r="E2431">
        <v>0.111512685</v>
      </c>
      <c r="F2431">
        <v>0.1073172</v>
      </c>
      <c r="G2431">
        <v>0.10415613</v>
      </c>
      <c r="H2431">
        <v>0.101291955</v>
      </c>
      <c r="I2431">
        <v>9.9028619999999998E-2</v>
      </c>
      <c r="J2431">
        <v>9.6482984999999993E-2</v>
      </c>
      <c r="K2431">
        <v>8.8713344900000005E-2</v>
      </c>
      <c r="L2431">
        <v>8.2101809999999997E-2</v>
      </c>
      <c r="M2431">
        <v>7.9153004999999999E-2</v>
      </c>
      <c r="N2431">
        <v>8.291772E-2</v>
      </c>
      <c r="O2431">
        <v>8.6740244999999994E-2</v>
      </c>
      <c r="P2431">
        <v>8.9706764999999994E-2</v>
      </c>
      <c r="Q2431">
        <v>9.0897149999999996E-2</v>
      </c>
      <c r="R2431">
        <v>9.6358365000000001E-2</v>
      </c>
      <c r="S2431">
        <v>0.10072515</v>
      </c>
      <c r="T2431">
        <v>0.10215027</v>
      </c>
      <c r="U2431">
        <v>0.100228545</v>
      </c>
      <c r="V2431">
        <v>0.10143692999999999</v>
      </c>
      <c r="W2431">
        <v>0.12218403</v>
      </c>
      <c r="X2431">
        <v>0.13455491999999999</v>
      </c>
      <c r="Y2431">
        <v>0.134610165</v>
      </c>
      <c r="Z2431">
        <v>0.12251395499999999</v>
      </c>
      <c r="AA2431">
        <v>0.12305451000000001</v>
      </c>
      <c r="AB2431">
        <v>0.117319785</v>
      </c>
    </row>
    <row r="2432" spans="1:28" hidden="1" x14ac:dyDescent="0.25">
      <c r="A2432" t="s">
        <v>528</v>
      </c>
      <c r="B2432" t="s">
        <v>536</v>
      </c>
      <c r="C2432">
        <v>110</v>
      </c>
      <c r="D2432" t="s">
        <v>2</v>
      </c>
      <c r="E2432">
        <v>28.469903174999999</v>
      </c>
      <c r="F2432">
        <v>27.616181019999999</v>
      </c>
      <c r="G2432">
        <v>26.634099575</v>
      </c>
      <c r="H2432">
        <v>25.592573380000001</v>
      </c>
      <c r="I2432">
        <v>24.359865580000001</v>
      </c>
      <c r="J2432">
        <v>22.998724615</v>
      </c>
      <c r="K2432">
        <v>18.712035149999998</v>
      </c>
      <c r="L2432">
        <v>19.259259780000001</v>
      </c>
      <c r="M2432">
        <v>20.202303704999999</v>
      </c>
      <c r="N2432">
        <v>20.738242204999999</v>
      </c>
      <c r="O2432">
        <v>21.13584238</v>
      </c>
      <c r="P2432">
        <v>21.815257949999999</v>
      </c>
      <c r="Q2432">
        <v>21.07662418</v>
      </c>
      <c r="R2432">
        <v>23.962252599999999</v>
      </c>
      <c r="S2432">
        <v>25.379777919999999</v>
      </c>
      <c r="T2432">
        <v>25.035350999999999</v>
      </c>
      <c r="U2432">
        <v>23.555239765</v>
      </c>
      <c r="V2432">
        <v>23.33461454</v>
      </c>
      <c r="W2432">
        <v>29.83169818</v>
      </c>
      <c r="X2432">
        <v>29.356555849999999</v>
      </c>
      <c r="Y2432">
        <v>31.433143685000001</v>
      </c>
      <c r="Z2432">
        <v>29.900975200000001</v>
      </c>
      <c r="AA2432">
        <v>30.684228484999998</v>
      </c>
      <c r="AB2432">
        <v>29.666860400000001</v>
      </c>
    </row>
    <row r="2433" spans="1:28" hidden="1" x14ac:dyDescent="0.25">
      <c r="A2433" t="s">
        <v>528</v>
      </c>
      <c r="B2433" t="s">
        <v>536</v>
      </c>
      <c r="C2433">
        <v>110</v>
      </c>
      <c r="D2433" t="s">
        <v>3</v>
      </c>
      <c r="E2433">
        <v>10.826227620399999</v>
      </c>
      <c r="F2433">
        <v>10.750558574399999</v>
      </c>
      <c r="G2433">
        <v>10.529820684200001</v>
      </c>
      <c r="H2433">
        <v>10.095500035900001</v>
      </c>
      <c r="I2433">
        <v>9.8423162020999992</v>
      </c>
      <c r="J2433">
        <v>9.6658985901999994</v>
      </c>
      <c r="K2433">
        <v>8.6849740664000006</v>
      </c>
      <c r="L2433">
        <v>8.5239451951999996</v>
      </c>
      <c r="M2433">
        <v>8.4032515507000003</v>
      </c>
      <c r="N2433">
        <v>8.8556962144</v>
      </c>
      <c r="O2433">
        <v>8.8823249413000003</v>
      </c>
      <c r="P2433">
        <v>8.8898792350000004</v>
      </c>
      <c r="Q2433">
        <v>8.6473791566999996</v>
      </c>
      <c r="R2433">
        <v>9.0223195938000007</v>
      </c>
      <c r="S2433">
        <v>9.4321877912000005</v>
      </c>
      <c r="T2433">
        <v>9.5973751893999992</v>
      </c>
      <c r="U2433">
        <v>9.5996625016999992</v>
      </c>
      <c r="V2433">
        <v>9.6968848389000009</v>
      </c>
      <c r="W2433">
        <v>10.170948450099999</v>
      </c>
      <c r="X2433">
        <v>9.2889891015000003</v>
      </c>
      <c r="Y2433">
        <v>9.7555947080000003</v>
      </c>
      <c r="Z2433">
        <v>9.2368652107999996</v>
      </c>
      <c r="AA2433">
        <v>9.9980420657</v>
      </c>
      <c r="AB2433">
        <v>10.273976536299999</v>
      </c>
    </row>
    <row r="2434" spans="1:28" hidden="1" x14ac:dyDescent="0.25">
      <c r="A2434" t="s">
        <v>528</v>
      </c>
      <c r="B2434" t="s">
        <v>536</v>
      </c>
      <c r="C2434">
        <v>110</v>
      </c>
      <c r="D2434" t="s">
        <v>4</v>
      </c>
      <c r="E2434">
        <v>0.433551825</v>
      </c>
      <c r="F2434">
        <v>0.42055098000000002</v>
      </c>
      <c r="G2434">
        <v>0.40559542500000001</v>
      </c>
      <c r="H2434">
        <v>0.38973461999999998</v>
      </c>
      <c r="I2434">
        <v>0.37096242000000001</v>
      </c>
      <c r="J2434">
        <v>0.35023438499999998</v>
      </c>
      <c r="K2434">
        <v>0.28495484999999998</v>
      </c>
      <c r="L2434">
        <v>0.29328821999999999</v>
      </c>
      <c r="M2434">
        <v>0.30764929499999999</v>
      </c>
      <c r="N2434">
        <v>0.31581079499999998</v>
      </c>
      <c r="O2434">
        <v>0.32186562000000002</v>
      </c>
      <c r="P2434">
        <v>0.33221204999999998</v>
      </c>
      <c r="Q2434">
        <v>0.32096382000000001</v>
      </c>
      <c r="R2434">
        <v>0.36490739999999999</v>
      </c>
      <c r="S2434">
        <v>0.38649408000000002</v>
      </c>
      <c r="T2434">
        <v>0.381249</v>
      </c>
      <c r="U2434">
        <v>0.35870923500000002</v>
      </c>
      <c r="V2434">
        <v>0.35534946000000001</v>
      </c>
      <c r="W2434">
        <v>0.45428982000000001</v>
      </c>
      <c r="X2434">
        <v>0.44705414999999998</v>
      </c>
      <c r="Y2434">
        <v>0.47867731499999999</v>
      </c>
      <c r="Z2434">
        <v>0.45534479999999999</v>
      </c>
      <c r="AA2434">
        <v>0.467272515</v>
      </c>
      <c r="AB2434">
        <v>0.4517796</v>
      </c>
    </row>
    <row r="2435" spans="1:28" hidden="1" x14ac:dyDescent="0.25">
      <c r="A2435" t="s">
        <v>528</v>
      </c>
      <c r="B2435" t="s">
        <v>537</v>
      </c>
      <c r="C2435">
        <v>34</v>
      </c>
      <c r="D2435" t="s">
        <v>2</v>
      </c>
      <c r="E2435">
        <v>10.66997866</v>
      </c>
      <c r="F2435">
        <v>10.418509070000001</v>
      </c>
      <c r="G2435">
        <v>10.098924139999999</v>
      </c>
      <c r="H2435">
        <v>9.8334661800000003</v>
      </c>
      <c r="I2435">
        <v>9.5900611700000002</v>
      </c>
      <c r="J2435">
        <v>9.6203969499999999</v>
      </c>
      <c r="K2435">
        <v>9.0572052500000009</v>
      </c>
      <c r="L2435">
        <v>9.6815738800000002</v>
      </c>
      <c r="M2435">
        <v>9.4445485599999994</v>
      </c>
      <c r="N2435">
        <v>8.9354886800000006</v>
      </c>
      <c r="O2435">
        <v>9.3648009800000001</v>
      </c>
      <c r="P2435">
        <v>10.40344885</v>
      </c>
      <c r="Q2435">
        <v>10.099115230000001</v>
      </c>
      <c r="R2435">
        <v>10.32793532</v>
      </c>
      <c r="S2435">
        <v>10.58779541</v>
      </c>
      <c r="T2435">
        <v>10.53438139</v>
      </c>
      <c r="U2435">
        <v>10.54349163</v>
      </c>
      <c r="V2435">
        <v>10.70902504</v>
      </c>
      <c r="W2435">
        <v>13.405128400000001</v>
      </c>
      <c r="X2435">
        <v>13.240087750000001</v>
      </c>
      <c r="Y2435">
        <v>13.04927711</v>
      </c>
      <c r="Z2435">
        <v>11.82736908</v>
      </c>
      <c r="AA2435">
        <v>11.665791329999999</v>
      </c>
      <c r="AB2435">
        <v>11.118328180000001</v>
      </c>
    </row>
    <row r="2436" spans="1:28" hidden="1" x14ac:dyDescent="0.25">
      <c r="A2436" t="s">
        <v>528</v>
      </c>
      <c r="B2436" t="s">
        <v>537</v>
      </c>
      <c r="C2436">
        <v>34</v>
      </c>
      <c r="D2436" t="s">
        <v>3</v>
      </c>
      <c r="E2436">
        <v>3.9692440821999999</v>
      </c>
      <c r="F2436">
        <v>3.9089434605000002</v>
      </c>
      <c r="G2436">
        <v>3.8054133327000002</v>
      </c>
      <c r="H2436">
        <v>3.705703513</v>
      </c>
      <c r="I2436">
        <v>3.6015408887000002</v>
      </c>
      <c r="J2436">
        <v>3.5165722581000001</v>
      </c>
      <c r="K2436">
        <v>3.3148922973000001</v>
      </c>
      <c r="L2436">
        <v>3.5107295939999998</v>
      </c>
      <c r="M2436">
        <v>3.6121157998000002</v>
      </c>
      <c r="N2436">
        <v>3.3929973050000002</v>
      </c>
      <c r="O2436">
        <v>3.8824536958000002</v>
      </c>
      <c r="P2436">
        <v>4.0409816842000001</v>
      </c>
      <c r="Q2436">
        <v>3.9083086354000001</v>
      </c>
      <c r="R2436">
        <v>3.9376976746999999</v>
      </c>
      <c r="S2436">
        <v>4.1146057674999996</v>
      </c>
      <c r="T2436">
        <v>4.0619719551999998</v>
      </c>
      <c r="U2436">
        <v>3.9787347299000002</v>
      </c>
      <c r="V2436">
        <v>4.0370415723999997</v>
      </c>
      <c r="W2436">
        <v>4.6046275454999996</v>
      </c>
      <c r="X2436">
        <v>4.4584805544000004</v>
      </c>
      <c r="Y2436">
        <v>4.5556358041999996</v>
      </c>
      <c r="Z2436">
        <v>4.1254310116999999</v>
      </c>
      <c r="AA2436">
        <v>4.1480209630999996</v>
      </c>
      <c r="AB2436">
        <v>4.0530921933000004</v>
      </c>
    </row>
    <row r="2437" spans="1:28" hidden="1" x14ac:dyDescent="0.25">
      <c r="A2437" t="s">
        <v>528</v>
      </c>
      <c r="B2437" t="s">
        <v>537</v>
      </c>
      <c r="C2437">
        <v>34</v>
      </c>
      <c r="D2437" t="s">
        <v>4</v>
      </c>
      <c r="E2437">
        <v>0.32999933999999997</v>
      </c>
      <c r="F2437">
        <v>0.32222192999999999</v>
      </c>
      <c r="G2437">
        <v>0.31233786000000002</v>
      </c>
      <c r="H2437">
        <v>0.30412781999999999</v>
      </c>
      <c r="I2437">
        <v>0.29659983000000001</v>
      </c>
      <c r="J2437">
        <v>0.29753805</v>
      </c>
      <c r="K2437">
        <v>0.28011975</v>
      </c>
      <c r="L2437">
        <v>0.29943012000000002</v>
      </c>
      <c r="M2437">
        <v>0.29209943999999999</v>
      </c>
      <c r="N2437">
        <v>0.27635532000000002</v>
      </c>
      <c r="O2437">
        <v>0.28963302000000002</v>
      </c>
      <c r="P2437">
        <v>0.32175615000000002</v>
      </c>
      <c r="Q2437">
        <v>0.31234377000000002</v>
      </c>
      <c r="R2437">
        <v>0.31942068000000001</v>
      </c>
      <c r="S2437">
        <v>0.32745759000000002</v>
      </c>
      <c r="T2437">
        <v>0.32580561000000002</v>
      </c>
      <c r="U2437">
        <v>0.32608736999999999</v>
      </c>
      <c r="V2437">
        <v>0.33120695999999999</v>
      </c>
      <c r="W2437">
        <v>0.4145916</v>
      </c>
      <c r="X2437">
        <v>0.40948725000000002</v>
      </c>
      <c r="Y2437">
        <v>0.40358589</v>
      </c>
      <c r="Z2437">
        <v>0.36579492000000002</v>
      </c>
      <c r="AA2437">
        <v>0.36079767000000001</v>
      </c>
      <c r="AB2437">
        <v>0.34386581999999999</v>
      </c>
    </row>
    <row r="2438" spans="1:28" hidden="1" x14ac:dyDescent="0.25">
      <c r="A2438" t="s">
        <v>528</v>
      </c>
      <c r="B2438" t="s">
        <v>538</v>
      </c>
      <c r="C2438">
        <v>14</v>
      </c>
      <c r="D2438" t="s">
        <v>2</v>
      </c>
      <c r="E2438">
        <v>3.06910135</v>
      </c>
      <c r="F2438">
        <v>3.0174517500000002</v>
      </c>
      <c r="G2438">
        <v>2.9469569999999998</v>
      </c>
      <c r="H2438">
        <v>2.872458</v>
      </c>
      <c r="I2438">
        <v>2.7973053999999999</v>
      </c>
      <c r="J2438">
        <v>2.7545915000000001</v>
      </c>
      <c r="K2438">
        <v>2.5096910000000001</v>
      </c>
      <c r="L2438">
        <v>2.5500204000000002</v>
      </c>
      <c r="M2438">
        <v>2.3697313000000002</v>
      </c>
      <c r="N2438">
        <v>2.4001617</v>
      </c>
      <c r="O2438">
        <v>2.5225853499999999</v>
      </c>
      <c r="P2438">
        <v>2.6375372499999998</v>
      </c>
      <c r="Q2438">
        <v>2.6016756999999999</v>
      </c>
      <c r="R2438">
        <v>2.6802112500000002</v>
      </c>
      <c r="S2438">
        <v>2.7041588499999998</v>
      </c>
      <c r="T2438">
        <v>2.6942132999999999</v>
      </c>
      <c r="U2438">
        <v>2.6106246999999998</v>
      </c>
      <c r="V2438">
        <v>2.8512065</v>
      </c>
      <c r="W2438">
        <v>3.8495947500000001</v>
      </c>
      <c r="X2438">
        <v>3.8441607499999999</v>
      </c>
      <c r="Y2438">
        <v>3.8366481499999998</v>
      </c>
      <c r="Z2438">
        <v>3.3721085999999998</v>
      </c>
      <c r="AA2438">
        <v>3.323537</v>
      </c>
      <c r="AB2438">
        <v>3.1679013500000002</v>
      </c>
    </row>
    <row r="2439" spans="1:28" hidden="1" x14ac:dyDescent="0.25">
      <c r="A2439" t="s">
        <v>528</v>
      </c>
      <c r="B2439" t="s">
        <v>538</v>
      </c>
      <c r="C2439">
        <v>14</v>
      </c>
      <c r="D2439" t="s">
        <v>3</v>
      </c>
      <c r="E2439">
        <v>1.0214509267</v>
      </c>
      <c r="F2439">
        <v>1.0383550137999999</v>
      </c>
      <c r="G2439">
        <v>1.0231851831000001</v>
      </c>
      <c r="H2439">
        <v>0.99839817610000003</v>
      </c>
      <c r="I2439">
        <v>0.94936438170000004</v>
      </c>
      <c r="J2439">
        <v>0.96071807740000004</v>
      </c>
      <c r="K2439">
        <v>0.90179212470000003</v>
      </c>
      <c r="L2439">
        <v>0.89802686799999998</v>
      </c>
      <c r="M2439">
        <v>0.98765501659999999</v>
      </c>
      <c r="N2439">
        <v>0.91764600009999997</v>
      </c>
      <c r="O2439">
        <v>0.92898496779999995</v>
      </c>
      <c r="P2439">
        <v>0.9343698252</v>
      </c>
      <c r="Q2439">
        <v>0.91665815480000001</v>
      </c>
      <c r="R2439">
        <v>0.96046656129999997</v>
      </c>
      <c r="S2439">
        <v>1.0215894312</v>
      </c>
      <c r="T2439">
        <v>1.0425616618</v>
      </c>
      <c r="U2439">
        <v>1.1394876507</v>
      </c>
      <c r="V2439">
        <v>1.0274553281000001</v>
      </c>
      <c r="W2439">
        <v>1.0892948608999999</v>
      </c>
      <c r="X2439">
        <v>1.0872997154999999</v>
      </c>
      <c r="Y2439">
        <v>1.092160598</v>
      </c>
      <c r="Z2439">
        <v>1.0413200245000001</v>
      </c>
      <c r="AA2439">
        <v>1.0015452918000001</v>
      </c>
      <c r="AB2439">
        <v>1.0431486215000001</v>
      </c>
    </row>
    <row r="2440" spans="1:28" hidden="1" x14ac:dyDescent="0.25">
      <c r="A2440" t="s">
        <v>528</v>
      </c>
      <c r="B2440" t="s">
        <v>538</v>
      </c>
      <c r="C2440">
        <v>14</v>
      </c>
      <c r="D2440" t="s">
        <v>4</v>
      </c>
      <c r="E2440">
        <v>0.16153165</v>
      </c>
      <c r="F2440">
        <v>0.15881324999999999</v>
      </c>
      <c r="G2440">
        <v>0.15510299999999999</v>
      </c>
      <c r="H2440">
        <v>0.15118200000000001</v>
      </c>
      <c r="I2440">
        <v>0.14722660000000001</v>
      </c>
      <c r="J2440">
        <v>0.14497850000000001</v>
      </c>
      <c r="K2440">
        <v>0.13208900000000001</v>
      </c>
      <c r="L2440">
        <v>0.13421159999999999</v>
      </c>
      <c r="M2440">
        <v>0.12472270000000001</v>
      </c>
      <c r="N2440">
        <v>0.1263243</v>
      </c>
      <c r="O2440">
        <v>0.13276764999999999</v>
      </c>
      <c r="P2440">
        <v>0.13881774999999999</v>
      </c>
      <c r="Q2440">
        <v>0.1369303</v>
      </c>
      <c r="R2440">
        <v>0.14106374999999999</v>
      </c>
      <c r="S2440">
        <v>0.14232415000000001</v>
      </c>
      <c r="T2440">
        <v>0.1418007</v>
      </c>
      <c r="U2440">
        <v>0.1374013</v>
      </c>
      <c r="V2440">
        <v>0.15006349999999999</v>
      </c>
      <c r="W2440">
        <v>0.20261024999999999</v>
      </c>
      <c r="X2440">
        <v>0.20232425000000001</v>
      </c>
      <c r="Y2440">
        <v>0.20192884999999999</v>
      </c>
      <c r="Z2440">
        <v>0.17747940000000001</v>
      </c>
      <c r="AA2440">
        <v>0.174923</v>
      </c>
      <c r="AB2440">
        <v>0.16673165000000001</v>
      </c>
    </row>
    <row r="2441" spans="1:28" hidden="1" x14ac:dyDescent="0.25">
      <c r="A2441" t="s">
        <v>528</v>
      </c>
      <c r="B2441" t="s">
        <v>539</v>
      </c>
      <c r="C2441">
        <v>110</v>
      </c>
      <c r="D2441" t="s">
        <v>2</v>
      </c>
      <c r="E2441">
        <v>29.501588235</v>
      </c>
      <c r="F2441">
        <v>28.721183570000001</v>
      </c>
      <c r="G2441">
        <v>27.671179479999999</v>
      </c>
      <c r="H2441">
        <v>26.494333000000001</v>
      </c>
      <c r="I2441">
        <v>24.938343275000001</v>
      </c>
      <c r="J2441">
        <v>23.214278074999999</v>
      </c>
      <c r="K2441">
        <v>18.332411225000001</v>
      </c>
      <c r="L2441">
        <v>16.997925344999999</v>
      </c>
      <c r="M2441">
        <v>16.890799699999999</v>
      </c>
      <c r="N2441">
        <v>17.20451826</v>
      </c>
      <c r="O2441">
        <v>17.832422269999999</v>
      </c>
      <c r="P2441">
        <v>19.088350460000001</v>
      </c>
      <c r="Q2441">
        <v>19.991367924999999</v>
      </c>
      <c r="R2441">
        <v>23.58784228</v>
      </c>
      <c r="S2441">
        <v>25.013298819999999</v>
      </c>
      <c r="T2441">
        <v>24.55873905</v>
      </c>
      <c r="U2441">
        <v>23.193183314999999</v>
      </c>
      <c r="V2441">
        <v>23.221074574999999</v>
      </c>
      <c r="W2441">
        <v>31.63722091</v>
      </c>
      <c r="X2441">
        <v>32.891912925</v>
      </c>
      <c r="Y2441">
        <v>34.179728519999998</v>
      </c>
      <c r="Z2441">
        <v>32.150405910000003</v>
      </c>
      <c r="AA2441">
        <v>31.922784230000001</v>
      </c>
      <c r="AB2441">
        <v>30.021177704999999</v>
      </c>
    </row>
    <row r="2442" spans="1:28" hidden="1" x14ac:dyDescent="0.25">
      <c r="A2442" t="s">
        <v>528</v>
      </c>
      <c r="B2442" t="s">
        <v>539</v>
      </c>
      <c r="C2442">
        <v>110</v>
      </c>
      <c r="D2442" t="s">
        <v>3</v>
      </c>
      <c r="E2442">
        <v>9.0167549682000008</v>
      </c>
      <c r="F2442">
        <v>9.2306244990999993</v>
      </c>
      <c r="G2442">
        <v>9.115680974</v>
      </c>
      <c r="H2442">
        <v>8.6176759192999999</v>
      </c>
      <c r="I2442">
        <v>8.3864466400000008</v>
      </c>
      <c r="J2442">
        <v>7.859235795</v>
      </c>
      <c r="K2442">
        <v>6.2287457101000001</v>
      </c>
      <c r="L2442">
        <v>6.5216496784000002</v>
      </c>
      <c r="M2442">
        <v>6.9834396719000003</v>
      </c>
      <c r="N2442">
        <v>7.3901579655000003</v>
      </c>
      <c r="O2442">
        <v>7.6689679247000004</v>
      </c>
      <c r="P2442">
        <v>7.9457261691000003</v>
      </c>
      <c r="Q2442">
        <v>7.7791616507999999</v>
      </c>
      <c r="R2442">
        <v>8.9339850034000001</v>
      </c>
      <c r="S2442">
        <v>8.7366541265999995</v>
      </c>
      <c r="T2442">
        <v>8.4214886334999992</v>
      </c>
      <c r="U2442">
        <v>8.2452713197000005</v>
      </c>
      <c r="V2442">
        <v>8.5873721923000002</v>
      </c>
      <c r="W2442">
        <v>10.6358790314</v>
      </c>
      <c r="X2442">
        <v>9.2286667962000006</v>
      </c>
      <c r="Y2442">
        <v>9.4734292881000002</v>
      </c>
      <c r="Z2442">
        <v>8.8746208600000003</v>
      </c>
      <c r="AA2442">
        <v>9.0203132534999995</v>
      </c>
      <c r="AB2442">
        <v>8.8638680315999991</v>
      </c>
    </row>
    <row r="2443" spans="1:28" hidden="1" x14ac:dyDescent="0.25">
      <c r="A2443" t="s">
        <v>528</v>
      </c>
      <c r="B2443" t="s">
        <v>539</v>
      </c>
      <c r="C2443">
        <v>110</v>
      </c>
      <c r="D2443" t="s">
        <v>4</v>
      </c>
      <c r="E2443">
        <v>0.44926276500000001</v>
      </c>
      <c r="F2443">
        <v>0.43737842999999998</v>
      </c>
      <c r="G2443">
        <v>0.42138851999999999</v>
      </c>
      <c r="H2443">
        <v>0.40346700000000002</v>
      </c>
      <c r="I2443">
        <v>0.379771725</v>
      </c>
      <c r="J2443">
        <v>0.35351692499999998</v>
      </c>
      <c r="K2443">
        <v>0.27917377500000001</v>
      </c>
      <c r="L2443">
        <v>0.25885165500000001</v>
      </c>
      <c r="M2443">
        <v>0.25722030000000001</v>
      </c>
      <c r="N2443">
        <v>0.26199773999999998</v>
      </c>
      <c r="O2443">
        <v>0.27155973</v>
      </c>
      <c r="P2443">
        <v>0.29068554000000002</v>
      </c>
      <c r="Q2443">
        <v>0.304437075</v>
      </c>
      <c r="R2443">
        <v>0.35920572000000001</v>
      </c>
      <c r="S2443">
        <v>0.38091318000000002</v>
      </c>
      <c r="T2443">
        <v>0.37399094999999999</v>
      </c>
      <c r="U2443">
        <v>0.35319568499999998</v>
      </c>
      <c r="V2443">
        <v>0.35362042500000002</v>
      </c>
      <c r="W2443">
        <v>0.48178509000000003</v>
      </c>
      <c r="X2443">
        <v>0.50089207499999999</v>
      </c>
      <c r="Y2443">
        <v>0.52050348000000002</v>
      </c>
      <c r="Z2443">
        <v>0.48960008999999999</v>
      </c>
      <c r="AA2443">
        <v>0.48613377000000002</v>
      </c>
      <c r="AB2443">
        <v>0.45717529499999998</v>
      </c>
    </row>
    <row r="2444" spans="1:28" hidden="1" x14ac:dyDescent="0.25">
      <c r="A2444" t="s">
        <v>528</v>
      </c>
      <c r="B2444" t="s">
        <v>540</v>
      </c>
      <c r="C2444">
        <v>110</v>
      </c>
      <c r="D2444" t="s">
        <v>2</v>
      </c>
      <c r="E2444">
        <v>27.121836115000001</v>
      </c>
      <c r="F2444">
        <v>25.663567255</v>
      </c>
      <c r="G2444">
        <v>24.499943415000001</v>
      </c>
      <c r="H2444">
        <v>23.400224404999999</v>
      </c>
      <c r="I2444">
        <v>22.15766365</v>
      </c>
      <c r="J2444">
        <v>22.051832295000001</v>
      </c>
      <c r="K2444">
        <v>22.004414395000001</v>
      </c>
      <c r="L2444">
        <v>27.704791620000002</v>
      </c>
      <c r="M2444">
        <v>33.930509729999997</v>
      </c>
      <c r="N2444">
        <v>35.355505290000004</v>
      </c>
      <c r="O2444">
        <v>37.116232189999998</v>
      </c>
      <c r="P2444">
        <v>37.37306306</v>
      </c>
      <c r="Q2444">
        <v>35.81347513</v>
      </c>
      <c r="R2444">
        <v>39.695800425000002</v>
      </c>
      <c r="S2444">
        <v>43.178296490000001</v>
      </c>
      <c r="T2444">
        <v>43.971838099999999</v>
      </c>
      <c r="U2444">
        <v>42.183922244999998</v>
      </c>
      <c r="V2444">
        <v>37.737399785000001</v>
      </c>
      <c r="W2444">
        <v>40.563400244999997</v>
      </c>
      <c r="X2444">
        <v>37.050539585000003</v>
      </c>
      <c r="Y2444">
        <v>36.101803345</v>
      </c>
      <c r="Z2444">
        <v>32.37484998</v>
      </c>
      <c r="AA2444">
        <v>30.724182055</v>
      </c>
      <c r="AB2444">
        <v>28.690094999999999</v>
      </c>
    </row>
    <row r="2445" spans="1:28" hidden="1" x14ac:dyDescent="0.25">
      <c r="A2445" t="s">
        <v>528</v>
      </c>
      <c r="B2445" t="s">
        <v>540</v>
      </c>
      <c r="C2445">
        <v>110</v>
      </c>
      <c r="D2445" t="s">
        <v>3</v>
      </c>
      <c r="E2445">
        <v>7.3428658138999996</v>
      </c>
      <c r="F2445">
        <v>6.4229151517999998</v>
      </c>
      <c r="G2445">
        <v>7.4623760321999999</v>
      </c>
      <c r="H2445">
        <v>6.9707869964000002</v>
      </c>
      <c r="I2445">
        <v>7.0208102395000003</v>
      </c>
      <c r="J2445">
        <v>7.5146327844999998</v>
      </c>
      <c r="K2445">
        <v>7.7461965696000004</v>
      </c>
      <c r="L2445">
        <v>7.9574502492999999</v>
      </c>
      <c r="M2445">
        <v>9.2307292992000001</v>
      </c>
      <c r="N2445">
        <v>9.1522355104000006</v>
      </c>
      <c r="O2445">
        <v>9.5080391184999993</v>
      </c>
      <c r="P2445">
        <v>9.7379882320999993</v>
      </c>
      <c r="Q2445">
        <v>9.3118845963000005</v>
      </c>
      <c r="R2445">
        <v>9.9660472523999992</v>
      </c>
      <c r="S2445">
        <v>10.608347783299999</v>
      </c>
      <c r="T2445">
        <v>11.405135041399999</v>
      </c>
      <c r="U2445">
        <v>10.702567761399999</v>
      </c>
      <c r="V2445">
        <v>9.6525694831000006</v>
      </c>
      <c r="W2445">
        <v>10.2298234783</v>
      </c>
      <c r="X2445">
        <v>9.1011899931000002</v>
      </c>
      <c r="Y2445">
        <v>8.8697451409999992</v>
      </c>
      <c r="Z2445">
        <v>7.7180720963000002</v>
      </c>
      <c r="AA2445">
        <v>7.0108381763000001</v>
      </c>
      <c r="AB2445">
        <v>7.1828868819</v>
      </c>
    </row>
    <row r="2446" spans="1:28" hidden="1" x14ac:dyDescent="0.25">
      <c r="A2446" t="s">
        <v>528</v>
      </c>
      <c r="B2446" t="s">
        <v>540</v>
      </c>
      <c r="C2446">
        <v>110</v>
      </c>
      <c r="D2446" t="s">
        <v>4</v>
      </c>
      <c r="E2446">
        <v>0.41302288500000001</v>
      </c>
      <c r="F2446">
        <v>0.39081574499999999</v>
      </c>
      <c r="G2446">
        <v>0.37309558500000001</v>
      </c>
      <c r="H2446">
        <v>0.35634859499999999</v>
      </c>
      <c r="I2446">
        <v>0.33742634999999999</v>
      </c>
      <c r="J2446">
        <v>0.33581470499999999</v>
      </c>
      <c r="K2446">
        <v>0.33509260499999999</v>
      </c>
      <c r="L2446">
        <v>0.42190038000000002</v>
      </c>
      <c r="M2446">
        <v>0.51670826999999997</v>
      </c>
      <c r="N2446">
        <v>0.53840871000000001</v>
      </c>
      <c r="O2446">
        <v>0.56522181000000005</v>
      </c>
      <c r="P2446">
        <v>0.56913294000000003</v>
      </c>
      <c r="Q2446">
        <v>0.54538286999999996</v>
      </c>
      <c r="R2446">
        <v>0.60450457499999999</v>
      </c>
      <c r="S2446">
        <v>0.65753751000000005</v>
      </c>
      <c r="T2446">
        <v>0.66962189999999999</v>
      </c>
      <c r="U2446">
        <v>0.64239475499999998</v>
      </c>
      <c r="V2446">
        <v>0.57468121500000002</v>
      </c>
      <c r="W2446">
        <v>0.61771675500000001</v>
      </c>
      <c r="X2446">
        <v>0.564221415</v>
      </c>
      <c r="Y2446">
        <v>0.54977365499999997</v>
      </c>
      <c r="Z2446">
        <v>0.49301802</v>
      </c>
      <c r="AA2446">
        <v>0.46788094499999999</v>
      </c>
      <c r="AB2446">
        <v>0.43690499999999999</v>
      </c>
    </row>
    <row r="2447" spans="1:28" hidden="1" x14ac:dyDescent="0.25">
      <c r="A2447" t="s">
        <v>528</v>
      </c>
      <c r="B2447" t="s">
        <v>541</v>
      </c>
      <c r="C2447">
        <v>110</v>
      </c>
      <c r="D2447" t="s">
        <v>2</v>
      </c>
      <c r="E2447">
        <v>11.719934835</v>
      </c>
      <c r="F2447">
        <v>11.17871772</v>
      </c>
      <c r="G2447">
        <v>11.390737984999999</v>
      </c>
      <c r="H2447">
        <v>11.04033901</v>
      </c>
      <c r="I2447">
        <v>10.536260335</v>
      </c>
      <c r="J2447">
        <v>10.01166214</v>
      </c>
      <c r="K2447">
        <v>8.3379333950000003</v>
      </c>
      <c r="L2447">
        <v>8.7902473650000008</v>
      </c>
      <c r="M2447">
        <v>8.9665889599999993</v>
      </c>
      <c r="N2447">
        <v>9.536346795</v>
      </c>
      <c r="O2447">
        <v>10.17640866</v>
      </c>
      <c r="P2447">
        <v>9.9871655350000008</v>
      </c>
      <c r="Q2447">
        <v>11.344791035</v>
      </c>
      <c r="R2447">
        <v>11.203185120000001</v>
      </c>
      <c r="S2447">
        <v>11.294619715</v>
      </c>
      <c r="T2447">
        <v>9.8676265749999992</v>
      </c>
      <c r="U2447">
        <v>8.2324812650000005</v>
      </c>
      <c r="V2447">
        <v>7.0226717599999997</v>
      </c>
      <c r="W2447">
        <v>10.432472855</v>
      </c>
      <c r="X2447">
        <v>11.281716214999999</v>
      </c>
      <c r="Y2447">
        <v>12.132090355000001</v>
      </c>
      <c r="Z2447">
        <v>12.44419253</v>
      </c>
      <c r="AA2447">
        <v>12.855013375</v>
      </c>
      <c r="AB2447">
        <v>12.22872181</v>
      </c>
    </row>
    <row r="2448" spans="1:28" hidden="1" x14ac:dyDescent="0.25">
      <c r="A2448" t="s">
        <v>528</v>
      </c>
      <c r="B2448" t="s">
        <v>541</v>
      </c>
      <c r="C2448">
        <v>110</v>
      </c>
      <c r="D2448" t="s">
        <v>3</v>
      </c>
      <c r="E2448">
        <v>1.8149990717</v>
      </c>
      <c r="F2448">
        <v>1.6834493130999999</v>
      </c>
      <c r="G2448">
        <v>1.5889762267</v>
      </c>
      <c r="H2448">
        <v>1.5319296922000001</v>
      </c>
      <c r="I2448">
        <v>1.4549366897</v>
      </c>
      <c r="J2448">
        <v>1.3727673865000001</v>
      </c>
      <c r="K2448">
        <v>1.0059925355999999</v>
      </c>
      <c r="L2448">
        <v>0.84234083039999996</v>
      </c>
      <c r="M2448">
        <v>0.5622241898</v>
      </c>
      <c r="N2448">
        <v>1.0651519264</v>
      </c>
      <c r="O2448">
        <v>0.96325846780000002</v>
      </c>
      <c r="P2448">
        <v>1.0915735102999999</v>
      </c>
      <c r="Q2448">
        <v>1.2567551127000001</v>
      </c>
      <c r="R2448">
        <v>1.3306598786999999</v>
      </c>
      <c r="S2448">
        <v>1.3511975854</v>
      </c>
      <c r="T2448">
        <v>1.2588874342</v>
      </c>
      <c r="U2448">
        <v>0.98134718369999996</v>
      </c>
      <c r="V2448">
        <v>0.93516042929999998</v>
      </c>
      <c r="W2448">
        <v>1.9743066841000001</v>
      </c>
      <c r="X2448">
        <v>3.8096333827</v>
      </c>
      <c r="Y2448">
        <v>3.7396754474999998</v>
      </c>
      <c r="Z2448">
        <v>3.7122679414999999</v>
      </c>
      <c r="AA2448">
        <v>3.5820969658999999</v>
      </c>
      <c r="AB2448">
        <v>3.0818753692</v>
      </c>
    </row>
    <row r="2449" spans="1:28" hidden="1" x14ac:dyDescent="0.25">
      <c r="A2449" t="s">
        <v>528</v>
      </c>
      <c r="B2449" t="s">
        <v>541</v>
      </c>
      <c r="C2449">
        <v>110</v>
      </c>
      <c r="D2449" t="s">
        <v>4</v>
      </c>
      <c r="E2449">
        <v>0.17847616499999999</v>
      </c>
      <c r="F2449">
        <v>0.17023427999999999</v>
      </c>
      <c r="G2449">
        <v>0.173463015</v>
      </c>
      <c r="H2449">
        <v>0.16812699</v>
      </c>
      <c r="I2449">
        <v>0.16045066499999999</v>
      </c>
      <c r="J2449">
        <v>0.15246186</v>
      </c>
      <c r="K2449">
        <v>0.12697360499999999</v>
      </c>
      <c r="L2449">
        <v>0.13386163500000001</v>
      </c>
      <c r="M2449">
        <v>0.13654704000000001</v>
      </c>
      <c r="N2449">
        <v>0.14522355519999999</v>
      </c>
      <c r="O2449">
        <v>0.15497069020000001</v>
      </c>
      <c r="P2449">
        <v>0.1520888152</v>
      </c>
      <c r="Q2449">
        <v>0.17276331519999999</v>
      </c>
      <c r="R2449">
        <v>0.17060687999999999</v>
      </c>
      <c r="S2449">
        <v>0.171999285</v>
      </c>
      <c r="T2449">
        <v>0.15026842500000001</v>
      </c>
      <c r="U2449">
        <v>0.12536773500000001</v>
      </c>
      <c r="V2449">
        <v>0.10694424</v>
      </c>
      <c r="W2449">
        <v>0.15887014499999999</v>
      </c>
      <c r="X2449">
        <v>0.17180278500000001</v>
      </c>
      <c r="Y2449">
        <v>0.18475264499999999</v>
      </c>
      <c r="Z2449">
        <v>0.18950547000000001</v>
      </c>
      <c r="AA2449">
        <v>0.19576162499999999</v>
      </c>
      <c r="AB2449">
        <v>0.18622419000000001</v>
      </c>
    </row>
    <row r="2450" spans="1:28" hidden="1" x14ac:dyDescent="0.25">
      <c r="A2450" t="s">
        <v>528</v>
      </c>
      <c r="B2450" t="s">
        <v>542</v>
      </c>
      <c r="C2450">
        <v>115</v>
      </c>
      <c r="D2450" t="s">
        <v>2</v>
      </c>
      <c r="E2450">
        <v>13.17346289</v>
      </c>
      <c r="F2450">
        <v>12.323660050000001</v>
      </c>
      <c r="G2450">
        <v>11.62643765</v>
      </c>
      <c r="H2450">
        <v>10.924516799999999</v>
      </c>
      <c r="I2450">
        <v>10.23305862</v>
      </c>
      <c r="J2450">
        <v>9.7191260049999997</v>
      </c>
      <c r="K2450">
        <v>8.8383478699999998</v>
      </c>
      <c r="L2450">
        <v>8.5110274449999999</v>
      </c>
      <c r="M2450">
        <v>8.9204978550000007</v>
      </c>
      <c r="N2450">
        <v>9.7643315949999998</v>
      </c>
      <c r="O2450">
        <v>10.409175635</v>
      </c>
      <c r="P2450">
        <v>11.04026809</v>
      </c>
      <c r="Q2450">
        <v>11.274178995</v>
      </c>
      <c r="R2450">
        <v>11.743999369999999</v>
      </c>
      <c r="S2450">
        <v>12.694304714999999</v>
      </c>
      <c r="T2450">
        <v>13.336300135</v>
      </c>
      <c r="U2450">
        <v>13.202141165</v>
      </c>
      <c r="V2450">
        <v>12.905736935</v>
      </c>
      <c r="W2450">
        <v>14.028303019999999</v>
      </c>
      <c r="X2450">
        <v>14.460918960000001</v>
      </c>
      <c r="Y2450">
        <v>14.787658235</v>
      </c>
      <c r="Z2450">
        <v>13.790857935</v>
      </c>
      <c r="AA2450">
        <v>14.238400564999999</v>
      </c>
      <c r="AB2450">
        <v>13.899757565</v>
      </c>
    </row>
    <row r="2451" spans="1:28" hidden="1" x14ac:dyDescent="0.25">
      <c r="A2451" t="s">
        <v>528</v>
      </c>
      <c r="B2451" t="s">
        <v>542</v>
      </c>
      <c r="C2451">
        <v>115</v>
      </c>
      <c r="D2451" t="s">
        <v>3</v>
      </c>
      <c r="E2451">
        <v>4.5046188430000003</v>
      </c>
      <c r="F2451">
        <v>4.3094423723000004</v>
      </c>
      <c r="G2451">
        <v>4.1187636366999998</v>
      </c>
      <c r="H2451">
        <v>3.9378302357999999</v>
      </c>
      <c r="I2451">
        <v>3.7028914936000001</v>
      </c>
      <c r="J2451">
        <v>3.5327275772000002</v>
      </c>
      <c r="K2451">
        <v>3.2374153463000002</v>
      </c>
      <c r="L2451">
        <v>3.1772150102999999</v>
      </c>
      <c r="M2451">
        <v>3.3454526708999999</v>
      </c>
      <c r="N2451">
        <v>3.7162182238999999</v>
      </c>
      <c r="O2451">
        <v>3.9492320872</v>
      </c>
      <c r="P2451">
        <v>4.1779785518999999</v>
      </c>
      <c r="Q2451">
        <v>4.2446130904999997</v>
      </c>
      <c r="R2451">
        <v>4.3568838529000002</v>
      </c>
      <c r="S2451">
        <v>4.5405672045000003</v>
      </c>
      <c r="T2451">
        <v>4.7006329189000002</v>
      </c>
      <c r="U2451">
        <v>4.7412003954999999</v>
      </c>
      <c r="V2451">
        <v>4.8009486794000003</v>
      </c>
      <c r="W2451">
        <v>5.0668918790999999</v>
      </c>
      <c r="X2451">
        <v>4.8796674388000003</v>
      </c>
      <c r="Y2451">
        <v>4.8525925551000002</v>
      </c>
      <c r="Z2451">
        <v>4.3867870442000001</v>
      </c>
      <c r="AA2451">
        <v>4.5338009963000001</v>
      </c>
      <c r="AB2451">
        <v>4.5359927982999997</v>
      </c>
    </row>
    <row r="2452" spans="1:28" hidden="1" x14ac:dyDescent="0.25">
      <c r="A2452" t="s">
        <v>528</v>
      </c>
      <c r="B2452" t="s">
        <v>542</v>
      </c>
      <c r="C2452">
        <v>115</v>
      </c>
      <c r="D2452" t="s">
        <v>4</v>
      </c>
      <c r="E2452">
        <v>0.20061111000000001</v>
      </c>
      <c r="F2452">
        <v>0.18766995</v>
      </c>
      <c r="G2452">
        <v>0.17705235</v>
      </c>
      <c r="H2452">
        <v>0.16636319999999999</v>
      </c>
      <c r="I2452">
        <v>0.15583337999999999</v>
      </c>
      <c r="J2452">
        <v>0.148006995</v>
      </c>
      <c r="K2452">
        <v>0.13459413000000001</v>
      </c>
      <c r="L2452">
        <v>0.12960955499999999</v>
      </c>
      <c r="M2452">
        <v>0.135845145</v>
      </c>
      <c r="N2452">
        <v>0.148695405</v>
      </c>
      <c r="O2452">
        <v>0.15851536499999999</v>
      </c>
      <c r="P2452">
        <v>0.16812590999999999</v>
      </c>
      <c r="Q2452">
        <v>0.171688005</v>
      </c>
      <c r="R2452">
        <v>0.17884263</v>
      </c>
      <c r="S2452">
        <v>0.193314285</v>
      </c>
      <c r="T2452">
        <v>0.20309086500000001</v>
      </c>
      <c r="U2452">
        <v>0.20104783500000001</v>
      </c>
      <c r="V2452">
        <v>0.19653406500000001</v>
      </c>
      <c r="W2452">
        <v>0.21362898</v>
      </c>
      <c r="X2452">
        <v>0.22021704</v>
      </c>
      <c r="Y2452">
        <v>0.22519276499999999</v>
      </c>
      <c r="Z2452">
        <v>0.210013065</v>
      </c>
      <c r="AA2452">
        <v>0.21682843500000001</v>
      </c>
      <c r="AB2452">
        <v>0.21167143499999999</v>
      </c>
    </row>
    <row r="2453" spans="1:28" hidden="1" x14ac:dyDescent="0.25">
      <c r="A2453" t="s">
        <v>528</v>
      </c>
      <c r="B2453" t="s">
        <v>543</v>
      </c>
      <c r="C2453">
        <v>110</v>
      </c>
      <c r="D2453" t="s">
        <v>2</v>
      </c>
      <c r="E2453">
        <v>53.40456846</v>
      </c>
      <c r="F2453">
        <v>50.56827672</v>
      </c>
      <c r="G2453">
        <v>48.108512064999999</v>
      </c>
      <c r="H2453">
        <v>45.997967340000002</v>
      </c>
      <c r="I2453">
        <v>43.661049915</v>
      </c>
      <c r="J2453">
        <v>41.998173899999998</v>
      </c>
      <c r="K2453">
        <v>38.390387805000003</v>
      </c>
      <c r="L2453">
        <v>36.595006634999997</v>
      </c>
      <c r="M2453">
        <v>36.898099999999999</v>
      </c>
      <c r="N2453">
        <v>38.677277920000002</v>
      </c>
      <c r="O2453">
        <v>40.510363904999998</v>
      </c>
      <c r="P2453">
        <v>41.95692013</v>
      </c>
      <c r="Q2453">
        <v>42.594378640000002</v>
      </c>
      <c r="R2453">
        <v>45.020745884999997</v>
      </c>
      <c r="S2453">
        <v>48.282511329999998</v>
      </c>
      <c r="T2453">
        <v>49.51465571</v>
      </c>
      <c r="U2453">
        <v>48.856111304999999</v>
      </c>
      <c r="V2453">
        <v>47.733143339999998</v>
      </c>
      <c r="W2453">
        <v>53.394784455</v>
      </c>
      <c r="X2453">
        <v>56.785687340000003</v>
      </c>
      <c r="Y2453">
        <v>58.716962064999997</v>
      </c>
      <c r="Z2453">
        <v>55.038741575000003</v>
      </c>
      <c r="AA2453">
        <v>56.978574965</v>
      </c>
      <c r="AB2453">
        <v>55.919829</v>
      </c>
    </row>
    <row r="2454" spans="1:28" hidden="1" x14ac:dyDescent="0.25">
      <c r="A2454" t="s">
        <v>528</v>
      </c>
      <c r="B2454" t="s">
        <v>543</v>
      </c>
      <c r="C2454">
        <v>110</v>
      </c>
      <c r="D2454" t="s">
        <v>3</v>
      </c>
      <c r="E2454">
        <v>26.706342913</v>
      </c>
      <c r="F2454">
        <v>25.696551718199999</v>
      </c>
      <c r="G2454">
        <v>24.586752973599999</v>
      </c>
      <c r="H2454">
        <v>23.550172901300002</v>
      </c>
      <c r="I2454">
        <v>22.284746861399999</v>
      </c>
      <c r="J2454">
        <v>21.2622301203</v>
      </c>
      <c r="K2454">
        <v>19.256017544399999</v>
      </c>
      <c r="L2454">
        <v>18.361611503999999</v>
      </c>
      <c r="M2454">
        <v>18.799141393900001</v>
      </c>
      <c r="N2454">
        <v>20.288363433400001</v>
      </c>
      <c r="O2454">
        <v>21.392092704500001</v>
      </c>
      <c r="P2454">
        <v>22.286829473800001</v>
      </c>
      <c r="Q2454">
        <v>22.510082814299999</v>
      </c>
      <c r="R2454">
        <v>23.667747566999999</v>
      </c>
      <c r="S2454">
        <v>25.198158341100001</v>
      </c>
      <c r="T2454">
        <v>26.416322504499998</v>
      </c>
      <c r="U2454">
        <v>26.256754535799999</v>
      </c>
      <c r="V2454">
        <v>25.662333596700002</v>
      </c>
      <c r="W2454">
        <v>27.632375189499999</v>
      </c>
      <c r="X2454">
        <v>28.069449566599999</v>
      </c>
      <c r="Y2454">
        <v>28.309744348500001</v>
      </c>
      <c r="Z2454">
        <v>26.1477265318</v>
      </c>
      <c r="AA2454">
        <v>27.004164469399999</v>
      </c>
      <c r="AB2454">
        <v>27.217690671100002</v>
      </c>
    </row>
    <row r="2455" spans="1:28" hidden="1" x14ac:dyDescent="0.25">
      <c r="A2455" t="s">
        <v>528</v>
      </c>
      <c r="B2455" t="s">
        <v>543</v>
      </c>
      <c r="C2455">
        <v>110</v>
      </c>
      <c r="D2455" t="s">
        <v>4</v>
      </c>
      <c r="E2455">
        <v>0.81326754000000001</v>
      </c>
      <c r="F2455">
        <v>0.77007528000000003</v>
      </c>
      <c r="G2455">
        <v>0.73261693500000002</v>
      </c>
      <c r="H2455">
        <v>0.70047665999999997</v>
      </c>
      <c r="I2455">
        <v>0.66488908499999999</v>
      </c>
      <c r="J2455">
        <v>0.63956610000000003</v>
      </c>
      <c r="K2455">
        <v>0.58462519499999999</v>
      </c>
      <c r="L2455">
        <v>0.557284365</v>
      </c>
      <c r="M2455">
        <v>0.56189999999999996</v>
      </c>
      <c r="N2455">
        <v>0.58899407999999998</v>
      </c>
      <c r="O2455">
        <v>0.61690909500000002</v>
      </c>
      <c r="P2455">
        <v>0.63893787000000002</v>
      </c>
      <c r="Q2455">
        <v>0.64864535999999995</v>
      </c>
      <c r="R2455">
        <v>0.68559511500000003</v>
      </c>
      <c r="S2455">
        <v>0.73526667000000001</v>
      </c>
      <c r="T2455">
        <v>0.75403028999999999</v>
      </c>
      <c r="U2455">
        <v>0.74400169500000002</v>
      </c>
      <c r="V2455">
        <v>0.72690065999999998</v>
      </c>
      <c r="W2455">
        <v>0.81311854500000003</v>
      </c>
      <c r="X2455">
        <v>0.86475665999999995</v>
      </c>
      <c r="Y2455">
        <v>0.894166935</v>
      </c>
      <c r="Z2455">
        <v>0.83815342500000001</v>
      </c>
      <c r="AA2455">
        <v>0.86769403499999997</v>
      </c>
      <c r="AB2455">
        <v>0.85157099999999997</v>
      </c>
    </row>
    <row r="2456" spans="1:28" hidden="1" x14ac:dyDescent="0.25">
      <c r="A2456" t="s">
        <v>528</v>
      </c>
      <c r="B2456" t="s">
        <v>544</v>
      </c>
      <c r="C2456">
        <v>110</v>
      </c>
      <c r="D2456" t="s">
        <v>2</v>
      </c>
      <c r="E2456">
        <v>9.9683635099999996</v>
      </c>
      <c r="F2456">
        <v>9.545622195</v>
      </c>
      <c r="G2456">
        <v>9.2351541350000002</v>
      </c>
      <c r="H2456">
        <v>8.9927682900000008</v>
      </c>
      <c r="I2456">
        <v>8.5694389300000005</v>
      </c>
      <c r="J2456">
        <v>8.29878654</v>
      </c>
      <c r="K2456">
        <v>7.8961894600000004</v>
      </c>
      <c r="L2456">
        <v>7.44240981</v>
      </c>
      <c r="M2456">
        <v>6.94210467</v>
      </c>
      <c r="N2456">
        <v>7.3634462999999997</v>
      </c>
      <c r="O2456">
        <v>7.57065287</v>
      </c>
      <c r="P2456">
        <v>7.6189552999999997</v>
      </c>
      <c r="Q2456">
        <v>7.6904889550000002</v>
      </c>
      <c r="R2456">
        <v>7.9666169599999996</v>
      </c>
      <c r="S2456">
        <v>8.1066928249999997</v>
      </c>
      <c r="T2456">
        <v>8.4730960799999995</v>
      </c>
      <c r="U2456">
        <v>8.6117781699999991</v>
      </c>
      <c r="V2456">
        <v>8.6374659850000004</v>
      </c>
      <c r="W2456">
        <v>9.4992809000000005</v>
      </c>
      <c r="X2456">
        <v>11.019838204999999</v>
      </c>
      <c r="Y2456">
        <v>11.409305235</v>
      </c>
      <c r="Z2456">
        <v>10.503995675000001</v>
      </c>
      <c r="AA2456">
        <v>10.682546625000001</v>
      </c>
      <c r="AB2456">
        <v>10.51938236</v>
      </c>
    </row>
    <row r="2457" spans="1:28" hidden="1" x14ac:dyDescent="0.25">
      <c r="A2457" t="s">
        <v>528</v>
      </c>
      <c r="B2457" t="s">
        <v>544</v>
      </c>
      <c r="C2457">
        <v>110</v>
      </c>
      <c r="D2457" t="s">
        <v>3</v>
      </c>
      <c r="E2457">
        <v>3.5491545078</v>
      </c>
      <c r="F2457">
        <v>3.540687551</v>
      </c>
      <c r="G2457">
        <v>3.5103576319999998</v>
      </c>
      <c r="H2457">
        <v>3.4375984139</v>
      </c>
      <c r="I2457">
        <v>3.302664193</v>
      </c>
      <c r="J2457">
        <v>3.2649904365000002</v>
      </c>
      <c r="K2457">
        <v>3.0595589164999999</v>
      </c>
      <c r="L2457">
        <v>2.9160793933</v>
      </c>
      <c r="M2457">
        <v>3.0379411868999999</v>
      </c>
      <c r="N2457">
        <v>3.3548852477</v>
      </c>
      <c r="O2457">
        <v>3.6477443227999999</v>
      </c>
      <c r="P2457">
        <v>3.6521808038999999</v>
      </c>
      <c r="Q2457">
        <v>3.6799043428</v>
      </c>
      <c r="R2457">
        <v>3.795002706</v>
      </c>
      <c r="S2457">
        <v>3.7887974253999999</v>
      </c>
      <c r="T2457">
        <v>3.7818315078999998</v>
      </c>
      <c r="U2457">
        <v>3.8685216546999999</v>
      </c>
      <c r="V2457">
        <v>4.0331338191999997</v>
      </c>
      <c r="W2457">
        <v>4.2916814875</v>
      </c>
      <c r="X2457">
        <v>3.7784560803999998</v>
      </c>
      <c r="Y2457">
        <v>3.7065576628999999</v>
      </c>
      <c r="Z2457">
        <v>3.3504053407000001</v>
      </c>
      <c r="AA2457">
        <v>3.4038697310999999</v>
      </c>
      <c r="AB2457">
        <v>3.4784133851000001</v>
      </c>
    </row>
    <row r="2458" spans="1:28" hidden="1" x14ac:dyDescent="0.25">
      <c r="A2458" t="s">
        <v>528</v>
      </c>
      <c r="B2458" t="s">
        <v>544</v>
      </c>
      <c r="C2458">
        <v>110</v>
      </c>
      <c r="D2458" t="s">
        <v>4</v>
      </c>
      <c r="E2458">
        <v>0.15180249000000001</v>
      </c>
      <c r="F2458">
        <v>0.14536480500000001</v>
      </c>
      <c r="G2458">
        <v>0.140636865</v>
      </c>
      <c r="H2458">
        <v>0.13694571</v>
      </c>
      <c r="I2458">
        <v>0.13049906999999999</v>
      </c>
      <c r="J2458">
        <v>0.12637746</v>
      </c>
      <c r="K2458">
        <v>0.12024654</v>
      </c>
      <c r="L2458">
        <v>0.11333619</v>
      </c>
      <c r="M2458">
        <v>0.10571733</v>
      </c>
      <c r="N2458">
        <v>0.1121337</v>
      </c>
      <c r="O2458">
        <v>0.11528913</v>
      </c>
      <c r="P2458">
        <v>0.11602469999999999</v>
      </c>
      <c r="Q2458">
        <v>0.117114045</v>
      </c>
      <c r="R2458">
        <v>0.12131904</v>
      </c>
      <c r="S2458">
        <v>0.123452175</v>
      </c>
      <c r="T2458">
        <v>0.12903191999999999</v>
      </c>
      <c r="U2458">
        <v>0.13114382999999999</v>
      </c>
      <c r="V2458">
        <v>0.13153501500000001</v>
      </c>
      <c r="W2458">
        <v>0.14465910000000001</v>
      </c>
      <c r="X2458">
        <v>0.16781479499999999</v>
      </c>
      <c r="Y2458">
        <v>0.173745765</v>
      </c>
      <c r="Z2458">
        <v>0.15995932500000001</v>
      </c>
      <c r="AA2458">
        <v>0.16267837499999999</v>
      </c>
      <c r="AB2458">
        <v>0.16019364</v>
      </c>
    </row>
    <row r="2459" spans="1:28" hidden="1" x14ac:dyDescent="0.25">
      <c r="A2459" t="s">
        <v>528</v>
      </c>
      <c r="B2459" t="s">
        <v>545</v>
      </c>
      <c r="C2459">
        <v>110</v>
      </c>
      <c r="D2459" t="s">
        <v>2</v>
      </c>
      <c r="E2459">
        <v>25.668307075000001</v>
      </c>
      <c r="F2459">
        <v>24.771576865</v>
      </c>
      <c r="G2459">
        <v>23.874267475</v>
      </c>
      <c r="H2459">
        <v>22.97830064</v>
      </c>
      <c r="I2459">
        <v>22.014041785</v>
      </c>
      <c r="J2459">
        <v>21.339737379999999</v>
      </c>
      <c r="K2459">
        <v>19.895773675000001</v>
      </c>
      <c r="L2459">
        <v>19.159292130000001</v>
      </c>
      <c r="M2459">
        <v>19.436474085</v>
      </c>
      <c r="N2459">
        <v>21.0050068</v>
      </c>
      <c r="O2459">
        <v>21.910671945000001</v>
      </c>
      <c r="P2459">
        <v>22.416036044999998</v>
      </c>
      <c r="Q2459">
        <v>22.51712758</v>
      </c>
      <c r="R2459">
        <v>23.246713140000001</v>
      </c>
      <c r="S2459">
        <v>24.624742914999999</v>
      </c>
      <c r="T2459">
        <v>25.428114825000002</v>
      </c>
      <c r="U2459">
        <v>25.22759739</v>
      </c>
      <c r="V2459">
        <v>24.533094575</v>
      </c>
      <c r="W2459">
        <v>27.224848399999999</v>
      </c>
      <c r="X2459">
        <v>28.649484435000002</v>
      </c>
      <c r="Y2459">
        <v>28.943548305</v>
      </c>
      <c r="Z2459">
        <v>26.958260119999998</v>
      </c>
      <c r="AA2459">
        <v>27.647767999999999</v>
      </c>
      <c r="AB2459">
        <v>26.875417680000002</v>
      </c>
    </row>
    <row r="2460" spans="1:28" hidden="1" x14ac:dyDescent="0.25">
      <c r="A2460" t="s">
        <v>528</v>
      </c>
      <c r="B2460" t="s">
        <v>545</v>
      </c>
      <c r="C2460">
        <v>110</v>
      </c>
      <c r="D2460" t="s">
        <v>3</v>
      </c>
      <c r="E2460">
        <v>11.787353856599999</v>
      </c>
      <c r="F2460">
        <v>11.6528565631</v>
      </c>
      <c r="G2460">
        <v>11.433368441800001</v>
      </c>
      <c r="H2460">
        <v>10.9532254149</v>
      </c>
      <c r="I2460">
        <v>10.5136683516</v>
      </c>
      <c r="J2460">
        <v>10.1745946803</v>
      </c>
      <c r="K2460">
        <v>9.3140725035000003</v>
      </c>
      <c r="L2460">
        <v>8.9461410529999998</v>
      </c>
      <c r="M2460">
        <v>9.2809882826999992</v>
      </c>
      <c r="N2460">
        <v>10.0861690604</v>
      </c>
      <c r="O2460">
        <v>10.6149255001</v>
      </c>
      <c r="P2460">
        <v>10.963020609200001</v>
      </c>
      <c r="Q2460">
        <v>11.037853391200001</v>
      </c>
      <c r="R2460">
        <v>11.223318431299999</v>
      </c>
      <c r="S2460">
        <v>11.69798407</v>
      </c>
      <c r="T2460">
        <v>12.301710916899999</v>
      </c>
      <c r="U2460">
        <v>12.246849516599999</v>
      </c>
      <c r="V2460">
        <v>11.875665591000001</v>
      </c>
      <c r="W2460">
        <v>12.615654388899999</v>
      </c>
      <c r="X2460">
        <v>12.535625593500001</v>
      </c>
      <c r="Y2460">
        <v>12.442182444</v>
      </c>
      <c r="Z2460">
        <v>11.4019303476</v>
      </c>
      <c r="AA2460">
        <v>11.810381061399999</v>
      </c>
      <c r="AB2460">
        <v>11.9241405801</v>
      </c>
    </row>
    <row r="2461" spans="1:28" hidden="1" x14ac:dyDescent="0.25">
      <c r="A2461" t="s">
        <v>528</v>
      </c>
      <c r="B2461" t="s">
        <v>545</v>
      </c>
      <c r="C2461">
        <v>110</v>
      </c>
      <c r="D2461" t="s">
        <v>4</v>
      </c>
      <c r="E2461">
        <v>0.39088792500000002</v>
      </c>
      <c r="F2461">
        <v>0.37723213500000002</v>
      </c>
      <c r="G2461">
        <v>0.363567525</v>
      </c>
      <c r="H2461">
        <v>0.34992336000000002</v>
      </c>
      <c r="I2461">
        <v>0.33523921499999998</v>
      </c>
      <c r="J2461">
        <v>0.32497061999999999</v>
      </c>
      <c r="K2461">
        <v>0.30298132500000002</v>
      </c>
      <c r="L2461">
        <v>0.29176586999999998</v>
      </c>
      <c r="M2461">
        <v>0.29598691500000002</v>
      </c>
      <c r="N2461">
        <v>0.31987320000000002</v>
      </c>
      <c r="O2461">
        <v>0.33366505499999999</v>
      </c>
      <c r="P2461">
        <v>0.34136095500000002</v>
      </c>
      <c r="Q2461">
        <v>0.34290041999999998</v>
      </c>
      <c r="R2461">
        <v>0.35401085999999998</v>
      </c>
      <c r="S2461">
        <v>0.37499608499999998</v>
      </c>
      <c r="T2461">
        <v>0.38723017500000001</v>
      </c>
      <c r="U2461">
        <v>0.38417660999999997</v>
      </c>
      <c r="V2461">
        <v>0.37360042500000001</v>
      </c>
      <c r="W2461">
        <v>0.4145916</v>
      </c>
      <c r="X2461">
        <v>0.43628656500000002</v>
      </c>
      <c r="Y2461">
        <v>0.44076469499999998</v>
      </c>
      <c r="Z2461">
        <v>0.41053188000000002</v>
      </c>
      <c r="AA2461">
        <v>0.42103200000000002</v>
      </c>
      <c r="AB2461">
        <v>0.40927032000000002</v>
      </c>
    </row>
    <row r="2462" spans="1:28" hidden="1" x14ac:dyDescent="0.25">
      <c r="A2462" t="s">
        <v>528</v>
      </c>
      <c r="B2462" t="s">
        <v>546</v>
      </c>
      <c r="C2462">
        <v>110</v>
      </c>
      <c r="D2462" t="s">
        <v>2</v>
      </c>
      <c r="E2462">
        <v>9.2438920699999994</v>
      </c>
      <c r="F2462">
        <v>9.1772883400000005</v>
      </c>
      <c r="G2462">
        <v>9.0894489949999997</v>
      </c>
      <c r="H2462">
        <v>8.8107619600000007</v>
      </c>
      <c r="I2462">
        <v>8.5614594450000006</v>
      </c>
      <c r="J2462">
        <v>8.4142620299999997</v>
      </c>
      <c r="K2462">
        <v>7.8996399149999998</v>
      </c>
      <c r="L2462">
        <v>7.4699868550000001</v>
      </c>
      <c r="M2462">
        <v>7.1548351200000004</v>
      </c>
      <c r="N2462">
        <v>7.0235947049999998</v>
      </c>
      <c r="O2462">
        <v>7.007484045</v>
      </c>
      <c r="P2462">
        <v>7.0493869299999998</v>
      </c>
      <c r="Q2462">
        <v>7.0268432350000003</v>
      </c>
      <c r="R2462">
        <v>7.32595917</v>
      </c>
      <c r="S2462">
        <v>7.3649041000000004</v>
      </c>
      <c r="T2462">
        <v>7.361002515</v>
      </c>
      <c r="U2462">
        <v>7.5773301850000001</v>
      </c>
      <c r="V2462">
        <v>7.75437507</v>
      </c>
      <c r="W2462">
        <v>9.2862697250000004</v>
      </c>
      <c r="X2462">
        <v>10.64273391</v>
      </c>
      <c r="Y2462">
        <v>10.71328946</v>
      </c>
      <c r="Z2462">
        <v>9.7907611150000005</v>
      </c>
      <c r="AA2462">
        <v>9.8135589400000001</v>
      </c>
      <c r="AB2462">
        <v>9.442067175</v>
      </c>
    </row>
    <row r="2463" spans="1:28" hidden="1" x14ac:dyDescent="0.25">
      <c r="A2463" t="s">
        <v>528</v>
      </c>
      <c r="B2463" t="s">
        <v>546</v>
      </c>
      <c r="C2463">
        <v>110</v>
      </c>
      <c r="D2463" t="s">
        <v>3</v>
      </c>
      <c r="E2463">
        <v>1.8226675006999999</v>
      </c>
      <c r="F2463">
        <v>1.8364637328</v>
      </c>
      <c r="G2463">
        <v>1.821293633</v>
      </c>
      <c r="H2463">
        <v>1.7635852032999999</v>
      </c>
      <c r="I2463">
        <v>1.6936178561999999</v>
      </c>
      <c r="J2463">
        <v>1.7090289967000001</v>
      </c>
      <c r="K2463">
        <v>1.6193201875000001</v>
      </c>
      <c r="L2463">
        <v>1.6569977361999999</v>
      </c>
      <c r="M2463">
        <v>1.6508207095</v>
      </c>
      <c r="N2463">
        <v>1.7850079889999999</v>
      </c>
      <c r="O2463">
        <v>1.8743341976000001</v>
      </c>
      <c r="P2463">
        <v>1.886711244</v>
      </c>
      <c r="Q2463">
        <v>1.9076107899999999</v>
      </c>
      <c r="R2463">
        <v>2.0082529791999999</v>
      </c>
      <c r="S2463">
        <v>2.0153322833999998</v>
      </c>
      <c r="T2463">
        <v>1.9968178044</v>
      </c>
      <c r="U2463">
        <v>2.0122583243999999</v>
      </c>
      <c r="V2463">
        <v>2.0495537078999999</v>
      </c>
      <c r="W2463">
        <v>2.2188939887000001</v>
      </c>
      <c r="X2463">
        <v>1.9325770671</v>
      </c>
      <c r="Y2463">
        <v>1.9123060331999999</v>
      </c>
      <c r="Z2463">
        <v>1.7493599724</v>
      </c>
      <c r="AA2463">
        <v>1.7865439427000001</v>
      </c>
      <c r="AB2463">
        <v>1.7868760930000001</v>
      </c>
    </row>
    <row r="2464" spans="1:28" hidden="1" x14ac:dyDescent="0.25">
      <c r="A2464" t="s">
        <v>528</v>
      </c>
      <c r="B2464" t="s">
        <v>546</v>
      </c>
      <c r="C2464">
        <v>110</v>
      </c>
      <c r="D2464" t="s">
        <v>4</v>
      </c>
      <c r="E2464">
        <v>0.14076992999999999</v>
      </c>
      <c r="F2464">
        <v>0.13975566</v>
      </c>
      <c r="G2464">
        <v>0.13841800500000001</v>
      </c>
      <c r="H2464">
        <v>0.13417403999999999</v>
      </c>
      <c r="I2464">
        <v>0.13037755500000001</v>
      </c>
      <c r="J2464">
        <v>0.12813596999999999</v>
      </c>
      <c r="K2464">
        <v>0.120299085</v>
      </c>
      <c r="L2464">
        <v>0.113756145</v>
      </c>
      <c r="M2464">
        <v>0.10895688000000001</v>
      </c>
      <c r="N2464">
        <v>0.10695829499999999</v>
      </c>
      <c r="O2464">
        <v>0.106712955</v>
      </c>
      <c r="P2464">
        <v>0.10735107000000001</v>
      </c>
      <c r="Q2464">
        <v>0.107007765</v>
      </c>
      <c r="R2464">
        <v>0.11156283</v>
      </c>
      <c r="S2464">
        <v>0.1121559</v>
      </c>
      <c r="T2464">
        <v>0.112096485</v>
      </c>
      <c r="U2464">
        <v>0.11539081499999999</v>
      </c>
      <c r="V2464">
        <v>0.11808693000000001</v>
      </c>
      <c r="W2464">
        <v>0.14141527500000001</v>
      </c>
      <c r="X2464">
        <v>0.16207209</v>
      </c>
      <c r="Y2464">
        <v>0.16314654000000001</v>
      </c>
      <c r="Z2464">
        <v>0.14909788500000001</v>
      </c>
      <c r="AA2464">
        <v>0.14944505999999999</v>
      </c>
      <c r="AB2464">
        <v>0.14378782500000001</v>
      </c>
    </row>
    <row r="2465" spans="1:28" hidden="1" x14ac:dyDescent="0.25">
      <c r="A2465" t="s">
        <v>528</v>
      </c>
      <c r="B2465" t="s">
        <v>547</v>
      </c>
      <c r="C2465">
        <v>110</v>
      </c>
      <c r="D2465" t="s">
        <v>2</v>
      </c>
      <c r="E2465">
        <v>5.6673866200000003</v>
      </c>
      <c r="F2465">
        <v>5.3874407550000001</v>
      </c>
      <c r="G2465">
        <v>5.3268199149999997</v>
      </c>
      <c r="H2465">
        <v>5.1747713749999997</v>
      </c>
      <c r="I2465">
        <v>5.1743773749999997</v>
      </c>
      <c r="J2465">
        <v>5.0693428850000002</v>
      </c>
      <c r="K2465">
        <v>4.0930424050000003</v>
      </c>
      <c r="L2465">
        <v>4.0366196350000001</v>
      </c>
      <c r="M2465">
        <v>3.9106952650000002</v>
      </c>
      <c r="N2465">
        <v>4.0197475699999998</v>
      </c>
      <c r="O2465">
        <v>4.1236059699999998</v>
      </c>
      <c r="P2465">
        <v>4.2990728850000002</v>
      </c>
      <c r="Q2465">
        <v>4.3410269899999996</v>
      </c>
      <c r="R2465">
        <v>4.8049304700000004</v>
      </c>
      <c r="S2465">
        <v>5.04239821</v>
      </c>
      <c r="T2465">
        <v>4.9249871949999999</v>
      </c>
      <c r="U2465">
        <v>4.6981170700000003</v>
      </c>
      <c r="V2465">
        <v>4.6130967949999997</v>
      </c>
      <c r="W2465">
        <v>6.0048840649999997</v>
      </c>
      <c r="X2465">
        <v>6.4055426649999996</v>
      </c>
      <c r="Y2465">
        <v>6.6924593750000003</v>
      </c>
      <c r="Z2465">
        <v>6.3393063400000003</v>
      </c>
      <c r="AA2465">
        <v>6.2826757349999998</v>
      </c>
      <c r="AB2465">
        <v>6.0521158000000002</v>
      </c>
    </row>
    <row r="2466" spans="1:28" hidden="1" x14ac:dyDescent="0.25">
      <c r="A2466" t="s">
        <v>528</v>
      </c>
      <c r="B2466" t="s">
        <v>547</v>
      </c>
      <c r="C2466">
        <v>110</v>
      </c>
      <c r="D2466" t="s">
        <v>3</v>
      </c>
      <c r="E2466">
        <v>2.0411551108000001</v>
      </c>
      <c r="F2466">
        <v>2.0113377626000002</v>
      </c>
      <c r="G2466">
        <v>2.0451229574999998</v>
      </c>
      <c r="H2466">
        <v>1.9930359436</v>
      </c>
      <c r="I2466">
        <v>1.9846074105</v>
      </c>
      <c r="J2466">
        <v>1.9585795921</v>
      </c>
      <c r="K2466">
        <v>1.5834659412000001</v>
      </c>
      <c r="L2466">
        <v>1.7396088934</v>
      </c>
      <c r="M2466">
        <v>1.8335759426</v>
      </c>
      <c r="N2466">
        <v>2.0368484312000001</v>
      </c>
      <c r="O2466">
        <v>2.1602279485999998</v>
      </c>
      <c r="P2466">
        <v>2.2018851859000002</v>
      </c>
      <c r="Q2466">
        <v>2.1756943660000001</v>
      </c>
      <c r="R2466">
        <v>2.3973218072</v>
      </c>
      <c r="S2466">
        <v>2.4381446591999998</v>
      </c>
      <c r="T2466">
        <v>2.3368008547999999</v>
      </c>
      <c r="U2466">
        <v>2.2758011313000002</v>
      </c>
      <c r="V2466">
        <v>2.2718503067000002</v>
      </c>
      <c r="W2466">
        <v>2.6299442879999999</v>
      </c>
      <c r="X2466">
        <v>2.0551934951000002</v>
      </c>
      <c r="Y2466">
        <v>2.0748439298000001</v>
      </c>
      <c r="Z2466">
        <v>1.9448630269</v>
      </c>
      <c r="AA2466">
        <v>1.9822278545000001</v>
      </c>
      <c r="AB2466">
        <v>2.0333466917999998</v>
      </c>
    </row>
    <row r="2467" spans="1:28" hidden="1" x14ac:dyDescent="0.25">
      <c r="A2467" t="s">
        <v>528</v>
      </c>
      <c r="B2467" t="s">
        <v>547</v>
      </c>
      <c r="C2467">
        <v>110</v>
      </c>
      <c r="D2467" t="s">
        <v>4</v>
      </c>
      <c r="E2467">
        <v>8.6305380000000001E-2</v>
      </c>
      <c r="F2467">
        <v>8.2042245E-2</v>
      </c>
      <c r="G2467">
        <v>8.1119084999999994E-2</v>
      </c>
      <c r="H2467">
        <v>7.8803625000000002E-2</v>
      </c>
      <c r="I2467">
        <v>7.8797624999999996E-2</v>
      </c>
      <c r="J2467">
        <v>7.7198114999999998E-2</v>
      </c>
      <c r="K2467">
        <v>6.2330595000000003E-2</v>
      </c>
      <c r="L2467">
        <v>6.1471365E-2</v>
      </c>
      <c r="M2467">
        <v>5.9553734999999997E-2</v>
      </c>
      <c r="N2467">
        <v>6.121443E-2</v>
      </c>
      <c r="O2467">
        <v>6.2796030000000003E-2</v>
      </c>
      <c r="P2467">
        <v>6.5468114999999993E-2</v>
      </c>
      <c r="Q2467">
        <v>6.6107009999999994E-2</v>
      </c>
      <c r="R2467">
        <v>7.3171529999999999E-2</v>
      </c>
      <c r="S2467">
        <v>7.6787789999999995E-2</v>
      </c>
      <c r="T2467">
        <v>7.4999805000000003E-2</v>
      </c>
      <c r="U2467">
        <v>7.1544930000000007E-2</v>
      </c>
      <c r="V2467">
        <v>7.0250204999999996E-2</v>
      </c>
      <c r="W2467">
        <v>9.1444935000000005E-2</v>
      </c>
      <c r="X2467">
        <v>9.7546334999999998E-2</v>
      </c>
      <c r="Y2467">
        <v>0.101915625</v>
      </c>
      <c r="Z2467">
        <v>9.6537659999999997E-2</v>
      </c>
      <c r="AA2467">
        <v>9.5675264999999995E-2</v>
      </c>
      <c r="AB2467">
        <v>9.2164200000000002E-2</v>
      </c>
    </row>
    <row r="2468" spans="1:28" hidden="1" x14ac:dyDescent="0.25">
      <c r="A2468" t="s">
        <v>528</v>
      </c>
      <c r="B2468" t="s">
        <v>548</v>
      </c>
      <c r="C2468">
        <v>66</v>
      </c>
      <c r="D2468" t="s">
        <v>2</v>
      </c>
      <c r="E2468">
        <v>7.4235421349999999</v>
      </c>
      <c r="F2468">
        <v>7.1758579750000004</v>
      </c>
      <c r="G2468">
        <v>6.9767195400000004</v>
      </c>
      <c r="H2468">
        <v>6.7549172400000002</v>
      </c>
      <c r="I2468">
        <v>6.4709634101000004</v>
      </c>
      <c r="J2468">
        <v>6.3049219599999997</v>
      </c>
      <c r="K2468">
        <v>5.80135253</v>
      </c>
      <c r="L2468">
        <v>5.3672216600000002</v>
      </c>
      <c r="M2468">
        <v>5.0275296349999996</v>
      </c>
      <c r="N2468">
        <v>5.0575731199999998</v>
      </c>
      <c r="O2468">
        <v>5.2197060899999999</v>
      </c>
      <c r="P2468">
        <v>5.3406808349999997</v>
      </c>
      <c r="Q2468">
        <v>5.4809369549999998</v>
      </c>
      <c r="R2468">
        <v>5.9364817250000002</v>
      </c>
      <c r="S2468">
        <v>6.2522205199999998</v>
      </c>
      <c r="T2468">
        <v>6.2842133200000001</v>
      </c>
      <c r="U2468">
        <v>6.1118629450000004</v>
      </c>
      <c r="V2468">
        <v>6.110145105</v>
      </c>
      <c r="W2468">
        <v>7.3995997400000002</v>
      </c>
      <c r="X2468">
        <v>8.4429560650000006</v>
      </c>
      <c r="Y2468">
        <v>8.6520114800000005</v>
      </c>
      <c r="Z2468">
        <v>8.1198977350000003</v>
      </c>
      <c r="AA2468">
        <v>8.1804634150000002</v>
      </c>
      <c r="AB2468">
        <v>7.8237003549999997</v>
      </c>
    </row>
    <row r="2469" spans="1:28" hidden="1" x14ac:dyDescent="0.25">
      <c r="A2469" t="s">
        <v>528</v>
      </c>
      <c r="B2469" t="s">
        <v>548</v>
      </c>
      <c r="C2469">
        <v>66</v>
      </c>
      <c r="D2469" t="s">
        <v>3</v>
      </c>
      <c r="E2469">
        <v>2.9346720962999999</v>
      </c>
      <c r="F2469">
        <v>2.9128945839</v>
      </c>
      <c r="G2469">
        <v>2.896672278</v>
      </c>
      <c r="H2469">
        <v>2.8039622526999999</v>
      </c>
      <c r="I2469">
        <v>2.7182391923</v>
      </c>
      <c r="J2469">
        <v>2.6369853871000002</v>
      </c>
      <c r="K2469">
        <v>2.3944569483999998</v>
      </c>
      <c r="L2469">
        <v>2.4715736748000001</v>
      </c>
      <c r="M2469">
        <v>2.4453290558999998</v>
      </c>
      <c r="N2469">
        <v>2.5346813747999999</v>
      </c>
      <c r="O2469">
        <v>2.6197255130000001</v>
      </c>
      <c r="P2469">
        <v>2.6673122453999998</v>
      </c>
      <c r="Q2469">
        <v>2.6751511590999999</v>
      </c>
      <c r="R2469">
        <v>2.8282598047</v>
      </c>
      <c r="S2469">
        <v>2.9103733318999998</v>
      </c>
      <c r="T2469">
        <v>2.9444414983999998</v>
      </c>
      <c r="U2469">
        <v>2.9325307642</v>
      </c>
      <c r="V2469">
        <v>2.8851475938000002</v>
      </c>
      <c r="W2469">
        <v>3.1352383706000002</v>
      </c>
      <c r="X2469">
        <v>2.8621914402000002</v>
      </c>
      <c r="Y2469">
        <v>2.8529787530999999</v>
      </c>
      <c r="Z2469">
        <v>2.6732009581999998</v>
      </c>
      <c r="AA2469">
        <v>2.8105314021000001</v>
      </c>
      <c r="AB2469">
        <v>2.8886604016000001</v>
      </c>
    </row>
    <row r="2470" spans="1:28" hidden="1" x14ac:dyDescent="0.25">
      <c r="A2470" t="s">
        <v>528</v>
      </c>
      <c r="B2470" t="s">
        <v>548</v>
      </c>
      <c r="C2470">
        <v>66</v>
      </c>
      <c r="D2470" t="s">
        <v>4</v>
      </c>
      <c r="E2470">
        <v>0.113048865</v>
      </c>
      <c r="F2470">
        <v>0.109277025</v>
      </c>
      <c r="G2470">
        <v>0.10624446</v>
      </c>
      <c r="H2470">
        <v>0.10286676</v>
      </c>
      <c r="I2470">
        <v>9.8542589900000005E-2</v>
      </c>
      <c r="J2470">
        <v>9.6014039999999995E-2</v>
      </c>
      <c r="K2470">
        <v>8.8345469999999995E-2</v>
      </c>
      <c r="L2470">
        <v>8.1734340000000003E-2</v>
      </c>
      <c r="M2470">
        <v>7.6561365000000006E-2</v>
      </c>
      <c r="N2470">
        <v>7.7018879999999998E-2</v>
      </c>
      <c r="O2470">
        <v>7.9487909999999995E-2</v>
      </c>
      <c r="P2470">
        <v>8.1330164999999996E-2</v>
      </c>
      <c r="Q2470">
        <v>8.3466045000000003E-2</v>
      </c>
      <c r="R2470">
        <v>9.0403275000000005E-2</v>
      </c>
      <c r="S2470">
        <v>9.5211480000000001E-2</v>
      </c>
      <c r="T2470">
        <v>9.5698679999999994E-2</v>
      </c>
      <c r="U2470">
        <v>9.3074055000000003E-2</v>
      </c>
      <c r="V2470">
        <v>9.3047895000000005E-2</v>
      </c>
      <c r="W2470">
        <v>0.11268425999999999</v>
      </c>
      <c r="X2470">
        <v>0.128572935</v>
      </c>
      <c r="Y2470">
        <v>0.13175651999999999</v>
      </c>
      <c r="Z2470">
        <v>0.123653265</v>
      </c>
      <c r="AA2470">
        <v>0.124575585</v>
      </c>
      <c r="AB2470">
        <v>0.11914264500000001</v>
      </c>
    </row>
    <row r="2471" spans="1:28" hidden="1" x14ac:dyDescent="0.25">
      <c r="A2471" t="s">
        <v>528</v>
      </c>
      <c r="B2471" t="s">
        <v>549</v>
      </c>
      <c r="C2471">
        <v>66</v>
      </c>
      <c r="D2471" t="s">
        <v>2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</row>
    <row r="2472" spans="1:28" hidden="1" x14ac:dyDescent="0.25">
      <c r="A2472" t="s">
        <v>528</v>
      </c>
      <c r="B2472" t="s">
        <v>549</v>
      </c>
      <c r="C2472">
        <v>66</v>
      </c>
      <c r="D2472" t="s">
        <v>3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</row>
    <row r="2473" spans="1:28" hidden="1" x14ac:dyDescent="0.25">
      <c r="A2473" t="s">
        <v>528</v>
      </c>
      <c r="B2473" t="s">
        <v>549</v>
      </c>
      <c r="C2473">
        <v>66</v>
      </c>
      <c r="D2473" t="s">
        <v>4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0</v>
      </c>
      <c r="AA2473">
        <v>0</v>
      </c>
      <c r="AB2473">
        <v>0</v>
      </c>
    </row>
    <row r="2474" spans="1:28" hidden="1" x14ac:dyDescent="0.25">
      <c r="A2474" t="s">
        <v>528</v>
      </c>
      <c r="B2474" t="s">
        <v>550</v>
      </c>
      <c r="C2474">
        <v>110</v>
      </c>
      <c r="D2474" t="s">
        <v>2</v>
      </c>
      <c r="E2474">
        <v>13.78788816</v>
      </c>
      <c r="F2474">
        <v>13.353220465</v>
      </c>
      <c r="G2474">
        <v>13.01492517</v>
      </c>
      <c r="H2474">
        <v>12.603938845</v>
      </c>
      <c r="I2474">
        <v>12.227806745000001</v>
      </c>
      <c r="J2474">
        <v>12.167191815000001</v>
      </c>
      <c r="K2474">
        <v>11.357673504999999</v>
      </c>
      <c r="L2474">
        <v>10.706866274999999</v>
      </c>
      <c r="M2474">
        <v>10.498248200000001</v>
      </c>
      <c r="N2474">
        <v>10.89351491</v>
      </c>
      <c r="O2474">
        <v>11.27849625</v>
      </c>
      <c r="P2474">
        <v>11.668354324999999</v>
      </c>
      <c r="Q2474">
        <v>11.969055125000001</v>
      </c>
      <c r="R2474">
        <v>12.650904629999999</v>
      </c>
      <c r="S2474">
        <v>13.069614339999999</v>
      </c>
      <c r="T2474">
        <v>13.19066887</v>
      </c>
      <c r="U2474">
        <v>13.197830805000001</v>
      </c>
      <c r="V2474">
        <v>13.21692109</v>
      </c>
      <c r="W2474">
        <v>15.367230265</v>
      </c>
      <c r="X2474">
        <v>17.137314665000002</v>
      </c>
      <c r="Y2474">
        <v>17.330793289999999</v>
      </c>
      <c r="Z2474">
        <v>15.691153425</v>
      </c>
      <c r="AA2474">
        <v>15.42701484</v>
      </c>
      <c r="AB2474">
        <v>14.536569914999999</v>
      </c>
    </row>
    <row r="2475" spans="1:28" hidden="1" x14ac:dyDescent="0.25">
      <c r="A2475" t="s">
        <v>528</v>
      </c>
      <c r="B2475" t="s">
        <v>550</v>
      </c>
      <c r="C2475">
        <v>110</v>
      </c>
      <c r="D2475" t="s">
        <v>3</v>
      </c>
      <c r="E2475">
        <v>5.9774542386</v>
      </c>
      <c r="F2475">
        <v>5.9780566576999998</v>
      </c>
      <c r="G2475">
        <v>5.9944270816999996</v>
      </c>
      <c r="H2475">
        <v>5.8873952032999997</v>
      </c>
      <c r="I2475">
        <v>5.8088195683999997</v>
      </c>
      <c r="J2475">
        <v>5.7682024873</v>
      </c>
      <c r="K2475">
        <v>5.3831284036999998</v>
      </c>
      <c r="L2475">
        <v>5.5163848796000003</v>
      </c>
      <c r="M2475">
        <v>5.6500777399000004</v>
      </c>
      <c r="N2475">
        <v>5.7688812616999998</v>
      </c>
      <c r="O2475">
        <v>5.9223836198999997</v>
      </c>
      <c r="P2475">
        <v>6.0269075282999998</v>
      </c>
      <c r="Q2475">
        <v>5.9693714207999999</v>
      </c>
      <c r="R2475">
        <v>6.1500262750000001</v>
      </c>
      <c r="S2475">
        <v>6.2712986067000003</v>
      </c>
      <c r="T2475">
        <v>6.4157803527999997</v>
      </c>
      <c r="U2475">
        <v>6.4992748233000004</v>
      </c>
      <c r="V2475">
        <v>6.5194519459000002</v>
      </c>
      <c r="W2475">
        <v>7.0858666150999996</v>
      </c>
      <c r="X2475">
        <v>6.8236614949999996</v>
      </c>
      <c r="Y2475">
        <v>6.7096932605999999</v>
      </c>
      <c r="Z2475">
        <v>6.0719004660999998</v>
      </c>
      <c r="AA2475">
        <v>6.0918070283999999</v>
      </c>
      <c r="AB2475">
        <v>6.0350108958000002</v>
      </c>
    </row>
    <row r="2476" spans="1:28" hidden="1" x14ac:dyDescent="0.25">
      <c r="A2476" t="s">
        <v>528</v>
      </c>
      <c r="B2476" t="s">
        <v>550</v>
      </c>
      <c r="C2476">
        <v>110</v>
      </c>
      <c r="D2476" t="s">
        <v>4</v>
      </c>
      <c r="E2476">
        <v>0.20996783999999999</v>
      </c>
      <c r="F2476">
        <v>0.203348535</v>
      </c>
      <c r="G2476">
        <v>0.19819682999999999</v>
      </c>
      <c r="H2476">
        <v>0.191938155</v>
      </c>
      <c r="I2476">
        <v>0.18621025499999999</v>
      </c>
      <c r="J2476">
        <v>0.18528718499999999</v>
      </c>
      <c r="K2476">
        <v>0.17295949499999999</v>
      </c>
      <c r="L2476">
        <v>0.16304872500000001</v>
      </c>
      <c r="M2476">
        <v>0.15987180000000001</v>
      </c>
      <c r="N2476">
        <v>0.16589108999999999</v>
      </c>
      <c r="O2476">
        <v>0.17175375000000001</v>
      </c>
      <c r="P2476">
        <v>0.17769067499999999</v>
      </c>
      <c r="Q2476">
        <v>0.182269875</v>
      </c>
      <c r="R2476">
        <v>0.19265336999999999</v>
      </c>
      <c r="S2476">
        <v>0.19902966</v>
      </c>
      <c r="T2476">
        <v>0.20087313000000001</v>
      </c>
      <c r="U2476">
        <v>0.200982195</v>
      </c>
      <c r="V2476">
        <v>0.20127291</v>
      </c>
      <c r="W2476">
        <v>0.23401873500000001</v>
      </c>
      <c r="X2476">
        <v>0.260974335</v>
      </c>
      <c r="Y2476">
        <v>0.26392071</v>
      </c>
      <c r="Z2476">
        <v>0.238951575</v>
      </c>
      <c r="AA2476">
        <v>0.23492916</v>
      </c>
      <c r="AB2476">
        <v>0.22136908499999999</v>
      </c>
    </row>
    <row r="2477" spans="1:28" hidden="1" x14ac:dyDescent="0.25">
      <c r="A2477" t="s">
        <v>528</v>
      </c>
      <c r="B2477" t="s">
        <v>551</v>
      </c>
      <c r="C2477">
        <v>34</v>
      </c>
      <c r="D2477" t="s">
        <v>2</v>
      </c>
      <c r="E2477">
        <v>23.5163987</v>
      </c>
      <c r="F2477">
        <v>23.664524490000002</v>
      </c>
      <c r="G2477">
        <v>22.291063659999999</v>
      </c>
      <c r="H2477">
        <v>21.82589531</v>
      </c>
      <c r="I2477">
        <v>22.185611080000001</v>
      </c>
      <c r="J2477">
        <v>20.711523419999999</v>
      </c>
      <c r="K2477">
        <v>18.17558549</v>
      </c>
      <c r="L2477">
        <v>16.705127569999998</v>
      </c>
      <c r="M2477">
        <v>16.75927394</v>
      </c>
      <c r="N2477">
        <v>16.118425980000001</v>
      </c>
      <c r="O2477">
        <v>18.811487419999999</v>
      </c>
      <c r="P2477">
        <v>17.111138530000002</v>
      </c>
      <c r="Q2477">
        <v>18.114589949999999</v>
      </c>
      <c r="R2477">
        <v>19.176939770000001</v>
      </c>
      <c r="S2477">
        <v>18.61451825</v>
      </c>
      <c r="T2477">
        <v>18.30479046</v>
      </c>
      <c r="U2477">
        <v>19.660810690000002</v>
      </c>
      <c r="V2477">
        <v>17.31830725</v>
      </c>
      <c r="W2477">
        <v>27.33467469</v>
      </c>
      <c r="X2477">
        <v>26.851537090000001</v>
      </c>
      <c r="Y2477">
        <v>27.17940291</v>
      </c>
      <c r="Z2477">
        <v>25.049660240000001</v>
      </c>
      <c r="AA2477">
        <v>24.870955200000001</v>
      </c>
      <c r="AB2477">
        <v>23.509747409999999</v>
      </c>
    </row>
    <row r="2478" spans="1:28" hidden="1" x14ac:dyDescent="0.25">
      <c r="A2478" t="s">
        <v>528</v>
      </c>
      <c r="B2478" t="s">
        <v>551</v>
      </c>
      <c r="C2478">
        <v>34</v>
      </c>
      <c r="D2478" t="s">
        <v>3</v>
      </c>
      <c r="E2478">
        <v>6.3908525965000003</v>
      </c>
      <c r="F2478">
        <v>6.0131861504000002</v>
      </c>
      <c r="G2478">
        <v>5.9047901735000003</v>
      </c>
      <c r="H2478">
        <v>5.8342828339999997</v>
      </c>
      <c r="I2478">
        <v>7.3829811778999996</v>
      </c>
      <c r="J2478">
        <v>7.2284890143</v>
      </c>
      <c r="K2478">
        <v>6.4828629449999999</v>
      </c>
      <c r="L2478">
        <v>6.1178513510999997</v>
      </c>
      <c r="M2478">
        <v>6.2596078013999996</v>
      </c>
      <c r="N2478">
        <v>6.3007191142999996</v>
      </c>
      <c r="O2478">
        <v>6.3601591109999998</v>
      </c>
      <c r="P2478">
        <v>7.1393971601999997</v>
      </c>
      <c r="Q2478">
        <v>6.2943456660999999</v>
      </c>
      <c r="R2478">
        <v>6.5116983011</v>
      </c>
      <c r="S2478">
        <v>6.9598157886000003</v>
      </c>
      <c r="T2478">
        <v>7.2971178440999998</v>
      </c>
      <c r="U2478">
        <v>6.3752688698000002</v>
      </c>
      <c r="V2478">
        <v>7.1192577315000003</v>
      </c>
      <c r="W2478">
        <v>8.0370314234000002</v>
      </c>
      <c r="X2478">
        <v>8.0764522166999999</v>
      </c>
      <c r="Y2478">
        <v>8.3668388996999994</v>
      </c>
      <c r="Z2478">
        <v>6.5851232347000002</v>
      </c>
      <c r="AA2478">
        <v>7.5679163880999996</v>
      </c>
      <c r="AB2478">
        <v>7.2038826150000004</v>
      </c>
    </row>
    <row r="2479" spans="1:28" hidden="1" x14ac:dyDescent="0.25">
      <c r="A2479" t="s">
        <v>528</v>
      </c>
      <c r="B2479" t="s">
        <v>551</v>
      </c>
      <c r="C2479">
        <v>34</v>
      </c>
      <c r="D2479" t="s">
        <v>4</v>
      </c>
      <c r="E2479">
        <v>0.72731129999999999</v>
      </c>
      <c r="F2479">
        <v>0.73189251</v>
      </c>
      <c r="G2479">
        <v>0.68941434000000001</v>
      </c>
      <c r="H2479">
        <v>0.67502768999999996</v>
      </c>
      <c r="I2479">
        <v>0.68615292000000006</v>
      </c>
      <c r="J2479">
        <v>0.64056257999999999</v>
      </c>
      <c r="K2479">
        <v>0.56213150999999995</v>
      </c>
      <c r="L2479">
        <v>0.51665342999999997</v>
      </c>
      <c r="M2479">
        <v>0.51832805999999998</v>
      </c>
      <c r="N2479">
        <v>0.49850802</v>
      </c>
      <c r="O2479">
        <v>0.58179857999999995</v>
      </c>
      <c r="P2479">
        <v>0.52921046999999999</v>
      </c>
      <c r="Q2479">
        <v>0.56024505000000002</v>
      </c>
      <c r="R2479">
        <v>0.59310123000000003</v>
      </c>
      <c r="S2479">
        <v>0.57570675000000004</v>
      </c>
      <c r="T2479">
        <v>0.56612753999999998</v>
      </c>
      <c r="U2479">
        <v>0.60806631</v>
      </c>
      <c r="V2479">
        <v>0.53561775</v>
      </c>
      <c r="W2479">
        <v>0.84540230999999999</v>
      </c>
      <c r="X2479">
        <v>0.83045990999999997</v>
      </c>
      <c r="Y2479">
        <v>0.84060009000000002</v>
      </c>
      <c r="Z2479">
        <v>0.77473175999999999</v>
      </c>
      <c r="AA2479">
        <v>0.76920480000000002</v>
      </c>
      <c r="AB2479">
        <v>0.72710558999999997</v>
      </c>
    </row>
    <row r="2480" spans="1:28" hidden="1" x14ac:dyDescent="0.25">
      <c r="A2480" t="s">
        <v>528</v>
      </c>
      <c r="B2480" t="s">
        <v>552</v>
      </c>
      <c r="C2480">
        <v>14</v>
      </c>
      <c r="D2480" t="s">
        <v>2</v>
      </c>
      <c r="E2480">
        <v>6.3416290499999999</v>
      </c>
      <c r="F2480">
        <v>6.2788672999999999</v>
      </c>
      <c r="G2480">
        <v>6.1873699499999999</v>
      </c>
      <c r="H2480">
        <v>6.0720570499999997</v>
      </c>
      <c r="I2480">
        <v>5.9716886000000002</v>
      </c>
      <c r="J2480">
        <v>5.9212569000000004</v>
      </c>
      <c r="K2480">
        <v>4.9927535000000001</v>
      </c>
      <c r="L2480">
        <v>5.1964563000000004</v>
      </c>
      <c r="M2480">
        <v>5.2352932499999998</v>
      </c>
      <c r="N2480">
        <v>5.3007986000000002</v>
      </c>
      <c r="O2480">
        <v>5.5081303999999998</v>
      </c>
      <c r="P2480">
        <v>5.6851904500000003</v>
      </c>
      <c r="Q2480">
        <v>5.2861828500000003</v>
      </c>
      <c r="R2480">
        <v>5.6091838000000003</v>
      </c>
      <c r="S2480">
        <v>5.8980465000000004</v>
      </c>
      <c r="T2480">
        <v>5.8395901500000003</v>
      </c>
      <c r="U2480">
        <v>5.6452676500000001</v>
      </c>
      <c r="V2480">
        <v>5.5969620500000001</v>
      </c>
      <c r="W2480">
        <v>7.4595083000000004</v>
      </c>
      <c r="X2480">
        <v>7.6933726499999997</v>
      </c>
      <c r="Y2480">
        <v>7.9573007000000002</v>
      </c>
      <c r="Z2480">
        <v>7.26855355</v>
      </c>
      <c r="AA2480">
        <v>6.8252921000000004</v>
      </c>
      <c r="AB2480">
        <v>6.45125145</v>
      </c>
    </row>
    <row r="2481" spans="1:28" hidden="1" x14ac:dyDescent="0.25">
      <c r="A2481" t="s">
        <v>528</v>
      </c>
      <c r="B2481" t="s">
        <v>552</v>
      </c>
      <c r="C2481">
        <v>14</v>
      </c>
      <c r="D2481" t="s">
        <v>3</v>
      </c>
      <c r="E2481">
        <v>2.2416558379999998</v>
      </c>
      <c r="F2481">
        <v>2.0366777651999999</v>
      </c>
      <c r="G2481">
        <v>2.2530963715999999</v>
      </c>
      <c r="H2481">
        <v>2.0000947485</v>
      </c>
      <c r="I2481">
        <v>2.1606915676999998</v>
      </c>
      <c r="J2481">
        <v>2.0689845351999998</v>
      </c>
      <c r="K2481">
        <v>1.8944072999999999</v>
      </c>
      <c r="L2481">
        <v>2.2627375543000001</v>
      </c>
      <c r="M2481">
        <v>2.4808914375</v>
      </c>
      <c r="N2481">
        <v>2.5959016967999999</v>
      </c>
      <c r="O2481">
        <v>2.6845352871000001</v>
      </c>
      <c r="P2481">
        <v>2.5400027346999998</v>
      </c>
      <c r="Q2481">
        <v>1.8068614037999999</v>
      </c>
      <c r="R2481">
        <v>2.3528246731000002</v>
      </c>
      <c r="S2481">
        <v>2.6827611209</v>
      </c>
      <c r="T2481">
        <v>2.7009293728000001</v>
      </c>
      <c r="U2481">
        <v>2.4494119914999999</v>
      </c>
      <c r="V2481">
        <v>2.2782085350000001</v>
      </c>
      <c r="W2481">
        <v>2.5069742239999999</v>
      </c>
      <c r="X2481">
        <v>2.4047445382000001</v>
      </c>
      <c r="Y2481">
        <v>2.4825537870000001</v>
      </c>
      <c r="Z2481">
        <v>2.2177243955999999</v>
      </c>
      <c r="AA2481">
        <v>2.2075585463</v>
      </c>
      <c r="AB2481">
        <v>2.2838878232000002</v>
      </c>
    </row>
    <row r="2482" spans="1:28" hidden="1" x14ac:dyDescent="0.25">
      <c r="A2482" t="s">
        <v>528</v>
      </c>
      <c r="B2482" t="s">
        <v>552</v>
      </c>
      <c r="C2482">
        <v>14</v>
      </c>
      <c r="D2482" t="s">
        <v>4</v>
      </c>
      <c r="E2482">
        <v>0.33376994999999998</v>
      </c>
      <c r="F2482">
        <v>0.3304667</v>
      </c>
      <c r="G2482">
        <v>0.32565105</v>
      </c>
      <c r="H2482">
        <v>0.31958195</v>
      </c>
      <c r="I2482">
        <v>0.31429940000000001</v>
      </c>
      <c r="J2482">
        <v>0.31164510000000001</v>
      </c>
      <c r="K2482">
        <v>0.26277650000000002</v>
      </c>
      <c r="L2482">
        <v>0.27349770000000001</v>
      </c>
      <c r="M2482">
        <v>0.27554174999999997</v>
      </c>
      <c r="N2482">
        <v>0.2789894</v>
      </c>
      <c r="O2482">
        <v>0.28990159999999998</v>
      </c>
      <c r="P2482">
        <v>0.29922054999999997</v>
      </c>
      <c r="Q2482">
        <v>0.27822015</v>
      </c>
      <c r="R2482">
        <v>0.29522019999999999</v>
      </c>
      <c r="S2482">
        <v>0.31042350000000002</v>
      </c>
      <c r="T2482">
        <v>0.30734685</v>
      </c>
      <c r="U2482">
        <v>0.29711935</v>
      </c>
      <c r="V2482">
        <v>0.29457695</v>
      </c>
      <c r="W2482">
        <v>0.3926057</v>
      </c>
      <c r="X2482">
        <v>0.40491434999999998</v>
      </c>
      <c r="Y2482">
        <v>0.41880529999999999</v>
      </c>
      <c r="Z2482">
        <v>0.38255545000000002</v>
      </c>
      <c r="AA2482">
        <v>0.35922589999999999</v>
      </c>
      <c r="AB2482">
        <v>0.33953955000000002</v>
      </c>
    </row>
    <row r="2483" spans="1:28" hidden="1" x14ac:dyDescent="0.25">
      <c r="A2483" t="s">
        <v>528</v>
      </c>
      <c r="B2483" t="s">
        <v>553</v>
      </c>
      <c r="C2483">
        <v>14</v>
      </c>
      <c r="D2483" t="s">
        <v>2</v>
      </c>
      <c r="E2483">
        <v>3.9977919000000002</v>
      </c>
      <c r="F2483">
        <v>4.0189892499999997</v>
      </c>
      <c r="G2483">
        <v>3.9802520499999998</v>
      </c>
      <c r="H2483">
        <v>3.8259549499999999</v>
      </c>
      <c r="I2483">
        <v>3.7246098999999999</v>
      </c>
      <c r="J2483">
        <v>3.5082056000000001</v>
      </c>
      <c r="K2483">
        <v>2.8991254500000001</v>
      </c>
      <c r="L2483">
        <v>3.1817077</v>
      </c>
      <c r="M2483">
        <v>3.2451297000000001</v>
      </c>
      <c r="N2483">
        <v>3.2636566</v>
      </c>
      <c r="O2483">
        <v>3.1386498999999999</v>
      </c>
      <c r="P2483">
        <v>3.23954275</v>
      </c>
      <c r="Q2483">
        <v>3.1965599999999998</v>
      </c>
      <c r="R2483">
        <v>3.5187800500000002</v>
      </c>
      <c r="S2483">
        <v>3.7602709999999999</v>
      </c>
      <c r="T2483">
        <v>3.6178222999999998</v>
      </c>
      <c r="U2483">
        <v>3.6706707999999999</v>
      </c>
      <c r="V2483">
        <v>3.86514815</v>
      </c>
      <c r="W2483">
        <v>4.57353465</v>
      </c>
      <c r="X2483">
        <v>4.6725997000000001</v>
      </c>
      <c r="Y2483">
        <v>4.6525166999999996</v>
      </c>
      <c r="Z2483">
        <v>4.0167054499999999</v>
      </c>
      <c r="AA2483">
        <v>4.0460443000000001</v>
      </c>
      <c r="AB2483">
        <v>3.9806577000000001</v>
      </c>
    </row>
    <row r="2484" spans="1:28" hidden="1" x14ac:dyDescent="0.25">
      <c r="A2484" t="s">
        <v>528</v>
      </c>
      <c r="B2484" t="s">
        <v>553</v>
      </c>
      <c r="C2484">
        <v>14</v>
      </c>
      <c r="D2484" t="s">
        <v>3</v>
      </c>
      <c r="E2484">
        <v>1.2927506294</v>
      </c>
      <c r="F2484">
        <v>1.3235432225999999</v>
      </c>
      <c r="G2484">
        <v>1.3309876598999999</v>
      </c>
      <c r="H2484">
        <v>1.2970120209</v>
      </c>
      <c r="I2484">
        <v>1.266789978</v>
      </c>
      <c r="J2484">
        <v>1.3108899155</v>
      </c>
      <c r="K2484">
        <v>1.1758535773000001</v>
      </c>
      <c r="L2484">
        <v>1.2676755432</v>
      </c>
      <c r="M2484">
        <v>1.3376060591000001</v>
      </c>
      <c r="N2484">
        <v>1.3546421835</v>
      </c>
      <c r="O2484">
        <v>1.2665744977</v>
      </c>
      <c r="P2484">
        <v>1.2588410448</v>
      </c>
      <c r="Q2484">
        <v>1.1820132853</v>
      </c>
      <c r="R2484">
        <v>1.2696619742999999</v>
      </c>
      <c r="S2484">
        <v>1.3396978243</v>
      </c>
      <c r="T2484">
        <v>1.273456691</v>
      </c>
      <c r="U2484">
        <v>1.2617501266</v>
      </c>
      <c r="V2484">
        <v>1.1394179765000001</v>
      </c>
      <c r="W2484">
        <v>1.2725951615</v>
      </c>
      <c r="X2484">
        <v>1.2879077084999999</v>
      </c>
      <c r="Y2484">
        <v>1.3289964288</v>
      </c>
      <c r="Z2484">
        <v>1.2072389961000001</v>
      </c>
      <c r="AA2484">
        <v>1.2640907007</v>
      </c>
      <c r="AB2484">
        <v>1.2682460020999999</v>
      </c>
    </row>
    <row r="2485" spans="1:28" hidden="1" x14ac:dyDescent="0.25">
      <c r="A2485" t="s">
        <v>528</v>
      </c>
      <c r="B2485" t="s">
        <v>553</v>
      </c>
      <c r="C2485">
        <v>14</v>
      </c>
      <c r="D2485" t="s">
        <v>4</v>
      </c>
      <c r="E2485">
        <v>0.21041009999999999</v>
      </c>
      <c r="F2485">
        <v>0.21152575000000001</v>
      </c>
      <c r="G2485">
        <v>0.20948695000000001</v>
      </c>
      <c r="H2485">
        <v>0.20136604999999999</v>
      </c>
      <c r="I2485">
        <v>0.19603209999999999</v>
      </c>
      <c r="J2485">
        <v>0.18464240000000001</v>
      </c>
      <c r="K2485">
        <v>0.15258554999999999</v>
      </c>
      <c r="L2485">
        <v>0.1674583</v>
      </c>
      <c r="M2485">
        <v>0.17079630000000001</v>
      </c>
      <c r="N2485">
        <v>0.17177139999999999</v>
      </c>
      <c r="O2485">
        <v>0.16519210000000001</v>
      </c>
      <c r="P2485">
        <v>0.17050224999999999</v>
      </c>
      <c r="Q2485">
        <v>0.16824</v>
      </c>
      <c r="R2485">
        <v>0.18519895</v>
      </c>
      <c r="S2485">
        <v>0.197909</v>
      </c>
      <c r="T2485">
        <v>0.19041169999999999</v>
      </c>
      <c r="U2485">
        <v>0.19319320000000001</v>
      </c>
      <c r="V2485">
        <v>0.20342884999999999</v>
      </c>
      <c r="W2485">
        <v>0.24071234999999999</v>
      </c>
      <c r="X2485">
        <v>0.24592629999999999</v>
      </c>
      <c r="Y2485">
        <v>0.24486930000000001</v>
      </c>
      <c r="Z2485">
        <v>0.21140555</v>
      </c>
      <c r="AA2485">
        <v>0.21294969999999999</v>
      </c>
      <c r="AB2485">
        <v>0.20950830000000001</v>
      </c>
    </row>
    <row r="2486" spans="1:28" hidden="1" x14ac:dyDescent="0.25">
      <c r="A2486" t="s">
        <v>554</v>
      </c>
      <c r="B2486" t="s">
        <v>555</v>
      </c>
      <c r="C2486">
        <v>115</v>
      </c>
      <c r="D2486" t="s">
        <v>2</v>
      </c>
      <c r="E2486">
        <v>7.3877866350000003</v>
      </c>
      <c r="F2486">
        <v>7.0360401799999996</v>
      </c>
      <c r="G2486">
        <v>7.0190469599999998</v>
      </c>
      <c r="H2486">
        <v>7.0894321050000002</v>
      </c>
      <c r="I2486">
        <v>8.6403264249999996</v>
      </c>
      <c r="J2486">
        <v>11.293194420000001</v>
      </c>
      <c r="K2486">
        <v>12.62309808</v>
      </c>
      <c r="L2486">
        <v>12.378248749999999</v>
      </c>
      <c r="M2486">
        <v>13.07026838</v>
      </c>
      <c r="N2486">
        <v>13.612190755</v>
      </c>
      <c r="O2486">
        <v>13.934130124999999</v>
      </c>
      <c r="P2486">
        <v>13.840517695000001</v>
      </c>
      <c r="Q2486">
        <v>13.670796285</v>
      </c>
      <c r="R2486">
        <v>13.152536565</v>
      </c>
      <c r="S2486">
        <v>13.043233085000001</v>
      </c>
      <c r="T2486">
        <v>13.521235855</v>
      </c>
      <c r="U2486">
        <v>13.355579540000001</v>
      </c>
      <c r="V2486">
        <v>13.399613965</v>
      </c>
      <c r="W2486">
        <v>14.546387409999999</v>
      </c>
      <c r="X2486">
        <v>14.066807655</v>
      </c>
      <c r="Y2486">
        <v>12.967528939999999</v>
      </c>
      <c r="Z2486">
        <v>10.836093350000001</v>
      </c>
      <c r="AA2486">
        <v>9.0576325099999995</v>
      </c>
      <c r="AB2486">
        <v>7.9350831700000004</v>
      </c>
    </row>
    <row r="2487" spans="1:28" hidden="1" x14ac:dyDescent="0.25">
      <c r="A2487" t="s">
        <v>554</v>
      </c>
      <c r="B2487" t="s">
        <v>555</v>
      </c>
      <c r="C2487">
        <v>115</v>
      </c>
      <c r="D2487" t="s">
        <v>3</v>
      </c>
      <c r="E2487">
        <v>2.4282480387000001</v>
      </c>
      <c r="F2487">
        <v>2.3988980289000001</v>
      </c>
      <c r="G2487">
        <v>2.3931042867999999</v>
      </c>
      <c r="H2487">
        <v>2.4171017032000002</v>
      </c>
      <c r="I2487">
        <v>2.5200952066000002</v>
      </c>
      <c r="J2487">
        <v>2.8303413154000001</v>
      </c>
      <c r="K2487">
        <v>3.1636465906</v>
      </c>
      <c r="L2487">
        <v>3.1022815641000001</v>
      </c>
      <c r="M2487">
        <v>3.8121616099</v>
      </c>
      <c r="N2487">
        <v>3.9702223024999999</v>
      </c>
      <c r="O2487">
        <v>4.0641212853999997</v>
      </c>
      <c r="P2487">
        <v>4.0368176599999996</v>
      </c>
      <c r="Q2487">
        <v>3.9873155820999999</v>
      </c>
      <c r="R2487">
        <v>3.8361564972000002</v>
      </c>
      <c r="S2487">
        <v>3.8042763155000001</v>
      </c>
      <c r="T2487">
        <v>3.9436937900000002</v>
      </c>
      <c r="U2487">
        <v>3.8953773648999999</v>
      </c>
      <c r="V2487">
        <v>3.9082207387999999</v>
      </c>
      <c r="W2487">
        <v>3.6456683331000002</v>
      </c>
      <c r="X2487">
        <v>3.4322077273999998</v>
      </c>
      <c r="Y2487">
        <v>2.7982722444000001</v>
      </c>
      <c r="Z2487">
        <v>2.7157809886000002</v>
      </c>
      <c r="AA2487">
        <v>2.6418094814000002</v>
      </c>
      <c r="AB2487">
        <v>2.8800506104000001</v>
      </c>
    </row>
    <row r="2488" spans="1:28" hidden="1" x14ac:dyDescent="0.25">
      <c r="A2488" t="s">
        <v>554</v>
      </c>
      <c r="B2488" t="s">
        <v>555</v>
      </c>
      <c r="C2488">
        <v>115</v>
      </c>
      <c r="D2488" t="s">
        <v>4</v>
      </c>
      <c r="E2488">
        <v>0.112504365</v>
      </c>
      <c r="F2488">
        <v>0.10714782</v>
      </c>
      <c r="G2488">
        <v>0.10688904</v>
      </c>
      <c r="H2488">
        <v>0.107960895</v>
      </c>
      <c r="I2488">
        <v>0.131578575</v>
      </c>
      <c r="J2488">
        <v>0.17197757999999999</v>
      </c>
      <c r="K2488">
        <v>0.19222992</v>
      </c>
      <c r="L2488">
        <v>0.18850125000000001</v>
      </c>
      <c r="M2488">
        <v>0.19903962</v>
      </c>
      <c r="N2488">
        <v>0.20729224500000001</v>
      </c>
      <c r="O2488">
        <v>0.21219487500000001</v>
      </c>
      <c r="P2488">
        <v>0.21076930499999999</v>
      </c>
      <c r="Q2488">
        <v>0.20818471499999999</v>
      </c>
      <c r="R2488">
        <v>0.20029243499999999</v>
      </c>
      <c r="S2488">
        <v>0.19862791499999999</v>
      </c>
      <c r="T2488">
        <v>0.20590714500000001</v>
      </c>
      <c r="U2488">
        <v>0.20338445999999999</v>
      </c>
      <c r="V2488">
        <v>0.204055035</v>
      </c>
      <c r="W2488">
        <v>0.22151858999999999</v>
      </c>
      <c r="X2488">
        <v>0.214215345</v>
      </c>
      <c r="Y2488">
        <v>0.19747506000000001</v>
      </c>
      <c r="Z2488">
        <v>0.16501664999999999</v>
      </c>
      <c r="AA2488">
        <v>0.13793348999999999</v>
      </c>
      <c r="AB2488">
        <v>0.12083882999999999</v>
      </c>
    </row>
    <row r="2489" spans="1:28" hidden="1" x14ac:dyDescent="0.25">
      <c r="A2489" t="s">
        <v>554</v>
      </c>
      <c r="B2489" t="s">
        <v>556</v>
      </c>
      <c r="C2489">
        <v>115</v>
      </c>
      <c r="D2489" t="s">
        <v>2</v>
      </c>
      <c r="E2489">
        <v>1.56556688</v>
      </c>
      <c r="F2489">
        <v>1.49089797</v>
      </c>
      <c r="G2489">
        <v>1.4761594149999999</v>
      </c>
      <c r="H2489">
        <v>1.459132705</v>
      </c>
      <c r="I2489">
        <v>1.4645748300000001</v>
      </c>
      <c r="J2489">
        <v>1.528764325</v>
      </c>
      <c r="K2489">
        <v>1.6394645349999999</v>
      </c>
      <c r="L2489">
        <v>1.8815735950000001</v>
      </c>
      <c r="M2489">
        <v>2.0800353349999998</v>
      </c>
      <c r="N2489">
        <v>2.12306309</v>
      </c>
      <c r="O2489">
        <v>2.1834810199999999</v>
      </c>
      <c r="P2489">
        <v>2.2260891649999999</v>
      </c>
      <c r="Q2489">
        <v>2.2956744900000001</v>
      </c>
      <c r="R2489">
        <v>2.2275380999999999</v>
      </c>
      <c r="S2489">
        <v>2.1001519900000001</v>
      </c>
      <c r="T2489">
        <v>2.0702089749999999</v>
      </c>
      <c r="U2489">
        <v>1.988710075</v>
      </c>
      <c r="V2489">
        <v>2.0342564749999998</v>
      </c>
      <c r="W2489">
        <v>2.34375234</v>
      </c>
      <c r="X2489">
        <v>2.4998009649999999</v>
      </c>
      <c r="Y2489">
        <v>2.437651405</v>
      </c>
      <c r="Z2489">
        <v>2.1385994949999998</v>
      </c>
      <c r="AA2489">
        <v>1.9014243</v>
      </c>
      <c r="AB2489">
        <v>1.677318085</v>
      </c>
    </row>
    <row r="2490" spans="1:28" hidden="1" x14ac:dyDescent="0.25">
      <c r="A2490" t="s">
        <v>554</v>
      </c>
      <c r="B2490" t="s">
        <v>556</v>
      </c>
      <c r="C2490">
        <v>115</v>
      </c>
      <c r="D2490" t="s">
        <v>3</v>
      </c>
      <c r="E2490">
        <v>0.62121106230000001</v>
      </c>
      <c r="F2490">
        <v>0.62722794400000004</v>
      </c>
      <c r="G2490">
        <v>0.64321653840000004</v>
      </c>
      <c r="H2490">
        <v>0.62816731790000002</v>
      </c>
      <c r="I2490">
        <v>0.641436232</v>
      </c>
      <c r="J2490">
        <v>0.62985787559999995</v>
      </c>
      <c r="K2490">
        <v>0.56855064099999997</v>
      </c>
      <c r="L2490">
        <v>0.65122422660000001</v>
      </c>
      <c r="M2490">
        <v>0.69977986219999999</v>
      </c>
      <c r="N2490">
        <v>0.72016801909999995</v>
      </c>
      <c r="O2490">
        <v>0.75571624869999998</v>
      </c>
      <c r="P2490">
        <v>0.73954967559999996</v>
      </c>
      <c r="Q2490">
        <v>0.74719457690000002</v>
      </c>
      <c r="R2490">
        <v>0.73215636689999997</v>
      </c>
      <c r="S2490">
        <v>0.7065476463</v>
      </c>
      <c r="T2490">
        <v>0.71082651620000004</v>
      </c>
      <c r="U2490">
        <v>0.69644279129999997</v>
      </c>
      <c r="V2490">
        <v>0.6998814324</v>
      </c>
      <c r="W2490">
        <v>0.77201625539999996</v>
      </c>
      <c r="X2490">
        <v>0.68952559140000003</v>
      </c>
      <c r="Y2490">
        <v>0.67435346080000003</v>
      </c>
      <c r="Z2490">
        <v>0.61542788829999995</v>
      </c>
      <c r="AA2490">
        <v>0.61273757750000002</v>
      </c>
      <c r="AB2490">
        <v>0.61100811509999997</v>
      </c>
    </row>
    <row r="2491" spans="1:28" hidden="1" x14ac:dyDescent="0.25">
      <c r="A2491" t="s">
        <v>554</v>
      </c>
      <c r="B2491" t="s">
        <v>556</v>
      </c>
      <c r="C2491">
        <v>115</v>
      </c>
      <c r="D2491" t="s">
        <v>4</v>
      </c>
      <c r="E2491">
        <v>2.384112E-2</v>
      </c>
      <c r="F2491">
        <v>2.270403E-2</v>
      </c>
      <c r="G2491">
        <v>2.2479585E-2</v>
      </c>
      <c r="H2491">
        <v>2.2220295000000001E-2</v>
      </c>
      <c r="I2491">
        <v>2.2303170000000001E-2</v>
      </c>
      <c r="J2491">
        <v>2.3280675000000001E-2</v>
      </c>
      <c r="K2491">
        <v>2.4966465E-2</v>
      </c>
      <c r="L2491">
        <v>2.8653405E-2</v>
      </c>
      <c r="M2491">
        <v>3.1675664999999999E-2</v>
      </c>
      <c r="N2491">
        <v>3.2330909999999997E-2</v>
      </c>
      <c r="O2491">
        <v>3.3250979999999999E-2</v>
      </c>
      <c r="P2491">
        <v>3.3899835000000003E-2</v>
      </c>
      <c r="Q2491">
        <v>3.4959509999999999E-2</v>
      </c>
      <c r="R2491">
        <v>3.3921899999999998E-2</v>
      </c>
      <c r="S2491">
        <v>3.1982009999999998E-2</v>
      </c>
      <c r="T2491">
        <v>3.1526024999999999E-2</v>
      </c>
      <c r="U2491">
        <v>3.0284925000000001E-2</v>
      </c>
      <c r="V2491">
        <v>3.0978525E-2</v>
      </c>
      <c r="W2491">
        <v>3.569166E-2</v>
      </c>
      <c r="X2491">
        <v>3.8068035E-2</v>
      </c>
      <c r="Y2491">
        <v>3.7121595E-2</v>
      </c>
      <c r="Z2491">
        <v>3.2567504999999997E-2</v>
      </c>
      <c r="AA2491">
        <v>2.8955700000000001E-2</v>
      </c>
      <c r="AB2491">
        <v>2.5542914999999999E-2</v>
      </c>
    </row>
    <row r="2492" spans="1:28" hidden="1" x14ac:dyDescent="0.25">
      <c r="A2492" t="s">
        <v>554</v>
      </c>
      <c r="B2492" t="s">
        <v>557</v>
      </c>
      <c r="C2492">
        <v>115</v>
      </c>
      <c r="D2492" t="s">
        <v>2</v>
      </c>
      <c r="E2492">
        <v>1.56556688</v>
      </c>
      <c r="F2492">
        <v>1.49089797</v>
      </c>
      <c r="G2492">
        <v>1.4761594149999999</v>
      </c>
      <c r="H2492">
        <v>1.459132705</v>
      </c>
      <c r="I2492">
        <v>1.4645748300000001</v>
      </c>
      <c r="J2492">
        <v>1.528764325</v>
      </c>
      <c r="K2492">
        <v>1.6394645349999999</v>
      </c>
      <c r="L2492">
        <v>1.8815735950000001</v>
      </c>
      <c r="M2492">
        <v>2.0800353349999998</v>
      </c>
      <c r="N2492">
        <v>2.12306309</v>
      </c>
      <c r="O2492">
        <v>2.1834810199999999</v>
      </c>
      <c r="P2492">
        <v>2.2260891649999999</v>
      </c>
      <c r="Q2492">
        <v>2.2956744900000001</v>
      </c>
      <c r="R2492">
        <v>2.2275380999999999</v>
      </c>
      <c r="S2492">
        <v>2.1001519900000001</v>
      </c>
      <c r="T2492">
        <v>2.0702089749999999</v>
      </c>
      <c r="U2492">
        <v>1.988710075</v>
      </c>
      <c r="V2492">
        <v>2.0342564749999998</v>
      </c>
      <c r="W2492">
        <v>2.34375234</v>
      </c>
      <c r="X2492">
        <v>2.4998009649999999</v>
      </c>
      <c r="Y2492">
        <v>2.437651405</v>
      </c>
      <c r="Z2492">
        <v>2.1385994949999998</v>
      </c>
      <c r="AA2492">
        <v>1.9014243</v>
      </c>
      <c r="AB2492">
        <v>1.677318085</v>
      </c>
    </row>
    <row r="2493" spans="1:28" hidden="1" x14ac:dyDescent="0.25">
      <c r="A2493" t="s">
        <v>554</v>
      </c>
      <c r="B2493" t="s">
        <v>557</v>
      </c>
      <c r="C2493">
        <v>115</v>
      </c>
      <c r="D2493" t="s">
        <v>3</v>
      </c>
      <c r="E2493">
        <v>0.62121106230000001</v>
      </c>
      <c r="F2493">
        <v>0.62722794400000004</v>
      </c>
      <c r="G2493">
        <v>0.64321653840000004</v>
      </c>
      <c r="H2493">
        <v>0.62816731790000002</v>
      </c>
      <c r="I2493">
        <v>0.641436232</v>
      </c>
      <c r="J2493">
        <v>0.62985787559999995</v>
      </c>
      <c r="K2493">
        <v>0.56855064099999997</v>
      </c>
      <c r="L2493">
        <v>0.65122422660000001</v>
      </c>
      <c r="M2493">
        <v>0.69977986219999999</v>
      </c>
      <c r="N2493">
        <v>0.72016801909999995</v>
      </c>
      <c r="O2493">
        <v>0.75571624869999998</v>
      </c>
      <c r="P2493">
        <v>0.73954967559999996</v>
      </c>
      <c r="Q2493">
        <v>0.74719457690000002</v>
      </c>
      <c r="R2493">
        <v>0.73215636689999997</v>
      </c>
      <c r="S2493">
        <v>0.7065476463</v>
      </c>
      <c r="T2493">
        <v>0.71082651620000004</v>
      </c>
      <c r="U2493">
        <v>0.69644279129999997</v>
      </c>
      <c r="V2493">
        <v>0.6998814324</v>
      </c>
      <c r="W2493">
        <v>0.77201625539999996</v>
      </c>
      <c r="X2493">
        <v>0.68952559140000003</v>
      </c>
      <c r="Y2493">
        <v>0.67435346080000003</v>
      </c>
      <c r="Z2493">
        <v>0.61542788829999995</v>
      </c>
      <c r="AA2493">
        <v>0.61273757750000002</v>
      </c>
      <c r="AB2493">
        <v>0.61100811509999997</v>
      </c>
    </row>
    <row r="2494" spans="1:28" hidden="1" x14ac:dyDescent="0.25">
      <c r="A2494" t="s">
        <v>554</v>
      </c>
      <c r="B2494" t="s">
        <v>557</v>
      </c>
      <c r="C2494">
        <v>115</v>
      </c>
      <c r="D2494" t="s">
        <v>4</v>
      </c>
      <c r="E2494">
        <v>2.384112E-2</v>
      </c>
      <c r="F2494">
        <v>2.270403E-2</v>
      </c>
      <c r="G2494">
        <v>2.2479585E-2</v>
      </c>
      <c r="H2494">
        <v>2.2220295000000001E-2</v>
      </c>
      <c r="I2494">
        <v>2.2303170000000001E-2</v>
      </c>
      <c r="J2494">
        <v>2.3280675000000001E-2</v>
      </c>
      <c r="K2494">
        <v>2.4966465E-2</v>
      </c>
      <c r="L2494">
        <v>2.8653405E-2</v>
      </c>
      <c r="M2494">
        <v>3.1675664999999999E-2</v>
      </c>
      <c r="N2494">
        <v>3.2330909999999997E-2</v>
      </c>
      <c r="O2494">
        <v>3.3250979999999999E-2</v>
      </c>
      <c r="P2494">
        <v>3.3899835000000003E-2</v>
      </c>
      <c r="Q2494">
        <v>3.4959509999999999E-2</v>
      </c>
      <c r="R2494">
        <v>3.3921899999999998E-2</v>
      </c>
      <c r="S2494">
        <v>3.1982009999999998E-2</v>
      </c>
      <c r="T2494">
        <v>3.1526024999999999E-2</v>
      </c>
      <c r="U2494">
        <v>3.0284925000000001E-2</v>
      </c>
      <c r="V2494">
        <v>3.0978525E-2</v>
      </c>
      <c r="W2494">
        <v>3.569166E-2</v>
      </c>
      <c r="X2494">
        <v>3.8068035E-2</v>
      </c>
      <c r="Y2494">
        <v>3.7121595E-2</v>
      </c>
      <c r="Z2494">
        <v>3.2567504999999997E-2</v>
      </c>
      <c r="AA2494">
        <v>2.8955700000000001E-2</v>
      </c>
      <c r="AB2494">
        <v>2.5542914999999999E-2</v>
      </c>
    </row>
    <row r="2495" spans="1:28" hidden="1" x14ac:dyDescent="0.25">
      <c r="A2495" t="s">
        <v>554</v>
      </c>
      <c r="B2495" t="s">
        <v>558</v>
      </c>
      <c r="C2495">
        <v>115</v>
      </c>
      <c r="D2495" t="s">
        <v>2</v>
      </c>
      <c r="E2495">
        <v>1.342187595</v>
      </c>
      <c r="F2495">
        <v>1.278440365</v>
      </c>
      <c r="G2495">
        <v>1.2647587149999999</v>
      </c>
      <c r="H2495">
        <v>1.25107608</v>
      </c>
      <c r="I2495">
        <v>1.2557567999999999</v>
      </c>
      <c r="J2495">
        <v>1.3102194199999999</v>
      </c>
      <c r="K2495">
        <v>1.4047804049999999</v>
      </c>
      <c r="L2495">
        <v>1.6132527000000001</v>
      </c>
      <c r="M2495">
        <v>1.782259</v>
      </c>
      <c r="N2495">
        <v>1.8200820150000001</v>
      </c>
      <c r="O2495">
        <v>1.8717157149999999</v>
      </c>
      <c r="P2495">
        <v>1.9084040099999999</v>
      </c>
      <c r="Q2495">
        <v>1.9675571999999999</v>
      </c>
      <c r="R2495">
        <v>1.90964511</v>
      </c>
      <c r="S2495">
        <v>1.8002943499999999</v>
      </c>
      <c r="T2495">
        <v>1.7737840600000001</v>
      </c>
      <c r="U2495">
        <v>1.70478481</v>
      </c>
      <c r="V2495">
        <v>1.74458472</v>
      </c>
      <c r="W2495">
        <v>2.0095792700000001</v>
      </c>
      <c r="X2495">
        <v>2.1431295100000001</v>
      </c>
      <c r="Y2495">
        <v>2.0889889849999999</v>
      </c>
      <c r="Z2495">
        <v>1.83289982</v>
      </c>
      <c r="AA2495">
        <v>1.6301208250000001</v>
      </c>
      <c r="AB2495">
        <v>1.4375523400000001</v>
      </c>
    </row>
    <row r="2496" spans="1:28" hidden="1" x14ac:dyDescent="0.25">
      <c r="A2496" t="s">
        <v>554</v>
      </c>
      <c r="B2496" t="s">
        <v>558</v>
      </c>
      <c r="C2496">
        <v>115</v>
      </c>
      <c r="D2496" t="s">
        <v>3</v>
      </c>
      <c r="E2496">
        <v>2.2751891443000001</v>
      </c>
      <c r="F2496">
        <v>2.3549697224999999</v>
      </c>
      <c r="G2496">
        <v>2.4185691597000001</v>
      </c>
      <c r="H2496">
        <v>2.4410618236000001</v>
      </c>
      <c r="I2496">
        <v>2.4941437293000002</v>
      </c>
      <c r="J2496">
        <v>2.6286130192999999</v>
      </c>
      <c r="K2496">
        <v>2.5926179592</v>
      </c>
      <c r="L2496">
        <v>2.8546545828999998</v>
      </c>
      <c r="M2496">
        <v>2.7917343587999999</v>
      </c>
      <c r="N2496">
        <v>2.7262173360999999</v>
      </c>
      <c r="O2496">
        <v>2.7763258139999998</v>
      </c>
      <c r="P2496">
        <v>2.5845863761999999</v>
      </c>
      <c r="Q2496">
        <v>2.4462077680999998</v>
      </c>
      <c r="R2496">
        <v>2.4903965058000002</v>
      </c>
      <c r="S2496">
        <v>2.4144953539</v>
      </c>
      <c r="T2496">
        <v>2.2921746603000002</v>
      </c>
      <c r="U2496">
        <v>2.2159932423000002</v>
      </c>
      <c r="V2496">
        <v>2.3049996716000001</v>
      </c>
      <c r="W2496">
        <v>2.5464293896000001</v>
      </c>
      <c r="X2496">
        <v>2.4443991511999998</v>
      </c>
      <c r="Y2496">
        <v>2.3874454792000002</v>
      </c>
      <c r="Z2496">
        <v>2.2093025846000001</v>
      </c>
      <c r="AA2496">
        <v>2.2278896882999999</v>
      </c>
      <c r="AB2496">
        <v>2.1871683926999999</v>
      </c>
    </row>
    <row r="2497" spans="1:28" hidden="1" x14ac:dyDescent="0.25">
      <c r="A2497" t="s">
        <v>554</v>
      </c>
      <c r="B2497" t="s">
        <v>558</v>
      </c>
      <c r="C2497">
        <v>115</v>
      </c>
      <c r="D2497" t="s">
        <v>4</v>
      </c>
      <c r="E2497">
        <v>2.0439405000000001E-2</v>
      </c>
      <c r="F2497">
        <v>1.9468635000000001E-2</v>
      </c>
      <c r="G2497">
        <v>1.9260284999999999E-2</v>
      </c>
      <c r="H2497">
        <v>1.905192E-2</v>
      </c>
      <c r="I2497">
        <v>1.91232E-2</v>
      </c>
      <c r="J2497">
        <v>1.9952580000000001E-2</v>
      </c>
      <c r="K2497">
        <v>2.1392595E-2</v>
      </c>
      <c r="L2497">
        <v>2.45673E-2</v>
      </c>
      <c r="M2497">
        <v>2.7140999999999998E-2</v>
      </c>
      <c r="N2497">
        <v>2.7716985E-2</v>
      </c>
      <c r="O2497">
        <v>2.8503285E-2</v>
      </c>
      <c r="P2497">
        <v>2.9061989999999999E-2</v>
      </c>
      <c r="Q2497">
        <v>2.9962800000000001E-2</v>
      </c>
      <c r="R2497">
        <v>2.9080890000000002E-2</v>
      </c>
      <c r="S2497">
        <v>2.741565E-2</v>
      </c>
      <c r="T2497">
        <v>2.7011940000000002E-2</v>
      </c>
      <c r="U2497">
        <v>2.5961189999999999E-2</v>
      </c>
      <c r="V2497">
        <v>2.6567279999999999E-2</v>
      </c>
      <c r="W2497">
        <v>3.0602730000000002E-2</v>
      </c>
      <c r="X2497">
        <v>3.2636489999999997E-2</v>
      </c>
      <c r="Y2497">
        <v>3.1812014999999999E-2</v>
      </c>
      <c r="Z2497">
        <v>2.7912180000000002E-2</v>
      </c>
      <c r="AA2497">
        <v>2.4824175E-2</v>
      </c>
      <c r="AB2497">
        <v>2.189166E-2</v>
      </c>
    </row>
    <row r="2498" spans="1:28" hidden="1" x14ac:dyDescent="0.25">
      <c r="A2498" t="s">
        <v>554</v>
      </c>
      <c r="B2498" t="s">
        <v>559</v>
      </c>
      <c r="C2498">
        <v>34</v>
      </c>
      <c r="D2498" t="s">
        <v>2</v>
      </c>
      <c r="E2498">
        <v>38.21835987</v>
      </c>
      <c r="F2498">
        <v>37.593585779999998</v>
      </c>
      <c r="G2498">
        <v>37.2375337</v>
      </c>
      <c r="H2498">
        <v>37.542142800000001</v>
      </c>
      <c r="I2498">
        <v>37.705631449999998</v>
      </c>
      <c r="J2498">
        <v>37.436279910000003</v>
      </c>
      <c r="K2498">
        <v>37.63708931</v>
      </c>
      <c r="L2498">
        <v>37.378326289999997</v>
      </c>
      <c r="M2498">
        <v>34.005148380000001</v>
      </c>
      <c r="N2498">
        <v>31.476647440000001</v>
      </c>
      <c r="O2498">
        <v>30.822171950000001</v>
      </c>
      <c r="P2498">
        <v>31.363781150000001</v>
      </c>
      <c r="Q2498">
        <v>31.451173300000001</v>
      </c>
      <c r="R2498">
        <v>32.364844429999998</v>
      </c>
      <c r="S2498">
        <v>32.530691150000003</v>
      </c>
      <c r="T2498">
        <v>35.195704069999998</v>
      </c>
      <c r="U2498">
        <v>38.15177422</v>
      </c>
      <c r="V2498">
        <v>42.179836960000003</v>
      </c>
      <c r="W2498">
        <v>47.057640069999998</v>
      </c>
      <c r="X2498">
        <v>48.208426729999999</v>
      </c>
      <c r="Y2498">
        <v>48.199872300000003</v>
      </c>
      <c r="Z2498">
        <v>43.830840010000003</v>
      </c>
      <c r="AA2498">
        <v>41.168278280000003</v>
      </c>
      <c r="AB2498">
        <v>39.973768870000001</v>
      </c>
    </row>
    <row r="2499" spans="1:28" hidden="1" x14ac:dyDescent="0.25">
      <c r="A2499" t="s">
        <v>554</v>
      </c>
      <c r="B2499" t="s">
        <v>559</v>
      </c>
      <c r="C2499">
        <v>34</v>
      </c>
      <c r="D2499" t="s">
        <v>3</v>
      </c>
      <c r="E2499">
        <v>16.607565800900002</v>
      </c>
      <c r="F2499">
        <v>16.399927912100001</v>
      </c>
      <c r="G2499">
        <v>15.8653679826</v>
      </c>
      <c r="H2499">
        <v>16.266649965500001</v>
      </c>
      <c r="I2499">
        <v>15.8091017487</v>
      </c>
      <c r="J2499">
        <v>15.414720249</v>
      </c>
      <c r="K2499">
        <v>15.583977387899999</v>
      </c>
      <c r="L2499">
        <v>16.739262111399999</v>
      </c>
      <c r="M2499">
        <v>16.2724554401</v>
      </c>
      <c r="N2499">
        <v>16.125093274000001</v>
      </c>
      <c r="O2499">
        <v>16.724795020399998</v>
      </c>
      <c r="P2499">
        <v>18.961827509700001</v>
      </c>
      <c r="Q2499">
        <v>20.0597664336</v>
      </c>
      <c r="R2499">
        <v>19.853663082400001</v>
      </c>
      <c r="S2499">
        <v>17.1114454784</v>
      </c>
      <c r="T2499">
        <v>18.092648341699999</v>
      </c>
      <c r="U2499">
        <v>17.767134262999999</v>
      </c>
      <c r="V2499">
        <v>17.6799019744</v>
      </c>
      <c r="W2499">
        <v>18.542069254400001</v>
      </c>
      <c r="X2499">
        <v>18.279350188900001</v>
      </c>
      <c r="Y2499">
        <v>18.010554036799999</v>
      </c>
      <c r="Z2499">
        <v>16.8153183507</v>
      </c>
      <c r="AA2499">
        <v>15.8531145885</v>
      </c>
      <c r="AB2499">
        <v>16.5539482971</v>
      </c>
    </row>
    <row r="2500" spans="1:28" hidden="1" x14ac:dyDescent="0.25">
      <c r="A2500" t="s">
        <v>554</v>
      </c>
      <c r="B2500" t="s">
        <v>559</v>
      </c>
      <c r="C2500">
        <v>34</v>
      </c>
      <c r="D2500" t="s">
        <v>4</v>
      </c>
      <c r="E2500">
        <v>1.18201113</v>
      </c>
      <c r="F2500">
        <v>1.1626882199999999</v>
      </c>
      <c r="G2500">
        <v>1.1516763000000001</v>
      </c>
      <c r="H2500">
        <v>1.1610971999999999</v>
      </c>
      <c r="I2500">
        <v>1.16615355</v>
      </c>
      <c r="J2500">
        <v>1.1578230899999999</v>
      </c>
      <c r="K2500">
        <v>1.1640336899999999</v>
      </c>
      <c r="L2500">
        <v>1.15603071</v>
      </c>
      <c r="M2500">
        <v>1.0517056199999999</v>
      </c>
      <c r="N2500">
        <v>0.97350455999999996</v>
      </c>
      <c r="O2500">
        <v>0.95326305</v>
      </c>
      <c r="P2500">
        <v>0.97001384999999996</v>
      </c>
      <c r="Q2500">
        <v>0.97271669999999999</v>
      </c>
      <c r="R2500">
        <v>1.0009745699999999</v>
      </c>
      <c r="S2500">
        <v>1.0061038499999999</v>
      </c>
      <c r="T2500">
        <v>1.08852693</v>
      </c>
      <c r="U2500">
        <v>1.1799517799999999</v>
      </c>
      <c r="V2500">
        <v>1.3045310400000001</v>
      </c>
      <c r="W2500">
        <v>1.4553909300000001</v>
      </c>
      <c r="X2500">
        <v>1.4909822699999999</v>
      </c>
      <c r="Y2500">
        <v>1.4907177</v>
      </c>
      <c r="Z2500">
        <v>1.3555929900000001</v>
      </c>
      <c r="AA2500">
        <v>1.27324572</v>
      </c>
      <c r="AB2500">
        <v>1.2363021300000001</v>
      </c>
    </row>
    <row r="2501" spans="1:28" hidden="1" x14ac:dyDescent="0.25">
      <c r="A2501" t="s">
        <v>554</v>
      </c>
      <c r="B2501" t="s">
        <v>560</v>
      </c>
      <c r="C2501">
        <v>115</v>
      </c>
      <c r="D2501" t="s">
        <v>2</v>
      </c>
      <c r="E2501">
        <v>15.633613665</v>
      </c>
      <c r="F2501">
        <v>14.53486882</v>
      </c>
      <c r="G2501">
        <v>14.182064475000001</v>
      </c>
      <c r="H2501">
        <v>14.062059955</v>
      </c>
      <c r="I2501">
        <v>14.903921725</v>
      </c>
      <c r="J2501">
        <v>18.186225404999998</v>
      </c>
      <c r="K2501">
        <v>20.456216019999999</v>
      </c>
      <c r="L2501">
        <v>21.969063729999998</v>
      </c>
      <c r="M2501">
        <v>24.807687949999998</v>
      </c>
      <c r="N2501">
        <v>27.092650565</v>
      </c>
      <c r="O2501">
        <v>28.784491490000001</v>
      </c>
      <c r="P2501">
        <v>29.786702394999999</v>
      </c>
      <c r="Q2501">
        <v>29.470914350000001</v>
      </c>
      <c r="R2501">
        <v>28.379381675000001</v>
      </c>
      <c r="S2501">
        <v>28.107346345</v>
      </c>
      <c r="T2501">
        <v>27.821032455000001</v>
      </c>
      <c r="U2501">
        <v>26.864798395000001</v>
      </c>
      <c r="V2501">
        <v>27.002391074999998</v>
      </c>
      <c r="W2501">
        <v>31.56051896</v>
      </c>
      <c r="X2501">
        <v>32.264799869999997</v>
      </c>
      <c r="Y2501">
        <v>30.425937845</v>
      </c>
      <c r="Z2501">
        <v>26.026137875</v>
      </c>
      <c r="AA2501">
        <v>21.787061340000001</v>
      </c>
      <c r="AB2501">
        <v>18.0830634</v>
      </c>
    </row>
    <row r="2502" spans="1:28" hidden="1" x14ac:dyDescent="0.25">
      <c r="A2502" t="s">
        <v>554</v>
      </c>
      <c r="B2502" t="s">
        <v>560</v>
      </c>
      <c r="C2502">
        <v>115</v>
      </c>
      <c r="D2502" t="s">
        <v>3</v>
      </c>
      <c r="E2502">
        <v>3.2393992643999998</v>
      </c>
      <c r="F2502">
        <v>3.6446874363999999</v>
      </c>
      <c r="G2502">
        <v>3.8576227985</v>
      </c>
      <c r="H2502">
        <v>4.5854463469000004</v>
      </c>
      <c r="I2502">
        <v>4.2906736579000002</v>
      </c>
      <c r="J2502">
        <v>2.2520190435999998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0</v>
      </c>
      <c r="AA2502">
        <v>0</v>
      </c>
      <c r="AB2502">
        <v>0.83327006770000001</v>
      </c>
    </row>
    <row r="2503" spans="1:28" hidden="1" x14ac:dyDescent="0.25">
      <c r="A2503" t="s">
        <v>554</v>
      </c>
      <c r="B2503" t="s">
        <v>560</v>
      </c>
      <c r="C2503">
        <v>115</v>
      </c>
      <c r="D2503" t="s">
        <v>4</v>
      </c>
      <c r="E2503">
        <v>0.238075335</v>
      </c>
      <c r="F2503">
        <v>0.22134318</v>
      </c>
      <c r="G2503">
        <v>0.215970525</v>
      </c>
      <c r="H2503">
        <v>0.214143045</v>
      </c>
      <c r="I2503">
        <v>0.22696327499999999</v>
      </c>
      <c r="J2503">
        <v>0.27694759499999999</v>
      </c>
      <c r="K2503">
        <v>0.31151598000000003</v>
      </c>
      <c r="L2503">
        <v>0.33455426999999999</v>
      </c>
      <c r="M2503">
        <v>0.37778204999999998</v>
      </c>
      <c r="N2503">
        <v>0.41257843500000002</v>
      </c>
      <c r="O2503">
        <v>0.43834251000000002</v>
      </c>
      <c r="P2503">
        <v>0.45360460499999999</v>
      </c>
      <c r="Q2503">
        <v>0.44879564999999999</v>
      </c>
      <c r="R2503">
        <v>0.432173325</v>
      </c>
      <c r="S2503">
        <v>0.42803065499999998</v>
      </c>
      <c r="T2503">
        <v>0.42367054500000001</v>
      </c>
      <c r="U2503">
        <v>0.40910860500000001</v>
      </c>
      <c r="V2503">
        <v>0.41120392500000003</v>
      </c>
      <c r="W2503">
        <v>0.48061704</v>
      </c>
      <c r="X2503">
        <v>0.49134212999999999</v>
      </c>
      <c r="Y2503">
        <v>0.463339155</v>
      </c>
      <c r="Z2503">
        <v>0.39633712500000001</v>
      </c>
      <c r="AA2503">
        <v>0.33178266000000001</v>
      </c>
      <c r="AB2503">
        <v>0.27537660000000003</v>
      </c>
    </row>
    <row r="2504" spans="1:28" hidden="1" x14ac:dyDescent="0.25">
      <c r="A2504" t="s">
        <v>554</v>
      </c>
      <c r="B2504" t="s">
        <v>561</v>
      </c>
      <c r="C2504">
        <v>115</v>
      </c>
      <c r="D2504" t="s">
        <v>2</v>
      </c>
      <c r="E2504">
        <v>12.87829385</v>
      </c>
      <c r="F2504">
        <v>12.19506436</v>
      </c>
      <c r="G2504">
        <v>11.987872565</v>
      </c>
      <c r="H2504">
        <v>11.961420390000001</v>
      </c>
      <c r="I2504">
        <v>12.76828117</v>
      </c>
      <c r="J2504">
        <v>15.625388915</v>
      </c>
      <c r="K2504">
        <v>17.170646080000001</v>
      </c>
      <c r="L2504">
        <v>17.899896739999999</v>
      </c>
      <c r="M2504">
        <v>19.741105035</v>
      </c>
      <c r="N2504">
        <v>20.923254754999999</v>
      </c>
      <c r="O2504">
        <v>22.029943625000001</v>
      </c>
      <c r="P2504">
        <v>22.47421113</v>
      </c>
      <c r="Q2504">
        <v>22.270686489999999</v>
      </c>
      <c r="R2504">
        <v>21.638449465000001</v>
      </c>
      <c r="S2504">
        <v>21.330104080000002</v>
      </c>
      <c r="T2504">
        <v>21.146127750000002</v>
      </c>
      <c r="U2504">
        <v>20.152593710000001</v>
      </c>
      <c r="V2504">
        <v>20.578492935</v>
      </c>
      <c r="W2504">
        <v>24.747003084999999</v>
      </c>
      <c r="X2504">
        <v>25.633814345000001</v>
      </c>
      <c r="Y2504">
        <v>23.966757990000001</v>
      </c>
      <c r="Z2504">
        <v>20.269868795000001</v>
      </c>
      <c r="AA2504">
        <v>17.133514535</v>
      </c>
      <c r="AB2504">
        <v>14.387981679999999</v>
      </c>
    </row>
    <row r="2505" spans="1:28" hidden="1" x14ac:dyDescent="0.25">
      <c r="A2505" t="s">
        <v>554</v>
      </c>
      <c r="B2505" t="s">
        <v>561</v>
      </c>
      <c r="C2505">
        <v>115</v>
      </c>
      <c r="D2505" t="s">
        <v>3</v>
      </c>
      <c r="E2505">
        <v>9.8342600864000005</v>
      </c>
      <c r="F2505">
        <v>10.0465432331</v>
      </c>
      <c r="G2505">
        <v>10.111314221300001</v>
      </c>
      <c r="H2505">
        <v>10.2837962326</v>
      </c>
      <c r="I2505">
        <v>9.9750317672000008</v>
      </c>
      <c r="J2505">
        <v>8.6047692391999995</v>
      </c>
      <c r="K2505">
        <v>8.5000688779000004</v>
      </c>
      <c r="L2505">
        <v>8.7800430996000003</v>
      </c>
      <c r="M2505">
        <v>8.9251864897999997</v>
      </c>
      <c r="N2505">
        <v>8.7592716310000007</v>
      </c>
      <c r="O2505">
        <v>8.9868920211999992</v>
      </c>
      <c r="P2505">
        <v>8.2269331801999996</v>
      </c>
      <c r="Q2505">
        <v>8.5674721889000001</v>
      </c>
      <c r="R2505">
        <v>8.6253879126000008</v>
      </c>
      <c r="S2505">
        <v>7.8698845730000002</v>
      </c>
      <c r="T2505">
        <v>7.3021409276</v>
      </c>
      <c r="U2505">
        <v>7.0162518991000002</v>
      </c>
      <c r="V2505">
        <v>7.0445536725000002</v>
      </c>
      <c r="W2505">
        <v>6.7404700656000003</v>
      </c>
      <c r="X2505">
        <v>6.2933371425000004</v>
      </c>
      <c r="Y2505">
        <v>6.5357839853000002</v>
      </c>
      <c r="Z2505">
        <v>6.2292595754000004</v>
      </c>
      <c r="AA2505">
        <v>5.8982809503000002</v>
      </c>
      <c r="AB2505">
        <v>7.9524776329</v>
      </c>
    </row>
    <row r="2506" spans="1:28" hidden="1" x14ac:dyDescent="0.25">
      <c r="A2506" t="s">
        <v>554</v>
      </c>
      <c r="B2506" t="s">
        <v>561</v>
      </c>
      <c r="C2506">
        <v>115</v>
      </c>
      <c r="D2506" t="s">
        <v>4</v>
      </c>
      <c r="E2506">
        <v>0.19611614999999999</v>
      </c>
      <c r="F2506">
        <v>0.18571164000000001</v>
      </c>
      <c r="G2506">
        <v>0.18255643499999999</v>
      </c>
      <c r="H2506">
        <v>0.18215360999999999</v>
      </c>
      <c r="I2506">
        <v>0.19444083000000001</v>
      </c>
      <c r="J2506">
        <v>0.23795008500000001</v>
      </c>
      <c r="K2506">
        <v>0.26148191999999998</v>
      </c>
      <c r="L2506">
        <v>0.27258726</v>
      </c>
      <c r="M2506">
        <v>0.30062596499999999</v>
      </c>
      <c r="N2506">
        <v>0.31862824499999998</v>
      </c>
      <c r="O2506">
        <v>0.33548137500000003</v>
      </c>
      <c r="P2506">
        <v>0.34224686999999998</v>
      </c>
      <c r="Q2506">
        <v>0.33914750999999999</v>
      </c>
      <c r="R2506">
        <v>0.32951953499999997</v>
      </c>
      <c r="S2506">
        <v>0.32482391999999999</v>
      </c>
      <c r="T2506">
        <v>0.32202225000000001</v>
      </c>
      <c r="U2506">
        <v>0.30689229000000001</v>
      </c>
      <c r="V2506">
        <v>0.31337806499999998</v>
      </c>
      <c r="W2506">
        <v>0.37685791499999999</v>
      </c>
      <c r="X2506">
        <v>0.390362655</v>
      </c>
      <c r="Y2506">
        <v>0.36497601000000002</v>
      </c>
      <c r="Z2506">
        <v>0.30867820499999998</v>
      </c>
      <c r="AA2506">
        <v>0.26091646499999999</v>
      </c>
      <c r="AB2506">
        <v>0.21910631999999999</v>
      </c>
    </row>
    <row r="2507" spans="1:28" hidden="1" x14ac:dyDescent="0.25">
      <c r="A2507" t="s">
        <v>554</v>
      </c>
      <c r="B2507" t="s">
        <v>562</v>
      </c>
      <c r="C2507">
        <v>34</v>
      </c>
      <c r="D2507" t="s">
        <v>2</v>
      </c>
      <c r="E2507">
        <v>16.43405525</v>
      </c>
      <c r="F2507">
        <v>15.92544545</v>
      </c>
      <c r="G2507">
        <v>15.659361840000001</v>
      </c>
      <c r="H2507">
        <v>15.60653952</v>
      </c>
      <c r="I2507">
        <v>15.88555032</v>
      </c>
      <c r="J2507">
        <v>16.818780530000002</v>
      </c>
      <c r="K2507">
        <v>17.27981183</v>
      </c>
      <c r="L2507">
        <v>15.0635762</v>
      </c>
      <c r="M2507">
        <v>11.60845269</v>
      </c>
      <c r="N2507">
        <v>9.9639476699999996</v>
      </c>
      <c r="O2507">
        <v>9.7097184300000006</v>
      </c>
      <c r="P2507">
        <v>10.218922839999999</v>
      </c>
      <c r="Q2507">
        <v>10.65281645</v>
      </c>
      <c r="R2507">
        <v>11.767601559999999</v>
      </c>
      <c r="S2507">
        <v>13.16931267</v>
      </c>
      <c r="T2507">
        <v>14.67640458</v>
      </c>
      <c r="U2507">
        <v>17.83885969</v>
      </c>
      <c r="V2507">
        <v>21.120896399999999</v>
      </c>
      <c r="W2507">
        <v>25.4795041</v>
      </c>
      <c r="X2507">
        <v>26.601070480000001</v>
      </c>
      <c r="Y2507">
        <v>25.339084960000001</v>
      </c>
      <c r="Z2507">
        <v>21.994203890000001</v>
      </c>
      <c r="AA2507">
        <v>19.442431679999999</v>
      </c>
      <c r="AB2507">
        <v>17.730004350000002</v>
      </c>
    </row>
    <row r="2508" spans="1:28" hidden="1" x14ac:dyDescent="0.25">
      <c r="A2508" t="s">
        <v>554</v>
      </c>
      <c r="B2508" t="s">
        <v>562</v>
      </c>
      <c r="C2508">
        <v>34</v>
      </c>
      <c r="D2508" t="s">
        <v>3</v>
      </c>
      <c r="E2508">
        <v>3.3370772471999999</v>
      </c>
      <c r="F2508">
        <v>3.2337996223999999</v>
      </c>
      <c r="G2508">
        <v>3.1797690409000001</v>
      </c>
      <c r="H2508">
        <v>3.1690430113999999</v>
      </c>
      <c r="I2508">
        <v>2.2635683254000001</v>
      </c>
      <c r="J2508">
        <v>2.3965464281000002</v>
      </c>
      <c r="K2508">
        <v>2.4622398304000002</v>
      </c>
      <c r="L2508">
        <v>3.0587896069</v>
      </c>
      <c r="M2508">
        <v>2.3571968547000002</v>
      </c>
      <c r="N2508">
        <v>2.4972006772999999</v>
      </c>
      <c r="O2508">
        <v>2.8320012079999999</v>
      </c>
      <c r="P2508">
        <v>2.9805191609000001</v>
      </c>
      <c r="Q2508">
        <v>3.1070714638000001</v>
      </c>
      <c r="R2508">
        <v>3.4322171207999999</v>
      </c>
      <c r="S2508">
        <v>3.8410495277000001</v>
      </c>
      <c r="T2508">
        <v>3.6782537074000001</v>
      </c>
      <c r="U2508">
        <v>4.4708396688000001</v>
      </c>
      <c r="V2508">
        <v>4.2887809336</v>
      </c>
      <c r="W2508">
        <v>5.1738339752</v>
      </c>
      <c r="X2508">
        <v>5.4015777420999997</v>
      </c>
      <c r="Y2508">
        <v>3.6106240548000001</v>
      </c>
      <c r="Z2508">
        <v>4.4661135827000003</v>
      </c>
      <c r="AA2508">
        <v>3.9479541356999999</v>
      </c>
      <c r="AB2508">
        <v>3.6002309356</v>
      </c>
    </row>
    <row r="2509" spans="1:28" hidden="1" x14ac:dyDescent="0.25">
      <c r="A2509" t="s">
        <v>554</v>
      </c>
      <c r="B2509" t="s">
        <v>562</v>
      </c>
      <c r="C2509">
        <v>34</v>
      </c>
      <c r="D2509" t="s">
        <v>4</v>
      </c>
      <c r="E2509">
        <v>0.50826974999999996</v>
      </c>
      <c r="F2509">
        <v>0.49253954999999999</v>
      </c>
      <c r="G2509">
        <v>0.48431015999999999</v>
      </c>
      <c r="H2509">
        <v>0.48267648000000002</v>
      </c>
      <c r="I2509">
        <v>0.49130568000000002</v>
      </c>
      <c r="J2509">
        <v>0.52016846999999999</v>
      </c>
      <c r="K2509">
        <v>0.53442716999999995</v>
      </c>
      <c r="L2509">
        <v>0.46588380000000001</v>
      </c>
      <c r="M2509">
        <v>0.35902431000000001</v>
      </c>
      <c r="N2509">
        <v>0.30816333000000001</v>
      </c>
      <c r="O2509">
        <v>0.30030056999999999</v>
      </c>
      <c r="P2509">
        <v>0.31604916</v>
      </c>
      <c r="Q2509">
        <v>0.32946855000000003</v>
      </c>
      <c r="R2509">
        <v>0.36394643999999998</v>
      </c>
      <c r="S2509">
        <v>0.40729832999999999</v>
      </c>
      <c r="T2509">
        <v>0.45390942000000001</v>
      </c>
      <c r="U2509">
        <v>0.55171731000000002</v>
      </c>
      <c r="V2509">
        <v>0.65322360000000002</v>
      </c>
      <c r="W2509">
        <v>0.78802589999999995</v>
      </c>
      <c r="X2509">
        <v>0.82271351999999998</v>
      </c>
      <c r="Y2509">
        <v>0.78368304</v>
      </c>
      <c r="Z2509">
        <v>0.68023310999999997</v>
      </c>
      <c r="AA2509">
        <v>0.60131232000000001</v>
      </c>
      <c r="AB2509">
        <v>0.54835065000000005</v>
      </c>
    </row>
    <row r="2510" spans="1:28" hidden="1" x14ac:dyDescent="0.25">
      <c r="A2510" t="s">
        <v>563</v>
      </c>
      <c r="B2510" t="s">
        <v>564</v>
      </c>
      <c r="C2510">
        <v>220</v>
      </c>
      <c r="D2510" t="s">
        <v>2</v>
      </c>
      <c r="E2510">
        <v>7.266</v>
      </c>
      <c r="F2510">
        <v>7.266</v>
      </c>
      <c r="G2510">
        <v>7.266</v>
      </c>
      <c r="H2510">
        <v>7.266</v>
      </c>
      <c r="I2510">
        <v>7.266</v>
      </c>
      <c r="J2510">
        <v>7.266</v>
      </c>
      <c r="K2510">
        <v>7.266</v>
      </c>
      <c r="L2510">
        <v>8.1430000000000007</v>
      </c>
      <c r="M2510">
        <v>8.1430000000000007</v>
      </c>
      <c r="N2510">
        <v>8.1430000000000007</v>
      </c>
      <c r="O2510">
        <v>8.1430000000000007</v>
      </c>
      <c r="P2510">
        <v>8.1430000000000007</v>
      </c>
      <c r="Q2510">
        <v>8.1430000000000007</v>
      </c>
      <c r="R2510">
        <v>8.1430000000000007</v>
      </c>
      <c r="S2510">
        <v>8.1430000000000007</v>
      </c>
      <c r="T2510">
        <v>8.1430000000000007</v>
      </c>
      <c r="U2510">
        <v>8.1430000000000007</v>
      </c>
      <c r="V2510">
        <v>8.1430000000000007</v>
      </c>
      <c r="W2510">
        <v>8.1440000000000001</v>
      </c>
      <c r="X2510">
        <v>8.1440000000000001</v>
      </c>
      <c r="Y2510">
        <v>8.1440000000000001</v>
      </c>
      <c r="Z2510">
        <v>8.1430000000000007</v>
      </c>
      <c r="AA2510">
        <v>8.1430000000000007</v>
      </c>
      <c r="AB2510">
        <v>8.1430009999999999</v>
      </c>
    </row>
    <row r="2511" spans="1:28" hidden="1" x14ac:dyDescent="0.25">
      <c r="A2511" t="s">
        <v>563</v>
      </c>
      <c r="B2511" t="s">
        <v>564</v>
      </c>
      <c r="C2511">
        <v>220</v>
      </c>
      <c r="D2511" t="s">
        <v>3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0</v>
      </c>
      <c r="AA2511">
        <v>0</v>
      </c>
      <c r="AB2511">
        <v>0</v>
      </c>
    </row>
    <row r="2512" spans="1:28" hidden="1" x14ac:dyDescent="0.25">
      <c r="A2512" t="s">
        <v>563</v>
      </c>
      <c r="B2512" t="s">
        <v>564</v>
      </c>
      <c r="C2512">
        <v>220</v>
      </c>
      <c r="D2512" t="s">
        <v>4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0</v>
      </c>
      <c r="AA2512">
        <v>0</v>
      </c>
      <c r="AB2512">
        <v>0</v>
      </c>
    </row>
    <row r="2513" spans="1:28" hidden="1" x14ac:dyDescent="0.25">
      <c r="A2513" t="s">
        <v>565</v>
      </c>
      <c r="B2513" t="s">
        <v>566</v>
      </c>
      <c r="C2513">
        <v>220</v>
      </c>
      <c r="D2513" t="s">
        <v>2</v>
      </c>
      <c r="E2513">
        <v>2.9264899999999998</v>
      </c>
      <c r="F2513">
        <v>2.9264899999999998</v>
      </c>
      <c r="G2513">
        <v>2.9264899999999998</v>
      </c>
      <c r="H2513">
        <v>2.9264899999999998</v>
      </c>
      <c r="I2513">
        <v>2.9264899999999998</v>
      </c>
      <c r="J2513">
        <v>2.9264899999999998</v>
      </c>
      <c r="K2513">
        <v>2.9264899999999998</v>
      </c>
      <c r="L2513">
        <v>2.9264899999999998</v>
      </c>
      <c r="M2513">
        <v>2.9264899999999998</v>
      </c>
      <c r="N2513">
        <v>2.9264899999999998</v>
      </c>
      <c r="O2513">
        <v>2.9264899999999998</v>
      </c>
      <c r="P2513">
        <v>2.9264899999999998</v>
      </c>
      <c r="Q2513">
        <v>2.9264899999999998</v>
      </c>
      <c r="R2513">
        <v>2.9264899999999998</v>
      </c>
      <c r="S2513">
        <v>2.9264899999999998</v>
      </c>
      <c r="T2513">
        <v>2.9264899999999998</v>
      </c>
      <c r="U2513">
        <v>2.9264899999999998</v>
      </c>
      <c r="V2513">
        <v>2.9264899999999998</v>
      </c>
      <c r="W2513">
        <v>2.9274900000000001</v>
      </c>
      <c r="X2513">
        <v>2.9274900000000001</v>
      </c>
      <c r="Y2513">
        <v>2.9274900000000001</v>
      </c>
      <c r="Z2513">
        <v>2.9264899999999998</v>
      </c>
      <c r="AA2513">
        <v>2.9264899999999998</v>
      </c>
      <c r="AB2513">
        <v>2.9264899999999998</v>
      </c>
    </row>
    <row r="2514" spans="1:28" hidden="1" x14ac:dyDescent="0.25">
      <c r="A2514" t="s">
        <v>565</v>
      </c>
      <c r="B2514" t="s">
        <v>566</v>
      </c>
      <c r="C2514">
        <v>220</v>
      </c>
      <c r="D2514" t="s">
        <v>3</v>
      </c>
      <c r="E2514">
        <v>0.33243110799999998</v>
      </c>
      <c r="F2514">
        <v>0.32338313749999997</v>
      </c>
      <c r="G2514">
        <v>0.33996534360000003</v>
      </c>
      <c r="H2514">
        <v>0.34985188369999998</v>
      </c>
      <c r="I2514">
        <v>0.36263200369999998</v>
      </c>
      <c r="J2514">
        <v>0.45065654259999999</v>
      </c>
      <c r="K2514">
        <v>0.5474364451</v>
      </c>
      <c r="L2514">
        <v>0.59071802480000002</v>
      </c>
      <c r="M2514">
        <v>0.58126115629999997</v>
      </c>
      <c r="N2514">
        <v>0.58468747300000001</v>
      </c>
      <c r="O2514">
        <v>0.57703164139999996</v>
      </c>
      <c r="P2514">
        <v>0.55121344480000001</v>
      </c>
      <c r="Q2514">
        <v>0.50545536810000002</v>
      </c>
      <c r="R2514">
        <v>0.528527678</v>
      </c>
      <c r="S2514">
        <v>0.50118912370000002</v>
      </c>
      <c r="T2514">
        <v>0.50616321019999999</v>
      </c>
      <c r="U2514">
        <v>0.4619420877</v>
      </c>
      <c r="V2514">
        <v>0.44511318119999999</v>
      </c>
      <c r="W2514">
        <v>0.44745141830000001</v>
      </c>
      <c r="X2514">
        <v>0.45297166230000002</v>
      </c>
      <c r="Y2514">
        <v>0.44005794570000001</v>
      </c>
      <c r="Z2514">
        <v>0.39796602310000001</v>
      </c>
      <c r="AA2514">
        <v>0.34633401860000002</v>
      </c>
      <c r="AB2514">
        <v>0.3473425564</v>
      </c>
    </row>
    <row r="2515" spans="1:28" hidden="1" x14ac:dyDescent="0.25">
      <c r="A2515" t="s">
        <v>565</v>
      </c>
      <c r="B2515" t="s">
        <v>566</v>
      </c>
      <c r="C2515">
        <v>220</v>
      </c>
      <c r="D2515" t="s">
        <v>4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0</v>
      </c>
      <c r="AA2515">
        <v>0</v>
      </c>
      <c r="AB2515">
        <v>0</v>
      </c>
    </row>
    <row r="2516" spans="1:28" hidden="1" x14ac:dyDescent="0.25">
      <c r="A2516" t="s">
        <v>567</v>
      </c>
      <c r="B2516" t="s">
        <v>568</v>
      </c>
      <c r="C2516">
        <v>34</v>
      </c>
      <c r="D2516" t="s">
        <v>2</v>
      </c>
      <c r="E2516">
        <v>23.367479450000001</v>
      </c>
      <c r="F2516">
        <v>22.410061320000001</v>
      </c>
      <c r="G2516">
        <v>21.786067110000001</v>
      </c>
      <c r="H2516">
        <v>21.509173820000001</v>
      </c>
      <c r="I2516">
        <v>21.673549049999998</v>
      </c>
      <c r="J2516">
        <v>22.711279300000001</v>
      </c>
      <c r="K2516">
        <v>21.861114069999999</v>
      </c>
      <c r="L2516">
        <v>22.563538600000001</v>
      </c>
      <c r="M2516">
        <v>23.81042704</v>
      </c>
      <c r="N2516">
        <v>25.674909629999998</v>
      </c>
      <c r="O2516">
        <v>27.63469375</v>
      </c>
      <c r="P2516">
        <v>29.309271679999998</v>
      </c>
      <c r="Q2516">
        <v>28.62703673</v>
      </c>
      <c r="R2516">
        <v>28.699548109999999</v>
      </c>
      <c r="S2516">
        <v>30.164152080000001</v>
      </c>
      <c r="T2516">
        <v>31.37494585</v>
      </c>
      <c r="U2516">
        <v>32.185405099999997</v>
      </c>
      <c r="V2516">
        <v>32.65370849</v>
      </c>
      <c r="W2516">
        <v>36.82767475</v>
      </c>
      <c r="X2516">
        <v>36.662732069999997</v>
      </c>
      <c r="Y2516">
        <v>35.030460689999998</v>
      </c>
      <c r="Z2516">
        <v>31.234926349999999</v>
      </c>
      <c r="AA2516">
        <v>28.339243549999999</v>
      </c>
      <c r="AB2516">
        <v>25.554415259999999</v>
      </c>
    </row>
    <row r="2517" spans="1:28" hidden="1" x14ac:dyDescent="0.25">
      <c r="A2517" t="s">
        <v>567</v>
      </c>
      <c r="B2517" t="s">
        <v>568</v>
      </c>
      <c r="C2517">
        <v>34</v>
      </c>
      <c r="D2517" t="s">
        <v>3</v>
      </c>
      <c r="E2517">
        <v>1.6752595233000001</v>
      </c>
      <c r="F2517">
        <v>1.5357799568999999</v>
      </c>
      <c r="G2517">
        <v>1.3799426428999999</v>
      </c>
      <c r="H2517">
        <v>1.4485381307</v>
      </c>
      <c r="I2517">
        <v>0.96023493240000002</v>
      </c>
      <c r="J2517">
        <v>0.86229768490000003</v>
      </c>
      <c r="K2517">
        <v>0.64130237450000005</v>
      </c>
      <c r="L2517">
        <v>1.2658557638000001</v>
      </c>
      <c r="M2517">
        <v>2.2892201230999998</v>
      </c>
      <c r="N2517">
        <v>3.2899442792000002</v>
      </c>
      <c r="O2517">
        <v>4.0228139970000001</v>
      </c>
      <c r="P2517">
        <v>4.3632126739999997</v>
      </c>
      <c r="Q2517">
        <v>4.5130862319</v>
      </c>
      <c r="R2517">
        <v>4.3690473455000003</v>
      </c>
      <c r="S2517">
        <v>4.4314838615000003</v>
      </c>
      <c r="T2517">
        <v>4.3348566873000003</v>
      </c>
      <c r="U2517">
        <v>4.3792435882999996</v>
      </c>
      <c r="V2517">
        <v>4.2567169256000001</v>
      </c>
      <c r="W2517">
        <v>4.4371087847000004</v>
      </c>
      <c r="X2517">
        <v>3.4977213043000002</v>
      </c>
      <c r="Y2517">
        <v>3.1544899163000002</v>
      </c>
      <c r="Z2517">
        <v>2.5631337582999998</v>
      </c>
      <c r="AA2517">
        <v>2.1964152799000001</v>
      </c>
      <c r="AB2517">
        <v>1.8570203112000001</v>
      </c>
    </row>
    <row r="2518" spans="1:28" hidden="1" x14ac:dyDescent="0.25">
      <c r="A2518" t="s">
        <v>567</v>
      </c>
      <c r="B2518" t="s">
        <v>568</v>
      </c>
      <c r="C2518">
        <v>34</v>
      </c>
      <c r="D2518" t="s">
        <v>4</v>
      </c>
      <c r="E2518">
        <v>0.72270555000000003</v>
      </c>
      <c r="F2518">
        <v>0.69309467999999996</v>
      </c>
      <c r="G2518">
        <v>0.67379588999999995</v>
      </c>
      <c r="H2518">
        <v>0.66523217999999995</v>
      </c>
      <c r="I2518">
        <v>0.67031594999999999</v>
      </c>
      <c r="J2518">
        <v>0.70241070000000005</v>
      </c>
      <c r="K2518">
        <v>0.67611692999999995</v>
      </c>
      <c r="L2518">
        <v>0.69784139999999995</v>
      </c>
      <c r="M2518">
        <v>0.73640496</v>
      </c>
      <c r="N2518">
        <v>0.79406937</v>
      </c>
      <c r="O2518">
        <v>0.85468124999999995</v>
      </c>
      <c r="P2518">
        <v>0.90647232</v>
      </c>
      <c r="Q2518">
        <v>0.88537226999999996</v>
      </c>
      <c r="R2518">
        <v>0.88761489000000005</v>
      </c>
      <c r="S2518">
        <v>0.93291192000000001</v>
      </c>
      <c r="T2518">
        <v>0.97035914999999995</v>
      </c>
      <c r="U2518">
        <v>0.99542489999999995</v>
      </c>
      <c r="V2518">
        <v>1.00990851</v>
      </c>
      <c r="W2518">
        <v>1.13900025</v>
      </c>
      <c r="X2518">
        <v>1.13389893</v>
      </c>
      <c r="Y2518">
        <v>1.08341631</v>
      </c>
      <c r="Z2518">
        <v>0.96602865000000004</v>
      </c>
      <c r="AA2518">
        <v>0.87647145000000004</v>
      </c>
      <c r="AB2518">
        <v>0.79034274000000004</v>
      </c>
    </row>
  </sheetData>
  <autoFilter ref="A1:AD2518" xr:uid="{C4E6DB31-C6EB-4D3D-9DB1-3A8BCF739B9B}">
    <filterColumn colId="0">
      <filters>
        <filter val="Ucali"/>
        <filter val="Upacifico"/>
      </filters>
    </filterColumn>
    <filterColumn colId="1">
      <filters>
        <filter val="AGUABLA1"/>
        <filter val="ALFEREZ1"/>
        <filter val="ALFERII1"/>
        <filter val="BAJOANC1"/>
        <filter val="CAMPINA1"/>
        <filter val="CHIPIC12"/>
        <filter val="CHIPICH1"/>
        <filter val="ELPAIL12"/>
        <filter val="ELPAILO1"/>
        <filter val="ESTAMBU31"/>
        <filter val="ESTAMBU32"/>
        <filter val="GUACHA12"/>
        <filter val="GUACHA31"/>
        <filter val="JUANCH12"/>
        <filter val="JUANCH13"/>
        <filter val="JUANCH31"/>
        <filter val="JUANCH32"/>
        <filter val="LADERA_1"/>
        <filter val="MELENDE1"/>
        <filter val="PANCE__1"/>
        <filter val="PAPELCA1"/>
        <filter val="SALVAJI2"/>
        <filter val="SAN_LUI1"/>
        <filter val="SAN_LUI2"/>
        <filter val="SN_ANT12"/>
        <filter val="SN_ANTO1"/>
        <filter val="TABOR_12"/>
        <filter val="YUMBO_11"/>
        <filter val="YUMBO_12"/>
        <filter val="YUMBO21"/>
        <filter val="YUMBO22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Numeración barras</vt:lpstr>
      <vt:lpstr>Hoja1</vt:lpstr>
      <vt:lpstr>Día 1</vt:lpstr>
      <vt:lpstr>Día 2</vt:lpstr>
      <vt:lpstr>Día 3</vt:lpstr>
      <vt:lpstr>Día 4</vt:lpstr>
      <vt:lpstr>Día 5</vt:lpstr>
      <vt:lpstr>Día 6</vt:lpstr>
      <vt:lpstr>Día 7</vt:lpstr>
      <vt:lpstr>Día 7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Angie Tatiana</dc:creator>
  <cp:lastModifiedBy>Andres juan Anaya jaimes</cp:lastModifiedBy>
  <dcterms:created xsi:type="dcterms:W3CDTF">2025-11-23T16:18:03Z</dcterms:created>
  <dcterms:modified xsi:type="dcterms:W3CDTF">2025-11-25T16:57:46Z</dcterms:modified>
</cp:coreProperties>
</file>