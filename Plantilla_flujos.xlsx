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e5c9122ca7da15/clases online/andres/Andres Estudio/Sistemas de Potencia/proyecto/informe y codigos/proyecto_Ybarra/2 entrega/"/>
    </mc:Choice>
  </mc:AlternateContent>
  <xr:revisionPtr revIDLastSave="589" documentId="13_ncr:1_{A0AFFF66-7692-1948-B522-F870FE1A285D}" xr6:coauthVersionLast="47" xr6:coauthVersionMax="47" xr10:uidLastSave="{349713BB-0DD4-4B83-A5D7-87B9BDFB34AA}"/>
  <bookViews>
    <workbookView xWindow="-120" yWindow="-120" windowWidth="29040" windowHeight="15720" activeTab="2" xr2:uid="{8875B920-B280-4495-89FD-1C8CA84C1C93}"/>
  </bookViews>
  <sheets>
    <sheet name="Generacion_Demanda" sheetId="4" r:id="rId1"/>
    <sheet name="Estado_inicial" sheetId="1" r:id="rId2"/>
    <sheet name="Contingenci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0" i="4" l="1"/>
  <c r="R40" i="4"/>
  <c r="T9" i="4"/>
  <c r="S9" i="4"/>
  <c r="U9" i="4" s="1"/>
  <c r="S8" i="4"/>
  <c r="T7" i="4"/>
  <c r="S7" i="4"/>
  <c r="U7" i="4" s="1"/>
  <c r="T6" i="4"/>
  <c r="U6" i="4" s="1"/>
  <c r="S5" i="4"/>
  <c r="T5" i="4" s="1"/>
  <c r="U5" i="4" s="1"/>
  <c r="K40" i="4"/>
  <c r="J40" i="4"/>
  <c r="L9" i="4"/>
  <c r="K9" i="4"/>
  <c r="M9" i="4" s="1"/>
  <c r="K8" i="4"/>
  <c r="L7" i="4"/>
  <c r="K7" i="4"/>
  <c r="M7" i="4" s="1"/>
  <c r="L6" i="4"/>
  <c r="M6" i="4" s="1"/>
  <c r="K5" i="4"/>
  <c r="L5" i="4" s="1"/>
  <c r="M5" i="4" s="1"/>
  <c r="B40" i="4"/>
  <c r="C40" i="4"/>
  <c r="D9" i="4"/>
  <c r="C9" i="4"/>
  <c r="C8" i="4"/>
  <c r="D8" i="4" s="1"/>
  <c r="D6" i="4"/>
  <c r="D7" i="4"/>
  <c r="C7" i="4"/>
  <c r="D5" i="4"/>
  <c r="C5" i="4"/>
  <c r="V5" i="4" l="1"/>
  <c r="W5" i="4" s="1"/>
  <c r="V6" i="4"/>
  <c r="W6" i="4" s="1"/>
  <c r="V7" i="4"/>
  <c r="W7" i="4" s="1"/>
  <c r="V9" i="4"/>
  <c r="W9" i="4" s="1"/>
  <c r="T8" i="4"/>
  <c r="U8" i="4" s="1"/>
  <c r="N5" i="4"/>
  <c r="O5" i="4" s="1"/>
  <c r="N6" i="4"/>
  <c r="O6" i="4" s="1"/>
  <c r="N7" i="4"/>
  <c r="O7" i="4" s="1"/>
  <c r="N9" i="4"/>
  <c r="O9" i="4" s="1"/>
  <c r="L8" i="4"/>
  <c r="M8" i="4" s="1"/>
  <c r="V8" i="4" l="1"/>
  <c r="W8" i="4" s="1"/>
  <c r="N8" i="4"/>
  <c r="O8" i="4" s="1"/>
  <c r="G9" i="4"/>
  <c r="E6" i="4"/>
  <c r="F6" i="4" s="1"/>
  <c r="E7" i="4"/>
  <c r="F7" i="4" s="1"/>
  <c r="E8" i="4"/>
  <c r="F8" i="4" s="1"/>
  <c r="E9" i="4"/>
  <c r="F9" i="4" s="1"/>
  <c r="E5" i="4"/>
  <c r="G8" i="4" l="1"/>
  <c r="G7" i="4"/>
  <c r="G6" i="4"/>
  <c r="F5" i="4"/>
  <c r="G5" i="4" s="1"/>
</calcChain>
</file>

<file path=xl/sharedStrings.xml><?xml version="1.0" encoding="utf-8"?>
<sst xmlns="http://schemas.openxmlformats.org/spreadsheetml/2006/main" count="101" uniqueCount="49">
  <si>
    <t>Barra</t>
  </si>
  <si>
    <t>Líneas</t>
  </si>
  <si>
    <t>Barra ini</t>
  </si>
  <si>
    <t>Barra Fin</t>
  </si>
  <si>
    <t>Transformadores</t>
  </si>
  <si>
    <t>Cargabilidad máxima</t>
  </si>
  <si>
    <t>Elemento</t>
  </si>
  <si>
    <t>Generadores</t>
  </si>
  <si>
    <t>Generador</t>
  </si>
  <si>
    <t>Capacidad Nominal (MVA)</t>
  </si>
  <si>
    <t>Pgen</t>
  </si>
  <si>
    <t>Qgen</t>
  </si>
  <si>
    <t>Cargas</t>
  </si>
  <si>
    <t>MW</t>
  </si>
  <si>
    <t>MVAR</t>
  </si>
  <si>
    <t>Transporte(MVA)</t>
  </si>
  <si>
    <t>%cargabilidad</t>
  </si>
  <si>
    <t>Cargabilidades (%)</t>
  </si>
  <si>
    <t>Perfil de tensiones (p.u)</t>
  </si>
  <si>
    <t>Propuestas de mitigación (escenario 4)</t>
  </si>
  <si>
    <t>Barras</t>
  </si>
  <si>
    <t>Tipo</t>
  </si>
  <si>
    <t>Capacidad (Mva)</t>
  </si>
  <si>
    <t>Tensión crítica</t>
  </si>
  <si>
    <t>Escenario 1 (TAP NOMINAL)</t>
  </si>
  <si>
    <t xml:space="preserve">Escenario 1 (Tap Nominal) </t>
  </si>
  <si>
    <t xml:space="preserve">Escenario 2 (Tap max) </t>
  </si>
  <si>
    <t xml:space="preserve">Escenario 3 (Tap min) </t>
  </si>
  <si>
    <t>Escenario 1 (TAP MAXIMO)</t>
  </si>
  <si>
    <t>Escenario 1 (TAP MINIMO)</t>
  </si>
  <si>
    <t>desconexion</t>
  </si>
  <si>
    <t>Trafo 19-13</t>
  </si>
  <si>
    <t>Línea 3-2</t>
  </si>
  <si>
    <t>Línea 19-25</t>
  </si>
  <si>
    <t>Línea 19-2</t>
  </si>
  <si>
    <t>19 - 13</t>
  </si>
  <si>
    <t>180 MVA</t>
  </si>
  <si>
    <t>Recapacitación de Línea</t>
  </si>
  <si>
    <t>+50 MVA</t>
  </si>
  <si>
    <t>Ampliación Trafo</t>
  </si>
  <si>
    <t>100 MVA</t>
  </si>
  <si>
    <t>Línea Nueva</t>
  </si>
  <si>
    <t>Se aumenta la capacidad (antes era menor) para eliminar la sobrecarga del 100.98% ante la contingencia de la línea 2-3.</t>
  </si>
  <si>
    <t>(Opcional) Se aumenta la capacidad del transformador para aliviar la carga del 97.9% y dar margen de seguridad.</t>
  </si>
  <si>
    <t>Escenario 3 (TAP NOMINAL)</t>
  </si>
  <si>
    <t>Justificación</t>
  </si>
  <si>
    <t>(Opcional) Se propone para cerrar el anillo y evitar que las barras 8, 11, 12 y 16 queden aisladas si falla la línea 6-8.</t>
  </si>
  <si>
    <t>(12 - 4)</t>
  </si>
  <si>
    <t>(19 - 2)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</si>
</sst>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sz val="9"/>
      <color rgb="FF212121"/>
      <name val="Consolas"/>
      <family val="3"/>
    </font>
    <font>
      <sz val="11"/>
      <color rgb="FF00B050"/>
      <name val="Calibri"/>
      <family val="2"/>
      <scheme val="minor"/>
    </font>
    <font>
      <sz val="9"/>
      <color rgb="FF00B050"/>
      <name val="Consolas"/>
      <family val="3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rgb="FFB8CCE4"/>
      </right>
      <top style="medium">
        <color rgb="FFB8CCE4"/>
      </top>
      <bottom style="thick">
        <color rgb="FF95B3D7"/>
      </bottom>
      <diagonal/>
    </border>
    <border>
      <left style="medium">
        <color rgb="FFB8CCE4"/>
      </left>
      <right style="medium">
        <color rgb="FFB8CCE4"/>
      </right>
      <top/>
      <bottom style="medium">
        <color rgb="FFB8CCE4"/>
      </bottom>
      <diagonal/>
    </border>
    <border>
      <left/>
      <right style="medium">
        <color rgb="FFB8CCE4"/>
      </right>
      <top/>
      <bottom style="medium">
        <color rgb="FFB8CCE4"/>
      </bottom>
      <diagonal/>
    </border>
    <border>
      <left/>
      <right/>
      <top/>
      <bottom style="medium">
        <color rgb="FFB8CCE4"/>
      </bottom>
      <diagonal/>
    </border>
    <border>
      <left/>
      <right style="medium">
        <color rgb="FFB8CCE4"/>
      </right>
      <top/>
      <bottom/>
      <diagonal/>
    </border>
    <border>
      <left style="medium">
        <color rgb="FFB8CCE4"/>
      </left>
      <right style="medium">
        <color rgb="FFB8CCE4"/>
      </right>
      <top style="medium">
        <color rgb="FFB8CCE4"/>
      </top>
      <bottom style="medium">
        <color rgb="FFB8CCE4"/>
      </bottom>
      <diagonal/>
    </border>
    <border>
      <left style="medium">
        <color rgb="FFB8CCE4"/>
      </left>
      <right/>
      <top style="medium">
        <color rgb="FFB8CCE4"/>
      </top>
      <bottom style="thick">
        <color rgb="FF95B3D7"/>
      </bottom>
      <diagonal/>
    </border>
    <border>
      <left/>
      <right/>
      <top style="medium">
        <color rgb="FFB8CCE4"/>
      </top>
      <bottom style="thick">
        <color rgb="FF95B3D7"/>
      </bottom>
      <diagonal/>
    </border>
    <border>
      <left style="medium">
        <color rgb="FFB8CCE4"/>
      </left>
      <right/>
      <top style="medium">
        <color rgb="FFB8CCE4"/>
      </top>
      <bottom/>
      <diagonal/>
    </border>
    <border>
      <left/>
      <right/>
      <top style="medium">
        <color rgb="FFB8CCE4"/>
      </top>
      <bottom/>
      <diagonal/>
    </border>
    <border>
      <left style="medium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medium">
        <color theme="8" tint="0.59996337778862885"/>
      </bottom>
      <diagonal/>
    </border>
    <border>
      <left style="thin">
        <color theme="8" tint="0.39991454817346722"/>
      </left>
      <right style="thin">
        <color theme="8" tint="0.39991454817346722"/>
      </right>
      <top style="thin">
        <color theme="8" tint="0.39991454817346722"/>
      </top>
      <bottom/>
      <diagonal/>
    </border>
    <border>
      <left style="medium">
        <color theme="8" tint="0.59996337778862885"/>
      </left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 style="medium">
        <color theme="8" tint="0.59996337778862885"/>
      </right>
      <top/>
      <bottom/>
      <diagonal/>
    </border>
    <border>
      <left style="medium">
        <color theme="8" tint="0.59996337778862885"/>
      </left>
      <right style="medium">
        <color theme="8" tint="0.59996337778862885"/>
      </right>
      <top/>
      <bottom style="medium">
        <color theme="8" tint="0.59996337778862885"/>
      </bottom>
      <diagonal/>
    </border>
    <border>
      <left/>
      <right/>
      <top/>
      <bottom style="medium">
        <color theme="8" tint="0.59996337778862885"/>
      </bottom>
      <diagonal/>
    </border>
    <border>
      <left/>
      <right style="thin">
        <color theme="8" tint="0.39991454817346722"/>
      </right>
      <top/>
      <bottom style="medium">
        <color theme="8" tint="0.59996337778862885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0" fillId="0" borderId="0" xfId="0" applyNumberFormat="1"/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9" fontId="5" fillId="0" borderId="3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/>
    <xf numFmtId="0" fontId="0" fillId="0" borderId="11" xfId="0" applyBorder="1"/>
    <xf numFmtId="0" fontId="2" fillId="0" borderId="11" xfId="0" applyFont="1" applyBorder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16" fontId="0" fillId="0" borderId="0" xfId="0" applyNumberFormat="1"/>
    <xf numFmtId="0" fontId="0" fillId="0" borderId="11" xfId="0" applyBorder="1" applyAlignment="1">
      <alignment horizontal="center" vertical="top"/>
    </xf>
    <xf numFmtId="10" fontId="0" fillId="0" borderId="11" xfId="0" applyNumberFormat="1" applyBorder="1" applyAlignment="1">
      <alignment horizontal="left" vertical="top"/>
    </xf>
    <xf numFmtId="0" fontId="0" fillId="0" borderId="4" xfId="0" applyBorder="1"/>
    <xf numFmtId="0" fontId="10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0" fontId="11" fillId="0" borderId="1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 wrapText="1"/>
    </xf>
    <xf numFmtId="10" fontId="10" fillId="0" borderId="11" xfId="0" applyNumberFormat="1" applyFont="1" applyBorder="1" applyAlignment="1">
      <alignment horizontal="center" vertical="center"/>
    </xf>
    <xf numFmtId="10" fontId="0" fillId="0" borderId="11" xfId="0" applyNumberFormat="1" applyBorder="1"/>
    <xf numFmtId="10" fontId="3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49" fontId="0" fillId="0" borderId="15" xfId="0" applyNumberFormat="1" applyBorder="1" applyAlignment="1">
      <alignment horizontal="left" vertical="top"/>
    </xf>
    <xf numFmtId="0" fontId="0" fillId="0" borderId="15" xfId="0" applyBorder="1" applyAlignment="1">
      <alignment horizontal="center" vertical="top"/>
    </xf>
    <xf numFmtId="0" fontId="0" fillId="0" borderId="15" xfId="0" applyBorder="1" applyAlignment="1">
      <alignment horizontal="left" vertical="top"/>
    </xf>
    <xf numFmtId="0" fontId="12" fillId="0" borderId="11" xfId="0" applyFont="1" applyBorder="1" applyAlignment="1">
      <alignment vertical="center"/>
    </xf>
    <xf numFmtId="0" fontId="12" fillId="0" borderId="11" xfId="0" applyFont="1" applyBorder="1" applyAlignment="1">
      <alignment wrapText="1"/>
    </xf>
    <xf numFmtId="16" fontId="12" fillId="0" borderId="11" xfId="0" applyNumberFormat="1" applyFont="1" applyBorder="1" applyAlignment="1">
      <alignment wrapText="1"/>
    </xf>
    <xf numFmtId="0" fontId="0" fillId="0" borderId="0" xfId="0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1">
    <cellStyle name="Normal" xfId="0" builtinId="0"/>
  </cellStyles>
  <dxfs count="5">
    <dxf>
      <font>
        <color rgb="FFFF0000"/>
      </font>
    </dxf>
    <dxf>
      <font>
        <color theme="9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9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BC2304"/>
      <color rgb="FFD43F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BC2-EC16-4559-9885-D56453C6A963}">
  <dimension ref="A1:W40"/>
  <sheetViews>
    <sheetView zoomScaleNormal="100" workbookViewId="0">
      <selection activeCell="J21" sqref="J21"/>
    </sheetView>
  </sheetViews>
  <sheetFormatPr baseColWidth="10" defaultRowHeight="15" x14ac:dyDescent="0.25"/>
  <cols>
    <col min="4" max="4" width="12.28515625" customWidth="1"/>
    <col min="5" max="5" width="14.28515625" customWidth="1"/>
    <col min="6" max="6" width="20.42578125" customWidth="1"/>
    <col min="7" max="7" width="14.5703125" customWidth="1"/>
  </cols>
  <sheetData>
    <row r="1" spans="1:23" x14ac:dyDescent="0.25">
      <c r="A1" s="38" t="s">
        <v>24</v>
      </c>
      <c r="B1" s="38"/>
      <c r="C1" s="38"/>
      <c r="D1" s="38"/>
      <c r="E1" s="38"/>
      <c r="F1" s="38"/>
      <c r="I1" s="38" t="s">
        <v>28</v>
      </c>
      <c r="J1" s="38"/>
      <c r="K1" s="38"/>
      <c r="L1" s="38"/>
      <c r="M1" s="38"/>
      <c r="N1" s="38"/>
      <c r="Q1" s="38" t="s">
        <v>29</v>
      </c>
      <c r="R1" s="38"/>
      <c r="S1" s="38"/>
      <c r="T1" s="38"/>
      <c r="U1" s="38"/>
      <c r="V1" s="38"/>
    </row>
    <row r="2" spans="1:23" ht="15.75" thickBot="1" x14ac:dyDescent="0.3"/>
    <row r="3" spans="1:23" ht="15.75" thickBot="1" x14ac:dyDescent="0.3">
      <c r="A3" s="39" t="s">
        <v>7</v>
      </c>
      <c r="B3" s="40"/>
      <c r="C3" s="40"/>
      <c r="D3" s="40"/>
      <c r="E3" s="40"/>
      <c r="F3" s="40"/>
      <c r="I3" s="39" t="s">
        <v>7</v>
      </c>
      <c r="J3" s="40"/>
      <c r="K3" s="40"/>
      <c r="L3" s="40"/>
      <c r="M3" s="40"/>
      <c r="N3" s="40"/>
      <c r="Q3" s="39" t="s">
        <v>7</v>
      </c>
      <c r="R3" s="40"/>
      <c r="S3" s="40"/>
      <c r="T3" s="40"/>
      <c r="U3" s="40"/>
      <c r="V3" s="40"/>
    </row>
    <row r="4" spans="1:23" ht="15.75" thickBot="1" x14ac:dyDescent="0.3">
      <c r="A4" s="4" t="s">
        <v>8</v>
      </c>
      <c r="B4" s="4" t="s">
        <v>0</v>
      </c>
      <c r="C4" s="4" t="s">
        <v>10</v>
      </c>
      <c r="D4" s="4" t="s">
        <v>11</v>
      </c>
      <c r="E4" s="4" t="s">
        <v>15</v>
      </c>
      <c r="F4" s="4" t="s">
        <v>9</v>
      </c>
      <c r="G4" s="4" t="s">
        <v>16</v>
      </c>
      <c r="I4" s="4" t="s">
        <v>8</v>
      </c>
      <c r="J4" s="4" t="s">
        <v>0</v>
      </c>
      <c r="K4" s="4" t="s">
        <v>10</v>
      </c>
      <c r="L4" s="4" t="s">
        <v>11</v>
      </c>
      <c r="M4" s="4" t="s">
        <v>15</v>
      </c>
      <c r="N4" s="4" t="s">
        <v>9</v>
      </c>
      <c r="O4" s="4" t="s">
        <v>16</v>
      </c>
      <c r="Q4" s="4" t="s">
        <v>8</v>
      </c>
      <c r="R4" s="4" t="s">
        <v>0</v>
      </c>
      <c r="S4" s="4" t="s">
        <v>10</v>
      </c>
      <c r="T4" s="4" t="s">
        <v>11</v>
      </c>
      <c r="U4" s="4" t="s">
        <v>15</v>
      </c>
      <c r="V4" s="4" t="s">
        <v>9</v>
      </c>
      <c r="W4" s="4" t="s">
        <v>16</v>
      </c>
    </row>
    <row r="5" spans="1:23" ht="15.75" thickBot="1" x14ac:dyDescent="0.3">
      <c r="A5" s="1">
        <v>1</v>
      </c>
      <c r="B5" s="2">
        <v>1</v>
      </c>
      <c r="C5" s="26">
        <f>45*3</f>
        <v>135</v>
      </c>
      <c r="D5" s="26">
        <f>C5*0.15</f>
        <v>20.25</v>
      </c>
      <c r="E5" s="26">
        <f>SQRT(C5*C5+D5*D5)</f>
        <v>136.51030180905761</v>
      </c>
      <c r="F5" s="26">
        <f>E5</f>
        <v>136.51030180905761</v>
      </c>
      <c r="G5" s="9">
        <f>E5/F5</f>
        <v>1</v>
      </c>
      <c r="I5" s="1">
        <v>1</v>
      </c>
      <c r="J5" s="2">
        <v>1</v>
      </c>
      <c r="K5" s="26">
        <f>45*3</f>
        <v>135</v>
      </c>
      <c r="L5" s="26">
        <f>K5*0.15</f>
        <v>20.25</v>
      </c>
      <c r="M5" s="26">
        <f>SQRT(K5*K5+L5*L5)</f>
        <v>136.51030180905761</v>
      </c>
      <c r="N5" s="26">
        <f>M5</f>
        <v>136.51030180905761</v>
      </c>
      <c r="O5" s="9">
        <f>M5/N5</f>
        <v>1</v>
      </c>
      <c r="Q5" s="1">
        <v>1</v>
      </c>
      <c r="R5" s="2">
        <v>1</v>
      </c>
      <c r="S5" s="26">
        <f>45*3</f>
        <v>135</v>
      </c>
      <c r="T5" s="26">
        <f>S5*0.15</f>
        <v>20.25</v>
      </c>
      <c r="U5" s="26">
        <f>SQRT(S5*S5+T5*T5)</f>
        <v>136.51030180905761</v>
      </c>
      <c r="V5" s="26">
        <f>U5</f>
        <v>136.51030180905761</v>
      </c>
      <c r="W5" s="9">
        <f>U5/V5</f>
        <v>1</v>
      </c>
    </row>
    <row r="6" spans="1:23" ht="15.75" thickBot="1" x14ac:dyDescent="0.3">
      <c r="A6" s="1">
        <v>2</v>
      </c>
      <c r="B6" s="2">
        <v>2</v>
      </c>
      <c r="C6" s="26">
        <v>0</v>
      </c>
      <c r="D6" s="26">
        <f>66*2</f>
        <v>132</v>
      </c>
      <c r="E6" s="26">
        <f t="shared" ref="E6:E9" si="0">SQRT(C6*C6+D6*D6)</f>
        <v>132</v>
      </c>
      <c r="F6" s="26">
        <f t="shared" ref="F6:F9" si="1">E6</f>
        <v>132</v>
      </c>
      <c r="G6" s="9">
        <f t="shared" ref="G6:G9" si="2">E6/F6</f>
        <v>1</v>
      </c>
      <c r="I6" s="1">
        <v>2</v>
      </c>
      <c r="J6" s="2">
        <v>2</v>
      </c>
      <c r="K6" s="26">
        <v>0</v>
      </c>
      <c r="L6" s="26">
        <f>66*2</f>
        <v>132</v>
      </c>
      <c r="M6" s="26">
        <f t="shared" ref="M6:M9" si="3">SQRT(K6*K6+L6*L6)</f>
        <v>132</v>
      </c>
      <c r="N6" s="26">
        <f t="shared" ref="N6:N9" si="4">M6</f>
        <v>132</v>
      </c>
      <c r="O6" s="9">
        <f t="shared" ref="O6:O9" si="5">M6/N6</f>
        <v>1</v>
      </c>
      <c r="Q6" s="1">
        <v>2</v>
      </c>
      <c r="R6" s="2">
        <v>2</v>
      </c>
      <c r="S6" s="26">
        <v>0</v>
      </c>
      <c r="T6" s="26">
        <f>66*2</f>
        <v>132</v>
      </c>
      <c r="U6" s="26">
        <f t="shared" ref="U6:U9" si="6">SQRT(S6*S6+T6*T6)</f>
        <v>132</v>
      </c>
      <c r="V6" s="26">
        <f t="shared" ref="V6:V9" si="7">U6</f>
        <v>132</v>
      </c>
      <c r="W6" s="9">
        <f t="shared" ref="W6:W9" si="8">U6/V6</f>
        <v>1</v>
      </c>
    </row>
    <row r="7" spans="1:23" ht="15.75" thickBot="1" x14ac:dyDescent="0.3">
      <c r="A7" s="1">
        <v>3</v>
      </c>
      <c r="B7" s="2">
        <v>3</v>
      </c>
      <c r="C7" s="3">
        <f>125*3</f>
        <v>375</v>
      </c>
      <c r="D7" s="3">
        <f>0.1*C7</f>
        <v>37.5</v>
      </c>
      <c r="E7" s="26">
        <f t="shared" si="0"/>
        <v>376.87033579203336</v>
      </c>
      <c r="F7" s="26">
        <f t="shared" si="1"/>
        <v>376.87033579203336</v>
      </c>
      <c r="G7" s="9">
        <f t="shared" si="2"/>
        <v>1</v>
      </c>
      <c r="I7" s="1">
        <v>3</v>
      </c>
      <c r="J7" s="2">
        <v>3</v>
      </c>
      <c r="K7" s="3">
        <f>125*3</f>
        <v>375</v>
      </c>
      <c r="L7" s="3">
        <f>0.1*K7</f>
        <v>37.5</v>
      </c>
      <c r="M7" s="26">
        <f t="shared" si="3"/>
        <v>376.87033579203336</v>
      </c>
      <c r="N7" s="26">
        <f t="shared" si="4"/>
        <v>376.87033579203336</v>
      </c>
      <c r="O7" s="9">
        <f t="shared" si="5"/>
        <v>1</v>
      </c>
      <c r="Q7" s="1">
        <v>3</v>
      </c>
      <c r="R7" s="2">
        <v>3</v>
      </c>
      <c r="S7" s="3">
        <f>125*3</f>
        <v>375</v>
      </c>
      <c r="T7" s="3">
        <f>0.1*S7</f>
        <v>37.5</v>
      </c>
      <c r="U7" s="26">
        <f t="shared" si="6"/>
        <v>376.87033579203336</v>
      </c>
      <c r="V7" s="26">
        <f t="shared" si="7"/>
        <v>376.87033579203336</v>
      </c>
      <c r="W7" s="9">
        <f t="shared" si="8"/>
        <v>1</v>
      </c>
    </row>
    <row r="8" spans="1:23" ht="15.75" thickBot="1" x14ac:dyDescent="0.3">
      <c r="A8" s="1">
        <v>4</v>
      </c>
      <c r="B8" s="2">
        <v>8</v>
      </c>
      <c r="C8" s="3">
        <f>13*2+24*2</f>
        <v>74</v>
      </c>
      <c r="D8" s="3">
        <f>C8*0.2</f>
        <v>14.8</v>
      </c>
      <c r="E8" s="26">
        <f t="shared" si="0"/>
        <v>75.465488801173208</v>
      </c>
      <c r="F8" s="26">
        <f t="shared" si="1"/>
        <v>75.465488801173208</v>
      </c>
      <c r="G8" s="9">
        <f t="shared" si="2"/>
        <v>1</v>
      </c>
      <c r="I8" s="1">
        <v>4</v>
      </c>
      <c r="J8" s="2">
        <v>8</v>
      </c>
      <c r="K8" s="3">
        <f>13*2+24*2</f>
        <v>74</v>
      </c>
      <c r="L8" s="3">
        <f>K8*0.2</f>
        <v>14.8</v>
      </c>
      <c r="M8" s="26">
        <f t="shared" si="3"/>
        <v>75.465488801173208</v>
      </c>
      <c r="N8" s="26">
        <f t="shared" si="4"/>
        <v>75.465488801173208</v>
      </c>
      <c r="O8" s="9">
        <f t="shared" si="5"/>
        <v>1</v>
      </c>
      <c r="Q8" s="1">
        <v>4</v>
      </c>
      <c r="R8" s="2">
        <v>8</v>
      </c>
      <c r="S8" s="3">
        <f>13*2+24*2</f>
        <v>74</v>
      </c>
      <c r="T8" s="3">
        <f>S8*0.2</f>
        <v>14.8</v>
      </c>
      <c r="U8" s="26">
        <f t="shared" si="6"/>
        <v>75.465488801173208</v>
      </c>
      <c r="V8" s="26">
        <f t="shared" si="7"/>
        <v>75.465488801173208</v>
      </c>
      <c r="W8" s="9">
        <f t="shared" si="8"/>
        <v>1</v>
      </c>
    </row>
    <row r="9" spans="1:23" ht="15.75" thickBot="1" x14ac:dyDescent="0.3">
      <c r="A9" s="1">
        <v>5</v>
      </c>
      <c r="B9" s="2">
        <v>25</v>
      </c>
      <c r="C9" s="3">
        <f>125+95+95</f>
        <v>315</v>
      </c>
      <c r="D9" s="3">
        <f>125*(1-0.936)+95*0.1+95*0.1</f>
        <v>26.999999999999993</v>
      </c>
      <c r="E9" s="26">
        <f t="shared" si="0"/>
        <v>316.1550252645053</v>
      </c>
      <c r="F9" s="26">
        <f t="shared" si="1"/>
        <v>316.1550252645053</v>
      </c>
      <c r="G9" s="9">
        <f t="shared" si="2"/>
        <v>1</v>
      </c>
      <c r="I9" s="1">
        <v>5</v>
      </c>
      <c r="J9" s="2">
        <v>25</v>
      </c>
      <c r="K9" s="3">
        <f>125+95+95</f>
        <v>315</v>
      </c>
      <c r="L9" s="3">
        <f>125*(1-0.936)+95*0.1+95*0.1</f>
        <v>26.999999999999993</v>
      </c>
      <c r="M9" s="26">
        <f t="shared" si="3"/>
        <v>316.1550252645053</v>
      </c>
      <c r="N9" s="26">
        <f t="shared" si="4"/>
        <v>316.1550252645053</v>
      </c>
      <c r="O9" s="9">
        <f t="shared" si="5"/>
        <v>1</v>
      </c>
      <c r="Q9" s="1">
        <v>5</v>
      </c>
      <c r="R9" s="2">
        <v>25</v>
      </c>
      <c r="S9" s="3">
        <f>125+95+95</f>
        <v>315</v>
      </c>
      <c r="T9" s="3">
        <f>125*(1-0.936)+95*0.1+95*0.1</f>
        <v>26.999999999999993</v>
      </c>
      <c r="U9" s="26">
        <f t="shared" si="6"/>
        <v>316.1550252645053</v>
      </c>
      <c r="V9" s="26">
        <f t="shared" si="7"/>
        <v>316.1550252645053</v>
      </c>
      <c r="W9" s="9">
        <f t="shared" si="8"/>
        <v>1</v>
      </c>
    </row>
    <row r="10" spans="1:23" ht="15.75" thickBot="1" x14ac:dyDescent="0.3">
      <c r="A10" s="1"/>
      <c r="B10" s="2"/>
      <c r="C10" s="3"/>
      <c r="D10" s="3"/>
      <c r="E10" s="26"/>
      <c r="F10" s="26"/>
      <c r="G10" s="9"/>
      <c r="I10" s="1"/>
      <c r="J10" s="2"/>
      <c r="K10" s="3"/>
      <c r="L10" s="3"/>
      <c r="M10" s="26"/>
      <c r="N10" s="26"/>
      <c r="O10" s="9"/>
      <c r="Q10" s="1"/>
      <c r="R10" s="2"/>
      <c r="S10" s="3"/>
      <c r="T10" s="3"/>
      <c r="U10" s="26"/>
      <c r="V10" s="26"/>
      <c r="W10" s="9"/>
    </row>
    <row r="11" spans="1:23" ht="15.75" thickBot="1" x14ac:dyDescent="0.3"/>
    <row r="12" spans="1:23" ht="15.75" thickBot="1" x14ac:dyDescent="0.3">
      <c r="A12" s="41"/>
      <c r="B12" s="42"/>
      <c r="C12" s="43"/>
      <c r="I12" s="41"/>
      <c r="J12" s="42"/>
      <c r="K12" s="43"/>
      <c r="Q12" s="41"/>
      <c r="R12" s="42"/>
      <c r="S12" s="43"/>
    </row>
    <row r="13" spans="1:23" ht="16.5" thickTop="1" thickBot="1" x14ac:dyDescent="0.3">
      <c r="A13" s="41" t="s">
        <v>12</v>
      </c>
      <c r="B13" s="42"/>
      <c r="C13" s="43"/>
      <c r="I13" s="41" t="s">
        <v>12</v>
      </c>
      <c r="J13" s="42"/>
      <c r="K13" s="43"/>
      <c r="Q13" s="41" t="s">
        <v>12</v>
      </c>
      <c r="R13" s="42"/>
      <c r="S13" s="43"/>
    </row>
    <row r="14" spans="1:23" ht="16.5" thickTop="1" thickBot="1" x14ac:dyDescent="0.3">
      <c r="A14" s="6" t="s">
        <v>0</v>
      </c>
      <c r="B14" s="7" t="s">
        <v>13</v>
      </c>
      <c r="C14" s="7" t="s">
        <v>14</v>
      </c>
      <c r="I14" s="6" t="s">
        <v>0</v>
      </c>
      <c r="J14" s="7" t="s">
        <v>13</v>
      </c>
      <c r="K14" s="7" t="s">
        <v>14</v>
      </c>
      <c r="Q14" s="6" t="s">
        <v>0</v>
      </c>
      <c r="R14" s="7" t="s">
        <v>13</v>
      </c>
      <c r="S14" s="7" t="s">
        <v>14</v>
      </c>
    </row>
    <row r="15" spans="1:23" ht="15.75" thickBot="1" x14ac:dyDescent="0.3">
      <c r="A15" s="8">
        <v>1</v>
      </c>
      <c r="B15" s="27">
        <v>0</v>
      </c>
      <c r="C15" s="27">
        <v>0</v>
      </c>
      <c r="I15" s="8">
        <v>1</v>
      </c>
      <c r="J15" s="27">
        <v>0</v>
      </c>
      <c r="K15" s="27">
        <v>0</v>
      </c>
      <c r="Q15" s="8">
        <v>1</v>
      </c>
      <c r="R15" s="27">
        <v>0</v>
      </c>
      <c r="S15" s="27">
        <v>0</v>
      </c>
    </row>
    <row r="16" spans="1:23" ht="15.75" thickBot="1" x14ac:dyDescent="0.3">
      <c r="A16" s="8">
        <v>2</v>
      </c>
      <c r="B16" s="27">
        <v>0</v>
      </c>
      <c r="C16" s="27">
        <v>0</v>
      </c>
      <c r="I16" s="8">
        <v>2</v>
      </c>
      <c r="J16" s="27">
        <v>0</v>
      </c>
      <c r="K16" s="27">
        <v>0</v>
      </c>
      <c r="Q16" s="8">
        <v>2</v>
      </c>
      <c r="R16" s="27">
        <v>0</v>
      </c>
      <c r="S16" s="27">
        <v>0</v>
      </c>
    </row>
    <row r="17" spans="1:19" ht="15.75" thickBot="1" x14ac:dyDescent="0.3">
      <c r="A17" s="8">
        <v>3</v>
      </c>
      <c r="B17" s="27">
        <v>0</v>
      </c>
      <c r="C17" s="27">
        <v>0</v>
      </c>
      <c r="I17" s="8">
        <v>3</v>
      </c>
      <c r="J17" s="27">
        <v>0</v>
      </c>
      <c r="K17" s="27">
        <v>0</v>
      </c>
      <c r="Q17" s="8">
        <v>3</v>
      </c>
      <c r="R17" s="27">
        <v>0</v>
      </c>
      <c r="S17" s="27">
        <v>0</v>
      </c>
    </row>
    <row r="18" spans="1:19" ht="15.75" thickBot="1" x14ac:dyDescent="0.3">
      <c r="A18" s="8">
        <v>4</v>
      </c>
      <c r="B18" s="27">
        <v>32.477917917500001</v>
      </c>
      <c r="C18" s="27">
        <v>6.6385480986000003</v>
      </c>
      <c r="I18" s="8">
        <v>4</v>
      </c>
      <c r="J18" s="27">
        <v>32.477917917500001</v>
      </c>
      <c r="K18" s="27">
        <v>6.6385480986000003</v>
      </c>
      <c r="Q18" s="8">
        <v>4</v>
      </c>
      <c r="R18" s="27">
        <v>32.477917917500001</v>
      </c>
      <c r="S18" s="27">
        <v>6.6385480986000003</v>
      </c>
    </row>
    <row r="19" spans="1:19" ht="15.75" thickBot="1" x14ac:dyDescent="0.3">
      <c r="A19" s="8">
        <v>5</v>
      </c>
      <c r="B19" s="27">
        <v>3.6104194925000002</v>
      </c>
      <c r="C19" s="27">
        <v>0.83930603395000003</v>
      </c>
      <c r="I19" s="8">
        <v>5</v>
      </c>
      <c r="J19" s="27">
        <v>3.6104194925000002</v>
      </c>
      <c r="K19" s="27">
        <v>0.83930603395000003</v>
      </c>
      <c r="Q19" s="8">
        <v>5</v>
      </c>
      <c r="R19" s="27">
        <v>3.6104194925000002</v>
      </c>
      <c r="S19" s="27">
        <v>0.83930603395000003</v>
      </c>
    </row>
    <row r="20" spans="1:19" ht="15.75" thickBot="1" x14ac:dyDescent="0.3">
      <c r="A20" s="8">
        <v>6</v>
      </c>
      <c r="B20" s="27">
        <v>57.220508694999999</v>
      </c>
      <c r="C20" s="27">
        <v>17.812623132349998</v>
      </c>
      <c r="I20" s="8">
        <v>6</v>
      </c>
      <c r="J20" s="27">
        <v>57.220508694999999</v>
      </c>
      <c r="K20" s="27">
        <v>17.812623132349998</v>
      </c>
      <c r="Q20" s="8">
        <v>6</v>
      </c>
      <c r="R20" s="27">
        <v>57.220508694999999</v>
      </c>
      <c r="S20" s="27">
        <v>17.812623132349998</v>
      </c>
    </row>
    <row r="21" spans="1:19" ht="15.75" thickBot="1" x14ac:dyDescent="0.3">
      <c r="A21" s="8">
        <v>7</v>
      </c>
      <c r="B21" s="27">
        <v>5.8664063625000002</v>
      </c>
      <c r="C21" s="27">
        <v>1.59112302925</v>
      </c>
      <c r="I21" s="8">
        <v>7</v>
      </c>
      <c r="J21" s="27">
        <v>5.8664063625000002</v>
      </c>
      <c r="K21" s="27">
        <v>1.59112302925</v>
      </c>
      <c r="Q21" s="8">
        <v>7</v>
      </c>
      <c r="R21" s="27">
        <v>5.8664063625000002</v>
      </c>
      <c r="S21" s="27">
        <v>1.59112302925</v>
      </c>
    </row>
    <row r="22" spans="1:19" ht="15.75" thickBot="1" x14ac:dyDescent="0.3">
      <c r="A22" s="8">
        <v>8</v>
      </c>
      <c r="B22" s="27">
        <v>2.1756571650000001</v>
      </c>
      <c r="C22" s="27">
        <v>0.19507108905000001</v>
      </c>
      <c r="I22" s="8">
        <v>8</v>
      </c>
      <c r="J22" s="27">
        <v>2.1756571650000001</v>
      </c>
      <c r="K22" s="27">
        <v>0.19507108905000001</v>
      </c>
      <c r="Q22" s="8">
        <v>8</v>
      </c>
      <c r="R22" s="27">
        <v>2.1756571650000001</v>
      </c>
      <c r="S22" s="27">
        <v>0.19507108905000001</v>
      </c>
    </row>
    <row r="23" spans="1:19" ht="15.75" thickBot="1" x14ac:dyDescent="0.3">
      <c r="A23" s="8">
        <v>9</v>
      </c>
      <c r="B23" s="27">
        <v>32.445111999999995</v>
      </c>
      <c r="C23" s="27">
        <v>7.1181658372500003</v>
      </c>
      <c r="I23" s="8">
        <v>9</v>
      </c>
      <c r="J23" s="27">
        <v>32.445111999999995</v>
      </c>
      <c r="K23" s="27">
        <v>7.1181658372500003</v>
      </c>
      <c r="Q23" s="8">
        <v>9</v>
      </c>
      <c r="R23" s="27">
        <v>32.445111999999995</v>
      </c>
      <c r="S23" s="27">
        <v>7.1181658372500003</v>
      </c>
    </row>
    <row r="24" spans="1:19" ht="15.75" thickBot="1" x14ac:dyDescent="0.3">
      <c r="A24" s="8">
        <v>10</v>
      </c>
      <c r="B24" s="27">
        <v>25.042163752499999</v>
      </c>
      <c r="C24" s="27">
        <v>8.2633369171000002</v>
      </c>
      <c r="I24" s="8">
        <v>10</v>
      </c>
      <c r="J24" s="27">
        <v>25.042163752499999</v>
      </c>
      <c r="K24" s="27">
        <v>8.2633369171000002</v>
      </c>
      <c r="Q24" s="8">
        <v>10</v>
      </c>
      <c r="R24" s="27">
        <v>25.042163752499999</v>
      </c>
      <c r="S24" s="27">
        <v>8.2633369171000002</v>
      </c>
    </row>
    <row r="25" spans="1:19" ht="15.75" thickBot="1" x14ac:dyDescent="0.3">
      <c r="A25" s="8">
        <v>11</v>
      </c>
      <c r="B25" s="27">
        <v>0.55472983750000004</v>
      </c>
      <c r="C25" s="27">
        <v>0.14625990259999999</v>
      </c>
      <c r="I25" s="8">
        <v>11</v>
      </c>
      <c r="J25" s="27">
        <v>0.55472983750000004</v>
      </c>
      <c r="K25" s="27">
        <v>0.14625990259999999</v>
      </c>
      <c r="Q25" s="8">
        <v>11</v>
      </c>
      <c r="R25" s="27">
        <v>0.55472983750000004</v>
      </c>
      <c r="S25" s="27">
        <v>0.14625990259999999</v>
      </c>
    </row>
    <row r="26" spans="1:19" ht="15.75" thickBot="1" x14ac:dyDescent="0.3">
      <c r="A26" s="8">
        <v>12</v>
      </c>
      <c r="B26" s="27">
        <v>1.8197643525</v>
      </c>
      <c r="C26" s="27">
        <v>0.1848086803</v>
      </c>
      <c r="I26" s="8">
        <v>12</v>
      </c>
      <c r="J26" s="27">
        <v>1.8197643525</v>
      </c>
      <c r="K26" s="27">
        <v>0.1848086803</v>
      </c>
      <c r="Q26" s="8">
        <v>12</v>
      </c>
      <c r="R26" s="27">
        <v>1.8197643525</v>
      </c>
      <c r="S26" s="27">
        <v>0.1848086803</v>
      </c>
    </row>
    <row r="27" spans="1:19" ht="15.75" thickBot="1" x14ac:dyDescent="0.3">
      <c r="A27" s="8">
        <v>13</v>
      </c>
      <c r="B27" s="27">
        <v>39.500989587500001</v>
      </c>
      <c r="C27" s="27">
        <v>11.876327420399999</v>
      </c>
      <c r="I27" s="8">
        <v>13</v>
      </c>
      <c r="J27" s="27">
        <v>39.500989587500001</v>
      </c>
      <c r="K27" s="27">
        <v>11.876327420399999</v>
      </c>
      <c r="Q27" s="8">
        <v>13</v>
      </c>
      <c r="R27" s="27">
        <v>39.500989587500001</v>
      </c>
      <c r="S27" s="27">
        <v>11.876327420399999</v>
      </c>
    </row>
    <row r="28" spans="1:19" ht="15.75" thickBot="1" x14ac:dyDescent="0.3">
      <c r="A28" s="8">
        <v>14</v>
      </c>
      <c r="B28" s="27">
        <v>0</v>
      </c>
      <c r="C28" s="27">
        <v>0</v>
      </c>
      <c r="I28" s="8">
        <v>14</v>
      </c>
      <c r="J28" s="27">
        <v>0</v>
      </c>
      <c r="K28" s="27">
        <v>0</v>
      </c>
      <c r="Q28" s="8">
        <v>14</v>
      </c>
      <c r="R28" s="27">
        <v>0</v>
      </c>
      <c r="S28" s="27">
        <v>0</v>
      </c>
    </row>
    <row r="29" spans="1:19" ht="15.75" thickBot="1" x14ac:dyDescent="0.3">
      <c r="A29" s="8">
        <v>15</v>
      </c>
      <c r="B29" s="27">
        <v>21.374461584999999</v>
      </c>
      <c r="C29" s="27">
        <v>5.4257500947999997</v>
      </c>
      <c r="I29" s="8">
        <v>15</v>
      </c>
      <c r="J29" s="27">
        <v>21.374461584999999</v>
      </c>
      <c r="K29" s="27">
        <v>5.4257500947999997</v>
      </c>
      <c r="Q29" s="8">
        <v>15</v>
      </c>
      <c r="R29" s="27">
        <v>21.374461584999999</v>
      </c>
      <c r="S29" s="27">
        <v>5.4257500947999997</v>
      </c>
    </row>
    <row r="30" spans="1:19" ht="15.75" thickBot="1" x14ac:dyDescent="0.3">
      <c r="A30" s="8">
        <v>16</v>
      </c>
      <c r="B30" s="27">
        <v>10.889800165</v>
      </c>
      <c r="C30" s="27">
        <v>1.7918643742</v>
      </c>
      <c r="I30" s="8">
        <v>16</v>
      </c>
      <c r="J30" s="27">
        <v>10.889800165</v>
      </c>
      <c r="K30" s="27">
        <v>1.7918643742</v>
      </c>
      <c r="Q30" s="8">
        <v>16</v>
      </c>
      <c r="R30" s="27">
        <v>10.889800165</v>
      </c>
      <c r="S30" s="27">
        <v>1.7918643742</v>
      </c>
    </row>
    <row r="31" spans="1:19" ht="15.75" thickBot="1" x14ac:dyDescent="0.3">
      <c r="A31" s="8">
        <v>17</v>
      </c>
      <c r="B31" s="27">
        <v>17.566091324999999</v>
      </c>
      <c r="C31" s="27">
        <v>3.9444455678500003</v>
      </c>
      <c r="I31" s="8">
        <v>17</v>
      </c>
      <c r="J31" s="27">
        <v>17.566091324999999</v>
      </c>
      <c r="K31" s="27">
        <v>3.9444455678500003</v>
      </c>
      <c r="Q31" s="8">
        <v>17</v>
      </c>
      <c r="R31" s="27">
        <v>17.566091324999999</v>
      </c>
      <c r="S31" s="27">
        <v>3.9444455678500003</v>
      </c>
    </row>
    <row r="32" spans="1:19" ht="15.75" thickBot="1" x14ac:dyDescent="0.3">
      <c r="A32" s="8">
        <v>18</v>
      </c>
      <c r="B32" s="27">
        <v>12.54810412</v>
      </c>
      <c r="C32" s="27">
        <v>4.6559769294999995</v>
      </c>
      <c r="I32" s="8">
        <v>18</v>
      </c>
      <c r="J32" s="27">
        <v>12.54810412</v>
      </c>
      <c r="K32" s="27">
        <v>4.6559769294999995</v>
      </c>
      <c r="Q32" s="8">
        <v>18</v>
      </c>
      <c r="R32" s="27">
        <v>12.54810412</v>
      </c>
      <c r="S32" s="27">
        <v>4.6559769294999995</v>
      </c>
    </row>
    <row r="33" spans="1:19" ht="15.75" thickBot="1" x14ac:dyDescent="0.3">
      <c r="A33" s="8">
        <v>19</v>
      </c>
      <c r="B33" s="27">
        <v>0</v>
      </c>
      <c r="C33" s="27">
        <v>0</v>
      </c>
      <c r="I33" s="8">
        <v>19</v>
      </c>
      <c r="J33" s="27">
        <v>0</v>
      </c>
      <c r="K33" s="27">
        <v>0</v>
      </c>
      <c r="Q33" s="8">
        <v>19</v>
      </c>
      <c r="R33" s="27">
        <v>0</v>
      </c>
      <c r="S33" s="27">
        <v>0</v>
      </c>
    </row>
    <row r="34" spans="1:19" ht="15.75" thickBot="1" x14ac:dyDescent="0.3">
      <c r="A34" s="8">
        <v>20</v>
      </c>
      <c r="B34" s="27">
        <v>16.4836007</v>
      </c>
      <c r="C34" s="27">
        <v>4.8509885300000004</v>
      </c>
      <c r="I34" s="8">
        <v>20</v>
      </c>
      <c r="J34" s="27">
        <v>16.4836007</v>
      </c>
      <c r="K34" s="27">
        <v>4.8509885300000004</v>
      </c>
      <c r="Q34" s="8">
        <v>20</v>
      </c>
      <c r="R34" s="27">
        <v>16.4836007</v>
      </c>
      <c r="S34" s="27">
        <v>4.8509885300000004</v>
      </c>
    </row>
    <row r="35" spans="1:19" ht="15.75" thickBot="1" x14ac:dyDescent="0.3">
      <c r="A35" s="8">
        <v>21</v>
      </c>
      <c r="B35" s="27">
        <v>37.171568167500006</v>
      </c>
      <c r="C35" s="27">
        <v>9.2916111378500013</v>
      </c>
      <c r="I35" s="8">
        <v>21</v>
      </c>
      <c r="J35" s="27">
        <v>37.171568167500006</v>
      </c>
      <c r="K35" s="27">
        <v>9.2916111378500013</v>
      </c>
      <c r="Q35" s="8">
        <v>21</v>
      </c>
      <c r="R35" s="27">
        <v>37.171568167500006</v>
      </c>
      <c r="S35" s="27">
        <v>9.2916111378500013</v>
      </c>
    </row>
    <row r="36" spans="1:19" ht="15.75" thickBot="1" x14ac:dyDescent="0.3">
      <c r="A36" s="8">
        <v>22</v>
      </c>
      <c r="B36" s="27">
        <v>30.674319385</v>
      </c>
      <c r="C36" s="27">
        <v>13.1068719455875</v>
      </c>
      <c r="I36" s="8">
        <v>22</v>
      </c>
      <c r="J36" s="27">
        <v>30.674319385</v>
      </c>
      <c r="K36" s="27">
        <v>13.1068719455875</v>
      </c>
      <c r="Q36" s="8">
        <v>22</v>
      </c>
      <c r="R36" s="27">
        <v>30.674319385</v>
      </c>
      <c r="S36" s="27">
        <v>13.1068719455875</v>
      </c>
    </row>
    <row r="37" spans="1:19" ht="15.75" thickBot="1" x14ac:dyDescent="0.3">
      <c r="A37" s="8">
        <v>23</v>
      </c>
      <c r="B37" s="27">
        <v>2.2347655375</v>
      </c>
      <c r="C37" s="27">
        <v>0.86518713520000001</v>
      </c>
      <c r="I37" s="8">
        <v>23</v>
      </c>
      <c r="J37" s="27">
        <v>2.2347655375</v>
      </c>
      <c r="K37" s="27">
        <v>0.86518713520000001</v>
      </c>
      <c r="Q37" s="8">
        <v>23</v>
      </c>
      <c r="R37" s="27">
        <v>2.2347655375</v>
      </c>
      <c r="S37" s="27">
        <v>0.86518713520000001</v>
      </c>
    </row>
    <row r="38" spans="1:19" ht="15.75" thickBot="1" x14ac:dyDescent="0.3">
      <c r="A38" s="8">
        <v>24</v>
      </c>
      <c r="B38" s="27">
        <v>34.225778747500001</v>
      </c>
      <c r="C38" s="27">
        <v>10.37634970235</v>
      </c>
      <c r="I38" s="8">
        <v>24</v>
      </c>
      <c r="J38" s="27">
        <v>34.225778747500001</v>
      </c>
      <c r="K38" s="27">
        <v>10.37634970235</v>
      </c>
      <c r="Q38" s="8">
        <v>24</v>
      </c>
      <c r="R38" s="27">
        <v>34.225778747500001</v>
      </c>
      <c r="S38" s="27">
        <v>10.37634970235</v>
      </c>
    </row>
    <row r="39" spans="1:19" ht="15.75" thickBot="1" x14ac:dyDescent="0.3">
      <c r="A39" s="8">
        <v>25</v>
      </c>
      <c r="B39" s="27">
        <v>2.2040499999999996</v>
      </c>
      <c r="C39" s="27">
        <v>0.45807622754999999</v>
      </c>
      <c r="I39" s="8">
        <v>25</v>
      </c>
      <c r="J39" s="27">
        <v>2.2040499999999996</v>
      </c>
      <c r="K39" s="27">
        <v>0.45807622754999999</v>
      </c>
      <c r="Q39" s="8">
        <v>25</v>
      </c>
      <c r="R39" s="27">
        <v>2.2040499999999996</v>
      </c>
      <c r="S39" s="27">
        <v>0.45807622754999999</v>
      </c>
    </row>
    <row r="40" spans="1:19" ht="15.75" thickBot="1" x14ac:dyDescent="0.3">
      <c r="B40" s="7">
        <f>SUM(B15:B20)</f>
        <v>93.308846105000001</v>
      </c>
      <c r="C40" s="7">
        <f>SUM(C15:C20)</f>
        <v>25.290477264899998</v>
      </c>
      <c r="J40" s="7">
        <f>SUM(J15:J20)</f>
        <v>93.308846105000001</v>
      </c>
      <c r="K40" s="7">
        <f>SUM(K15:K20)</f>
        <v>25.290477264899998</v>
      </c>
      <c r="R40" s="7">
        <f>SUM(R15:R20)</f>
        <v>93.308846105000001</v>
      </c>
      <c r="S40" s="7">
        <f>SUM(S15:S20)</f>
        <v>25.290477264899998</v>
      </c>
    </row>
  </sheetData>
  <mergeCells count="12">
    <mergeCell ref="Q1:V1"/>
    <mergeCell ref="Q3:V3"/>
    <mergeCell ref="Q12:S12"/>
    <mergeCell ref="Q13:S13"/>
    <mergeCell ref="A3:F3"/>
    <mergeCell ref="A13:C13"/>
    <mergeCell ref="A1:F1"/>
    <mergeCell ref="I12:K12"/>
    <mergeCell ref="I13:K13"/>
    <mergeCell ref="A12:C12"/>
    <mergeCell ref="I3:N3"/>
    <mergeCell ref="I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DE85-E5B3-4476-B5B8-3975A18E7649}">
  <dimension ref="A1:G77"/>
  <sheetViews>
    <sheetView zoomScale="70" zoomScaleNormal="70" workbookViewId="0">
      <selection activeCell="J31" sqref="J31"/>
    </sheetView>
  </sheetViews>
  <sheetFormatPr baseColWidth="10" defaultRowHeight="15" x14ac:dyDescent="0.25"/>
  <cols>
    <col min="1" max="1" width="15.42578125" customWidth="1"/>
    <col min="4" max="4" width="32.85546875" customWidth="1"/>
    <col min="5" max="5" width="29.42578125" customWidth="1"/>
    <col min="6" max="6" width="29.85546875" customWidth="1"/>
  </cols>
  <sheetData>
    <row r="1" spans="1:7" ht="15.75" thickBot="1" x14ac:dyDescent="0.3">
      <c r="C1" s="52" t="s">
        <v>18</v>
      </c>
      <c r="D1" s="52"/>
      <c r="E1" s="52"/>
      <c r="F1" s="52"/>
    </row>
    <row r="2" spans="1:7" ht="15.75" thickBot="1" x14ac:dyDescent="0.3">
      <c r="A2" s="38"/>
      <c r="B2" s="50"/>
      <c r="C2" s="4" t="s">
        <v>0</v>
      </c>
      <c r="D2" s="4" t="s">
        <v>25</v>
      </c>
      <c r="E2" s="4" t="s">
        <v>26</v>
      </c>
      <c r="F2" s="4" t="s">
        <v>27</v>
      </c>
    </row>
    <row r="3" spans="1:7" ht="15.75" thickBot="1" x14ac:dyDescent="0.3">
      <c r="A3" s="38"/>
      <c r="B3" s="50"/>
      <c r="C3" s="4">
        <v>1</v>
      </c>
      <c r="D3" s="20">
        <v>1</v>
      </c>
      <c r="E3" s="20">
        <v>1</v>
      </c>
      <c r="F3" s="20">
        <v>1</v>
      </c>
    </row>
    <row r="4" spans="1:7" ht="15.75" thickBot="1" x14ac:dyDescent="0.3">
      <c r="A4" s="38"/>
      <c r="B4" s="50"/>
      <c r="C4" s="4">
        <v>2</v>
      </c>
      <c r="D4" s="20">
        <v>1.00471026188602</v>
      </c>
      <c r="E4" s="20">
        <v>0.95534197175815605</v>
      </c>
      <c r="F4" s="20">
        <v>1.01854348863946</v>
      </c>
    </row>
    <row r="5" spans="1:7" ht="15.75" thickBot="1" x14ac:dyDescent="0.3">
      <c r="A5" s="38"/>
      <c r="B5" s="50"/>
      <c r="C5" s="4">
        <v>3</v>
      </c>
      <c r="D5" s="20">
        <v>1.02</v>
      </c>
      <c r="E5" s="20">
        <v>0.97</v>
      </c>
      <c r="F5" s="20">
        <v>1.05</v>
      </c>
    </row>
    <row r="6" spans="1:7" ht="15.75" thickBot="1" x14ac:dyDescent="0.3">
      <c r="A6" s="38"/>
      <c r="B6" s="50"/>
      <c r="C6" s="4">
        <v>4</v>
      </c>
      <c r="D6" s="20">
        <v>0.992399740528216</v>
      </c>
      <c r="E6" s="20">
        <v>1.04488022489912</v>
      </c>
      <c r="F6" s="21">
        <v>0.92877790496950396</v>
      </c>
    </row>
    <row r="7" spans="1:7" ht="15.75" thickBot="1" x14ac:dyDescent="0.3">
      <c r="A7" s="38"/>
      <c r="B7" s="50"/>
      <c r="C7" s="4">
        <v>5</v>
      </c>
      <c r="D7" s="20">
        <v>0.99105029288915703</v>
      </c>
      <c r="E7" s="20">
        <v>1.0357549526099299</v>
      </c>
      <c r="F7" s="21">
        <v>0.93172857467174897</v>
      </c>
    </row>
    <row r="8" spans="1:7" ht="15.75" thickBot="1" x14ac:dyDescent="0.3">
      <c r="A8" s="38"/>
      <c r="B8" s="50"/>
      <c r="C8" s="4">
        <v>6</v>
      </c>
      <c r="D8" s="20">
        <v>0.99094936523510402</v>
      </c>
      <c r="E8" s="20">
        <v>1.0346613860060301</v>
      </c>
      <c r="F8" s="21">
        <v>0.93218193354086198</v>
      </c>
    </row>
    <row r="9" spans="1:7" ht="15.75" thickBot="1" x14ac:dyDescent="0.3">
      <c r="A9" s="38"/>
      <c r="B9" s="50"/>
      <c r="C9" s="4">
        <v>7</v>
      </c>
      <c r="D9" s="20">
        <v>0.99138930463365105</v>
      </c>
      <c r="E9" s="20">
        <v>1.0345387458244599</v>
      </c>
      <c r="F9" s="21">
        <v>0.93319376502638396</v>
      </c>
    </row>
    <row r="10" spans="1:7" ht="16.5" customHeight="1" thickBot="1" x14ac:dyDescent="0.3">
      <c r="A10" s="38"/>
      <c r="B10" s="50"/>
      <c r="C10" s="4">
        <v>8</v>
      </c>
      <c r="D10" s="20">
        <v>1.02</v>
      </c>
      <c r="E10" s="20">
        <v>1.0282670511412699</v>
      </c>
      <c r="F10" s="20">
        <v>0.97909138694787001</v>
      </c>
    </row>
    <row r="11" spans="1:7" ht="15.75" thickBot="1" x14ac:dyDescent="0.3">
      <c r="A11" s="38"/>
      <c r="B11" s="50"/>
      <c r="C11" s="4">
        <v>9</v>
      </c>
      <c r="D11" s="20">
        <v>0.99078061920037097</v>
      </c>
      <c r="E11" s="20">
        <v>1.03284823325241</v>
      </c>
      <c r="F11" s="21">
        <v>0.93365647548546704</v>
      </c>
    </row>
    <row r="12" spans="1:7" ht="15.75" thickBot="1" x14ac:dyDescent="0.3">
      <c r="A12" s="38"/>
      <c r="B12" s="50"/>
      <c r="C12" s="4">
        <v>10</v>
      </c>
      <c r="D12" s="20">
        <v>0.98676760595818902</v>
      </c>
      <c r="E12" s="20">
        <v>1.0181496546240001</v>
      </c>
      <c r="F12" s="21">
        <v>0.93571880316133604</v>
      </c>
    </row>
    <row r="13" spans="1:7" ht="15.75" thickBot="1" x14ac:dyDescent="0.3">
      <c r="A13" s="19"/>
      <c r="B13" s="19"/>
      <c r="C13" s="4">
        <v>11</v>
      </c>
      <c r="D13" s="20">
        <v>1.0147090722899299</v>
      </c>
      <c r="E13" s="20">
        <v>1.02301962362365</v>
      </c>
      <c r="F13" s="20">
        <v>0.97357400280166195</v>
      </c>
    </row>
    <row r="14" spans="1:7" ht="15.75" thickBot="1" x14ac:dyDescent="0.3">
      <c r="C14" s="4">
        <v>12</v>
      </c>
      <c r="D14" s="20">
        <v>1.01632700185075</v>
      </c>
      <c r="E14" s="20">
        <v>1.0246243869832501</v>
      </c>
      <c r="F14" s="20">
        <v>0.975260420582308</v>
      </c>
    </row>
    <row r="15" spans="1:7" ht="15.75" thickBot="1" x14ac:dyDescent="0.3">
      <c r="C15" s="4">
        <v>13</v>
      </c>
      <c r="D15" s="20">
        <v>0.99265724745856898</v>
      </c>
      <c r="E15" s="20">
        <v>1.0338467469184101</v>
      </c>
      <c r="F15" s="21">
        <v>0.93645269065584802</v>
      </c>
    </row>
    <row r="16" spans="1:7" ht="15.75" thickBot="1" x14ac:dyDescent="0.3">
      <c r="C16" s="4">
        <v>14</v>
      </c>
      <c r="D16" s="20">
        <v>0.99838310035693301</v>
      </c>
      <c r="E16" s="20">
        <v>1.00126731731938</v>
      </c>
      <c r="F16" s="20">
        <v>0.97177163453943705</v>
      </c>
      <c r="G16" s="5"/>
    </row>
    <row r="17" spans="1:7" ht="16.5" customHeight="1" thickBot="1" x14ac:dyDescent="0.3">
      <c r="C17" s="4">
        <v>15</v>
      </c>
      <c r="D17" s="20">
        <v>0.98831354833678697</v>
      </c>
      <c r="E17" s="20">
        <v>1.0067769386374801</v>
      </c>
      <c r="F17" s="21">
        <v>0.94551810143746495</v>
      </c>
      <c r="G17" s="5"/>
    </row>
    <row r="18" spans="1:7" ht="15.75" thickBot="1" x14ac:dyDescent="0.3">
      <c r="C18" s="4">
        <v>16</v>
      </c>
      <c r="D18" s="20">
        <v>1.0156846567098401</v>
      </c>
      <c r="E18" s="20">
        <v>1.02398726981962</v>
      </c>
      <c r="F18" s="20">
        <v>0.97459088014774797</v>
      </c>
      <c r="G18" s="5"/>
    </row>
    <row r="19" spans="1:7" ht="15.75" thickBot="1" x14ac:dyDescent="0.3">
      <c r="C19" s="4">
        <v>17</v>
      </c>
      <c r="D19" s="20">
        <v>0.98577638640088205</v>
      </c>
      <c r="E19" s="20">
        <v>1.01132099775601</v>
      </c>
      <c r="F19" s="21">
        <v>0.93823046980216795</v>
      </c>
      <c r="G19" s="5"/>
    </row>
    <row r="20" spans="1:7" ht="15.75" thickBot="1" x14ac:dyDescent="0.3">
      <c r="C20" s="4">
        <v>18</v>
      </c>
      <c r="D20" s="20">
        <v>0.98488493047519798</v>
      </c>
      <c r="E20" s="20">
        <v>0.96655157470596098</v>
      </c>
      <c r="F20" s="20">
        <v>0.96394588311028995</v>
      </c>
      <c r="G20" s="5"/>
    </row>
    <row r="21" spans="1:7" ht="15.75" thickBot="1" x14ac:dyDescent="0.3">
      <c r="C21" s="4">
        <v>19</v>
      </c>
      <c r="D21" s="20">
        <v>1.00054444562675</v>
      </c>
      <c r="E21" s="21">
        <v>0.93131191545577097</v>
      </c>
      <c r="F21" s="20">
        <v>1.03134931151376</v>
      </c>
      <c r="G21" s="5"/>
    </row>
    <row r="22" spans="1:7" ht="15.75" thickBot="1" x14ac:dyDescent="0.3">
      <c r="C22" s="4">
        <v>20</v>
      </c>
      <c r="D22" s="20">
        <v>0.98554490365891001</v>
      </c>
      <c r="E22" s="20">
        <v>1.0051184007857601</v>
      </c>
      <c r="F22" s="21">
        <v>0.94187710187192397</v>
      </c>
      <c r="G22" s="5"/>
    </row>
    <row r="23" spans="1:7" ht="15.75" thickBot="1" x14ac:dyDescent="0.3">
      <c r="C23" s="4">
        <v>21</v>
      </c>
      <c r="D23" s="20">
        <v>0.98400653941218497</v>
      </c>
      <c r="E23" s="20">
        <v>0.99490724627930605</v>
      </c>
      <c r="F23" s="21">
        <v>0.94527557307274501</v>
      </c>
      <c r="G23" s="5"/>
    </row>
    <row r="24" spans="1:7" ht="15.75" thickBot="1" x14ac:dyDescent="0.3">
      <c r="C24" s="4">
        <v>22</v>
      </c>
      <c r="D24" s="20">
        <v>0.98394578548034795</v>
      </c>
      <c r="E24" s="20">
        <v>0.98447288659363696</v>
      </c>
      <c r="F24" s="20">
        <v>0.95150074192974099</v>
      </c>
      <c r="G24" s="5"/>
    </row>
    <row r="25" spans="1:7" ht="15.75" thickBot="1" x14ac:dyDescent="0.3">
      <c r="C25" s="4">
        <v>23</v>
      </c>
      <c r="D25" s="20">
        <v>0.98693325879259397</v>
      </c>
      <c r="E25" s="20">
        <v>0.95402924771058695</v>
      </c>
      <c r="F25" s="20">
        <v>0.97476640034261797</v>
      </c>
      <c r="G25" s="5"/>
    </row>
    <row r="26" spans="1:7" ht="15.75" thickBot="1" x14ac:dyDescent="0.3">
      <c r="C26" s="4">
        <v>24</v>
      </c>
      <c r="D26" s="20">
        <v>0.98247523189110197</v>
      </c>
      <c r="E26" s="20">
        <v>0.96409554649428597</v>
      </c>
      <c r="F26" s="20">
        <v>0.96148312424775795</v>
      </c>
      <c r="G26" s="5"/>
    </row>
    <row r="27" spans="1:7" ht="15.75" thickBot="1" x14ac:dyDescent="0.3">
      <c r="C27" s="4">
        <v>25</v>
      </c>
      <c r="D27" s="20">
        <v>1.02</v>
      </c>
      <c r="E27" s="20">
        <v>0.97</v>
      </c>
      <c r="F27" s="20">
        <v>1.05</v>
      </c>
      <c r="G27" s="5"/>
    </row>
    <row r="28" spans="1:7" ht="15.75" thickBot="1" x14ac:dyDescent="0.3">
      <c r="C28" s="4"/>
      <c r="D28" s="22"/>
      <c r="E28" s="23"/>
      <c r="F28" s="23"/>
      <c r="G28" s="5"/>
    </row>
    <row r="29" spans="1:7" ht="15.75" thickBot="1" x14ac:dyDescent="0.3">
      <c r="G29" s="5"/>
    </row>
    <row r="30" spans="1:7" ht="15.75" thickBot="1" x14ac:dyDescent="0.3">
      <c r="A30" s="51" t="s">
        <v>17</v>
      </c>
      <c r="B30" s="51"/>
      <c r="C30" s="51"/>
      <c r="D30" s="51"/>
      <c r="E30" s="51"/>
      <c r="F30" s="51"/>
      <c r="G30" s="5"/>
    </row>
    <row r="31" spans="1:7" ht="15.75" thickBot="1" x14ac:dyDescent="0.3">
      <c r="A31" s="44" t="s">
        <v>1</v>
      </c>
      <c r="B31" s="10" t="s">
        <v>2</v>
      </c>
      <c r="C31" s="10" t="s">
        <v>3</v>
      </c>
      <c r="D31" s="10" t="s">
        <v>25</v>
      </c>
      <c r="E31" s="10" t="s">
        <v>26</v>
      </c>
      <c r="F31" s="10" t="s">
        <v>27</v>
      </c>
      <c r="G31" s="5"/>
    </row>
    <row r="32" spans="1:7" ht="15.75" thickBot="1" x14ac:dyDescent="0.3">
      <c r="A32" s="45"/>
      <c r="B32" s="24">
        <v>22</v>
      </c>
      <c r="C32" s="24">
        <v>23</v>
      </c>
      <c r="D32" s="28">
        <v>0.16109999999999999</v>
      </c>
      <c r="E32" s="28">
        <v>0.87450000000000006</v>
      </c>
      <c r="F32" s="28">
        <v>0.65100000000000002</v>
      </c>
      <c r="G32" s="5"/>
    </row>
    <row r="33" spans="1:7" ht="15.75" thickBot="1" x14ac:dyDescent="0.3">
      <c r="A33" s="45"/>
      <c r="B33" s="24">
        <v>1</v>
      </c>
      <c r="C33" s="24">
        <v>2</v>
      </c>
      <c r="D33" s="28">
        <v>0.45390000000000003</v>
      </c>
      <c r="E33" s="28">
        <v>0.47510000000000002</v>
      </c>
      <c r="F33" s="28">
        <v>0.44469999999999998</v>
      </c>
      <c r="G33" s="5"/>
    </row>
    <row r="34" spans="1:7" ht="15.75" thickBot="1" x14ac:dyDescent="0.3">
      <c r="A34" s="45"/>
      <c r="B34" s="24">
        <v>1</v>
      </c>
      <c r="C34" s="24">
        <v>2</v>
      </c>
      <c r="D34" s="28">
        <v>0.45369999999999999</v>
      </c>
      <c r="E34" s="28">
        <v>0.47499999999999998</v>
      </c>
      <c r="F34" s="28">
        <v>0.4446</v>
      </c>
      <c r="G34" s="5"/>
    </row>
    <row r="35" spans="1:7" ht="15.75" thickBot="1" x14ac:dyDescent="0.3">
      <c r="A35" s="45"/>
      <c r="B35" s="24">
        <v>5</v>
      </c>
      <c r="C35" s="24">
        <v>4</v>
      </c>
      <c r="D35" s="28">
        <v>0.1749</v>
      </c>
      <c r="E35" s="28">
        <v>0.34960000000000002</v>
      </c>
      <c r="F35" s="28">
        <v>0.13700000000000001</v>
      </c>
      <c r="G35" s="5"/>
    </row>
    <row r="36" spans="1:7" ht="15.75" thickBot="1" x14ac:dyDescent="0.3">
      <c r="A36" s="45"/>
      <c r="B36" s="24">
        <v>6</v>
      </c>
      <c r="C36" s="24">
        <v>5</v>
      </c>
      <c r="D36" s="28">
        <v>0.20019999999999999</v>
      </c>
      <c r="E36" s="28">
        <v>0.35770000000000002</v>
      </c>
      <c r="F36" s="28">
        <v>0.1744</v>
      </c>
    </row>
    <row r="37" spans="1:7" ht="15.75" thickBot="1" x14ac:dyDescent="0.3">
      <c r="A37" s="45"/>
      <c r="B37" s="24">
        <v>6</v>
      </c>
      <c r="C37" s="24">
        <v>7</v>
      </c>
      <c r="D37" s="28">
        <v>0.18279999999999999</v>
      </c>
      <c r="E37" s="28">
        <v>0.2109</v>
      </c>
      <c r="F37" s="28">
        <v>0.16869999999999999</v>
      </c>
    </row>
    <row r="38" spans="1:7" ht="15.75" thickBot="1" x14ac:dyDescent="0.3">
      <c r="A38" s="45"/>
      <c r="B38" s="24">
        <v>6</v>
      </c>
      <c r="C38" s="24">
        <v>7</v>
      </c>
      <c r="D38" s="28">
        <v>0.18279999999999999</v>
      </c>
      <c r="E38" s="28">
        <v>0.2109</v>
      </c>
      <c r="F38" s="28">
        <v>0.16869999999999999</v>
      </c>
    </row>
    <row r="39" spans="1:7" ht="15.75" thickBot="1" x14ac:dyDescent="0.3">
      <c r="A39" s="45"/>
      <c r="B39" s="24">
        <v>6</v>
      </c>
      <c r="C39" s="24">
        <v>4</v>
      </c>
      <c r="D39" s="28">
        <v>0.1777</v>
      </c>
      <c r="E39" s="28">
        <v>0.35049999999999998</v>
      </c>
      <c r="F39" s="28">
        <v>0.1411</v>
      </c>
    </row>
    <row r="40" spans="1:7" ht="15.75" thickBot="1" x14ac:dyDescent="0.3">
      <c r="A40" s="45"/>
      <c r="B40" s="24">
        <v>22</v>
      </c>
      <c r="C40" s="24">
        <v>21</v>
      </c>
      <c r="D40" s="28">
        <v>4.6300000000000001E-2</v>
      </c>
      <c r="E40" s="28">
        <v>0.3881</v>
      </c>
      <c r="F40" s="28">
        <v>0.22639999999999999</v>
      </c>
    </row>
    <row r="41" spans="1:7" ht="15.75" thickBot="1" x14ac:dyDescent="0.3">
      <c r="A41" s="45"/>
      <c r="B41" s="24">
        <v>22</v>
      </c>
      <c r="C41" s="24">
        <v>21</v>
      </c>
      <c r="D41" s="28">
        <v>4.6300000000000001E-2</v>
      </c>
      <c r="E41" s="28">
        <v>0.3881</v>
      </c>
      <c r="F41" s="28">
        <v>0.22639999999999999</v>
      </c>
    </row>
    <row r="42" spans="1:7" ht="15.75" thickBot="1" x14ac:dyDescent="0.3">
      <c r="A42" s="45"/>
      <c r="B42" s="24">
        <v>22</v>
      </c>
      <c r="C42" s="24">
        <v>20</v>
      </c>
      <c r="D42" s="28">
        <v>0.1119</v>
      </c>
      <c r="E42" s="28">
        <v>0.23280000000000001</v>
      </c>
      <c r="F42" s="28">
        <v>0.14990000000000001</v>
      </c>
    </row>
    <row r="43" spans="1:7" ht="15.75" thickBot="1" x14ac:dyDescent="0.3">
      <c r="A43" s="45"/>
      <c r="B43" s="24">
        <v>15</v>
      </c>
      <c r="C43" s="24">
        <v>18</v>
      </c>
      <c r="D43" s="28">
        <v>0.2402</v>
      </c>
      <c r="E43" s="28">
        <v>0.65159999999999996</v>
      </c>
      <c r="F43" s="28">
        <v>0.38519999999999999</v>
      </c>
    </row>
    <row r="44" spans="1:7" ht="15.75" thickBot="1" x14ac:dyDescent="0.3">
      <c r="A44" s="45"/>
      <c r="B44" s="24">
        <v>15</v>
      </c>
      <c r="C44" s="24">
        <v>13</v>
      </c>
      <c r="D44" s="28">
        <v>0.36330000000000001</v>
      </c>
      <c r="E44" s="28">
        <v>0.7379</v>
      </c>
      <c r="F44" s="28">
        <v>0.44400000000000001</v>
      </c>
    </row>
    <row r="45" spans="1:7" ht="15.75" thickBot="1" x14ac:dyDescent="0.3">
      <c r="A45" s="45"/>
      <c r="B45" s="24">
        <v>23</v>
      </c>
      <c r="C45" s="24">
        <v>18</v>
      </c>
      <c r="D45" s="28">
        <v>7.9600000000000004E-2</v>
      </c>
      <c r="E45" s="28">
        <v>0.48149999999999998</v>
      </c>
      <c r="F45" s="28">
        <v>0.41410000000000002</v>
      </c>
    </row>
    <row r="46" spans="1:7" ht="15.75" thickBot="1" x14ac:dyDescent="0.3">
      <c r="A46" s="45"/>
      <c r="B46" s="24">
        <v>3</v>
      </c>
      <c r="C46" s="24">
        <v>19</v>
      </c>
      <c r="D46" s="28">
        <v>0.31019999999999998</v>
      </c>
      <c r="E46" s="28">
        <v>0.3624</v>
      </c>
      <c r="F46" s="28">
        <v>0.29649999999999999</v>
      </c>
    </row>
    <row r="47" spans="1:7" ht="15.75" thickBot="1" x14ac:dyDescent="0.3">
      <c r="A47" s="45"/>
      <c r="B47" s="24">
        <v>3</v>
      </c>
      <c r="C47" s="24">
        <v>2</v>
      </c>
      <c r="D47" s="28">
        <v>0.60289999999999999</v>
      </c>
      <c r="E47" s="28">
        <v>0.62670000000000003</v>
      </c>
      <c r="F47" s="28">
        <v>0.60189999999999999</v>
      </c>
    </row>
    <row r="48" spans="1:7" ht="15.75" thickBot="1" x14ac:dyDescent="0.3">
      <c r="A48" s="45"/>
      <c r="B48" s="24">
        <v>8</v>
      </c>
      <c r="C48" s="24">
        <v>6</v>
      </c>
      <c r="D48" s="28">
        <v>0.29509999999999997</v>
      </c>
      <c r="E48" s="28">
        <v>0.32279999999999998</v>
      </c>
      <c r="F48" s="28">
        <v>0.33579999999999999</v>
      </c>
    </row>
    <row r="49" spans="1:6" ht="15.75" thickBot="1" x14ac:dyDescent="0.3">
      <c r="A49" s="45"/>
      <c r="B49" s="24">
        <v>8</v>
      </c>
      <c r="C49" s="24">
        <v>6</v>
      </c>
      <c r="D49" s="28">
        <v>0.30399999999999999</v>
      </c>
      <c r="E49" s="28">
        <v>0.33279999999999998</v>
      </c>
      <c r="F49" s="28">
        <v>0.34599999999999997</v>
      </c>
    </row>
    <row r="50" spans="1:6" ht="15.75" thickBot="1" x14ac:dyDescent="0.3">
      <c r="A50" s="45"/>
      <c r="B50" s="24">
        <v>8</v>
      </c>
      <c r="C50" s="24">
        <v>16</v>
      </c>
      <c r="D50" s="28">
        <v>6.8000000000000005E-2</v>
      </c>
      <c r="E50" s="28">
        <v>6.7500000000000004E-2</v>
      </c>
      <c r="F50" s="28">
        <v>7.0699999999999999E-2</v>
      </c>
    </row>
    <row r="51" spans="1:6" ht="15.75" thickBot="1" x14ac:dyDescent="0.3">
      <c r="A51" s="45"/>
      <c r="B51" s="24">
        <v>8</v>
      </c>
      <c r="C51" s="24">
        <v>12</v>
      </c>
      <c r="D51" s="28">
        <v>5.8299999999999998E-2</v>
      </c>
      <c r="E51" s="28">
        <v>5.79E-2</v>
      </c>
      <c r="F51" s="28">
        <v>6.0600000000000001E-2</v>
      </c>
    </row>
    <row r="52" spans="1:6" ht="15.75" thickBot="1" x14ac:dyDescent="0.3">
      <c r="A52" s="45"/>
      <c r="B52" s="24">
        <v>10</v>
      </c>
      <c r="C52" s="24">
        <v>4</v>
      </c>
      <c r="D52" s="28">
        <v>0.19470000000000001</v>
      </c>
      <c r="E52" s="28">
        <v>0.4899</v>
      </c>
      <c r="F52" s="28">
        <v>0.23760000000000001</v>
      </c>
    </row>
    <row r="53" spans="1:6" ht="15.75" thickBot="1" x14ac:dyDescent="0.3">
      <c r="A53" s="45"/>
      <c r="B53" s="24">
        <v>10</v>
      </c>
      <c r="C53" s="24">
        <v>4</v>
      </c>
      <c r="D53" s="28">
        <v>0.19470000000000001</v>
      </c>
      <c r="E53" s="28">
        <v>0.4899</v>
      </c>
      <c r="F53" s="28">
        <v>0.23760000000000001</v>
      </c>
    </row>
    <row r="54" spans="1:6" ht="15.75" thickBot="1" x14ac:dyDescent="0.3">
      <c r="A54" s="45"/>
      <c r="B54" s="24">
        <v>16</v>
      </c>
      <c r="C54" s="24">
        <v>12</v>
      </c>
      <c r="D54" s="28">
        <v>4.0300000000000002E-2</v>
      </c>
      <c r="E54" s="28">
        <v>0.04</v>
      </c>
      <c r="F54" s="28">
        <v>4.19E-2</v>
      </c>
    </row>
    <row r="55" spans="1:6" ht="15.75" thickBot="1" x14ac:dyDescent="0.3">
      <c r="A55" s="45"/>
      <c r="B55" s="24">
        <v>14</v>
      </c>
      <c r="C55" s="24">
        <v>2</v>
      </c>
      <c r="D55" s="28">
        <v>0.1094</v>
      </c>
      <c r="E55" s="28">
        <v>0.53759999999999997</v>
      </c>
      <c r="F55" s="28">
        <v>0.54559999999999997</v>
      </c>
    </row>
    <row r="56" spans="1:6" ht="15.75" thickBot="1" x14ac:dyDescent="0.3">
      <c r="A56" s="45"/>
      <c r="B56" s="24">
        <v>18</v>
      </c>
      <c r="C56" s="24">
        <v>24</v>
      </c>
      <c r="D56" s="28">
        <v>0.25269999999999998</v>
      </c>
      <c r="E56" s="28">
        <v>0.25750000000000001</v>
      </c>
      <c r="F56" s="28">
        <v>0.25819999999999999</v>
      </c>
    </row>
    <row r="57" spans="1:6" ht="15.75" thickBot="1" x14ac:dyDescent="0.3">
      <c r="A57" s="45"/>
      <c r="B57" s="24">
        <v>11</v>
      </c>
      <c r="C57" s="24">
        <v>16</v>
      </c>
      <c r="D57" s="28">
        <v>2.23E-2</v>
      </c>
      <c r="E57" s="28">
        <v>2.24E-2</v>
      </c>
      <c r="F57" s="28">
        <v>2.1700000000000001E-2</v>
      </c>
    </row>
    <row r="58" spans="1:6" ht="15.75" thickBot="1" x14ac:dyDescent="0.3">
      <c r="A58" s="45"/>
      <c r="B58" s="24">
        <v>13</v>
      </c>
      <c r="C58" s="24">
        <v>20</v>
      </c>
      <c r="D58" s="28">
        <v>0.20680000000000001</v>
      </c>
      <c r="E58" s="28">
        <v>0.31480000000000002</v>
      </c>
      <c r="F58" s="28">
        <v>0.2122</v>
      </c>
    </row>
    <row r="59" spans="1:6" ht="15.75" thickBot="1" x14ac:dyDescent="0.3">
      <c r="A59" s="45"/>
      <c r="B59" s="24">
        <v>19</v>
      </c>
      <c r="C59" s="24">
        <v>25</v>
      </c>
      <c r="D59" s="28">
        <v>0.69750000000000001</v>
      </c>
      <c r="E59" s="28">
        <v>0.748</v>
      </c>
      <c r="F59" s="28">
        <v>0.67730000000000001</v>
      </c>
    </row>
    <row r="60" spans="1:6" ht="15.75" thickBot="1" x14ac:dyDescent="0.3">
      <c r="A60" s="45"/>
      <c r="B60" s="24">
        <v>13</v>
      </c>
      <c r="C60" s="24">
        <v>7</v>
      </c>
      <c r="D60" s="28">
        <v>0.15679999999999999</v>
      </c>
      <c r="E60" s="28">
        <v>0.16600000000000001</v>
      </c>
      <c r="F60" s="28">
        <v>0.15559999999999999</v>
      </c>
    </row>
    <row r="61" spans="1:6" ht="15.75" thickBot="1" x14ac:dyDescent="0.3">
      <c r="A61" s="45"/>
      <c r="B61" s="24">
        <v>19</v>
      </c>
      <c r="C61" s="24">
        <v>2</v>
      </c>
      <c r="D61" s="28">
        <v>0.57020000000000004</v>
      </c>
      <c r="E61" s="28">
        <v>0.624</v>
      </c>
      <c r="F61" s="28">
        <v>0.57809999999999995</v>
      </c>
    </row>
    <row r="62" spans="1:6" ht="15.75" thickBot="1" x14ac:dyDescent="0.3">
      <c r="A62" s="45"/>
      <c r="B62" s="24">
        <v>9</v>
      </c>
      <c r="C62" s="24">
        <v>7</v>
      </c>
      <c r="D62" s="28">
        <v>6.8199999999999997E-2</v>
      </c>
      <c r="E62" s="28">
        <v>8.4900000000000003E-2</v>
      </c>
      <c r="F62" s="28">
        <v>5.8099999999999999E-2</v>
      </c>
    </row>
    <row r="63" spans="1:6" ht="15.75" thickBot="1" x14ac:dyDescent="0.3">
      <c r="A63" s="45"/>
      <c r="B63" s="24">
        <v>9</v>
      </c>
      <c r="C63" s="24">
        <v>13</v>
      </c>
      <c r="D63" s="28">
        <v>0.23</v>
      </c>
      <c r="E63" s="28">
        <v>0.23050000000000001</v>
      </c>
      <c r="F63" s="28">
        <v>0.23669999999999999</v>
      </c>
    </row>
    <row r="64" spans="1:6" ht="15.75" thickBot="1" x14ac:dyDescent="0.3">
      <c r="A64" s="45"/>
      <c r="B64" s="24">
        <v>17</v>
      </c>
      <c r="C64" s="24">
        <v>21</v>
      </c>
      <c r="D64" s="28">
        <v>5.5500000000000001E-2</v>
      </c>
      <c r="E64" s="28">
        <v>0.33019999999999999</v>
      </c>
      <c r="F64" s="28">
        <v>0.1555</v>
      </c>
    </row>
    <row r="65" spans="1:6" ht="15.75" thickBot="1" x14ac:dyDescent="0.3">
      <c r="A65" s="45"/>
      <c r="B65" s="24">
        <v>17</v>
      </c>
      <c r="C65" s="24">
        <v>10</v>
      </c>
      <c r="D65" s="28">
        <v>9.6500000000000002E-2</v>
      </c>
      <c r="E65" s="28">
        <v>0.35699999999999998</v>
      </c>
      <c r="F65" s="28">
        <v>0.1671</v>
      </c>
    </row>
    <row r="66" spans="1:6" ht="15.75" thickBot="1" x14ac:dyDescent="0.3">
      <c r="A66" s="45"/>
      <c r="B66" s="24">
        <v>17</v>
      </c>
      <c r="C66" s="24">
        <v>10</v>
      </c>
      <c r="D66" s="28">
        <v>9.1300000000000006E-2</v>
      </c>
      <c r="E66" s="28">
        <v>0.3377</v>
      </c>
      <c r="F66" s="28">
        <v>0.15809999999999999</v>
      </c>
    </row>
    <row r="67" spans="1:6" ht="15.75" thickBot="1" x14ac:dyDescent="0.3">
      <c r="A67" s="46"/>
      <c r="B67" s="24">
        <v>17</v>
      </c>
      <c r="C67" s="24">
        <v>21</v>
      </c>
      <c r="D67" s="28">
        <v>5.5500000000000001E-2</v>
      </c>
      <c r="E67" s="28">
        <v>0.33019999999999999</v>
      </c>
      <c r="F67" s="28">
        <v>0.1555</v>
      </c>
    </row>
    <row r="68" spans="1:6" ht="15.75" thickBot="1" x14ac:dyDescent="0.3">
      <c r="A68" s="47" t="s">
        <v>4</v>
      </c>
      <c r="B68" s="24">
        <v>14</v>
      </c>
      <c r="C68" s="24">
        <v>23</v>
      </c>
      <c r="D68" s="28">
        <v>0.12640000000000001</v>
      </c>
      <c r="E68" s="28">
        <v>0.63770000000000004</v>
      </c>
      <c r="F68" s="28">
        <v>0.62819999999999998</v>
      </c>
    </row>
    <row r="69" spans="1:6" ht="15.75" thickBot="1" x14ac:dyDescent="0.3">
      <c r="A69" s="48"/>
      <c r="B69" s="24">
        <v>14</v>
      </c>
      <c r="C69" s="24">
        <v>23</v>
      </c>
      <c r="D69" s="28">
        <v>0.12479999999999999</v>
      </c>
      <c r="E69" s="28">
        <v>0.62939999999999996</v>
      </c>
      <c r="F69" s="28">
        <v>0.62009999999999998</v>
      </c>
    </row>
    <row r="70" spans="1:6" ht="15.75" thickBot="1" x14ac:dyDescent="0.3">
      <c r="A70" s="48"/>
      <c r="B70" s="24">
        <v>19</v>
      </c>
      <c r="C70" s="24">
        <v>13</v>
      </c>
      <c r="D70" s="28">
        <v>0.59570000000000001</v>
      </c>
      <c r="E70" s="28">
        <v>0.80630000000000002</v>
      </c>
      <c r="F70" s="28">
        <v>0.55179999999999996</v>
      </c>
    </row>
    <row r="71" spans="1:6" ht="15.75" thickBot="1" x14ac:dyDescent="0.3">
      <c r="A71" s="48"/>
      <c r="B71" s="24">
        <v>19</v>
      </c>
      <c r="C71" s="24">
        <v>13</v>
      </c>
      <c r="D71" s="28">
        <v>0.60870000000000002</v>
      </c>
      <c r="E71" s="28">
        <v>0.82399999999999995</v>
      </c>
      <c r="F71" s="28">
        <v>0.56379999999999997</v>
      </c>
    </row>
    <row r="72" spans="1:6" ht="15.75" thickBot="1" x14ac:dyDescent="0.3">
      <c r="A72" s="48"/>
      <c r="B72" s="24">
        <v>19</v>
      </c>
      <c r="C72" s="24">
        <v>13</v>
      </c>
      <c r="D72" s="28">
        <v>0.60599999999999998</v>
      </c>
      <c r="E72" s="28">
        <v>0.82040000000000002</v>
      </c>
      <c r="F72" s="28">
        <v>0.56140000000000001</v>
      </c>
    </row>
    <row r="73" spans="1:6" ht="15.75" thickBot="1" x14ac:dyDescent="0.3">
      <c r="A73" s="48"/>
      <c r="B73" s="24">
        <v>19</v>
      </c>
      <c r="C73" s="24">
        <v>13</v>
      </c>
      <c r="D73" s="28">
        <v>0.59440000000000004</v>
      </c>
      <c r="E73" s="28">
        <v>0.80459999999999998</v>
      </c>
      <c r="F73" s="28">
        <v>0.55059999999999998</v>
      </c>
    </row>
    <row r="74" spans="1:6" ht="15.75" thickBot="1" x14ac:dyDescent="0.3">
      <c r="A74" s="48"/>
      <c r="B74" s="24">
        <v>2</v>
      </c>
      <c r="C74" s="24">
        <v>4</v>
      </c>
      <c r="D74" s="28">
        <v>0.22770000000000001</v>
      </c>
      <c r="E74" s="28">
        <v>0.71250000000000002</v>
      </c>
      <c r="F74" s="28">
        <v>0.21820000000000001</v>
      </c>
    </row>
    <row r="75" spans="1:6" ht="15.75" thickBot="1" x14ac:dyDescent="0.3">
      <c r="A75" s="48"/>
      <c r="B75" s="24">
        <v>2</v>
      </c>
      <c r="C75" s="24">
        <v>4</v>
      </c>
      <c r="D75" s="28">
        <v>0.246</v>
      </c>
      <c r="E75" s="28">
        <v>0.76970000000000005</v>
      </c>
      <c r="F75" s="28">
        <v>0.23569999999999999</v>
      </c>
    </row>
    <row r="76" spans="1:6" ht="15.75" thickBot="1" x14ac:dyDescent="0.3">
      <c r="A76" s="48"/>
      <c r="B76" s="24">
        <v>2</v>
      </c>
      <c r="C76" s="24">
        <v>4</v>
      </c>
      <c r="D76" s="28">
        <v>0.22819999999999999</v>
      </c>
      <c r="E76" s="28">
        <v>0.71409999999999996</v>
      </c>
      <c r="F76" s="28">
        <v>0.21870000000000001</v>
      </c>
    </row>
    <row r="77" spans="1:6" ht="15.75" thickBot="1" x14ac:dyDescent="0.3">
      <c r="A77" s="49"/>
      <c r="B77" s="24">
        <v>2</v>
      </c>
      <c r="C77" s="24">
        <v>4</v>
      </c>
      <c r="D77" s="28">
        <v>0.24349999999999999</v>
      </c>
      <c r="E77" s="28">
        <v>0.76190000000000002</v>
      </c>
      <c r="F77" s="28">
        <v>0.23330000000000001</v>
      </c>
    </row>
  </sheetData>
  <mergeCells count="5">
    <mergeCell ref="A31:A67"/>
    <mergeCell ref="A68:A77"/>
    <mergeCell ref="A2:B12"/>
    <mergeCell ref="A30:F30"/>
    <mergeCell ref="C1:F1"/>
  </mergeCells>
  <conditionalFormatting sqref="D28:F28">
    <cfRule type="cellIs" dxfId="4" priority="9" stopIfTrue="1" operator="between">
      <formula>0.95</formula>
      <formula>1.05</formula>
    </cfRule>
    <cfRule type="cellIs" dxfId="3" priority="10" stopIfTrue="1" operator="greaterThan">
      <formula>1.05</formula>
    </cfRule>
    <cfRule type="cellIs" dxfId="2" priority="11" stopIfTrue="1" operator="lessThan">
      <formula>0.95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CE19-05B5-4D36-83F4-2B528C3A6880}">
  <dimension ref="A1:L41"/>
  <sheetViews>
    <sheetView tabSelected="1" zoomScale="85" zoomScaleNormal="85" workbookViewId="0">
      <selection activeCell="K10" sqref="K10"/>
    </sheetView>
  </sheetViews>
  <sheetFormatPr baseColWidth="10" defaultRowHeight="15" x14ac:dyDescent="0.25"/>
  <cols>
    <col min="3" max="3" width="15.42578125" customWidth="1"/>
    <col min="4" max="4" width="22.7109375" customWidth="1"/>
    <col min="5" max="5" width="15.42578125" bestFit="1" customWidth="1"/>
    <col min="6" max="6" width="7.85546875" customWidth="1"/>
    <col min="8" max="8" width="12.140625" customWidth="1"/>
    <col min="9" max="9" width="15.42578125" bestFit="1" customWidth="1"/>
    <col min="10" max="10" width="21.28515625" customWidth="1"/>
    <col min="11" max="11" width="102.85546875" customWidth="1"/>
    <col min="13" max="13" width="17.42578125" customWidth="1"/>
    <col min="14" max="14" width="12.85546875" customWidth="1"/>
  </cols>
  <sheetData>
    <row r="1" spans="1:12" ht="15.75" thickBot="1" x14ac:dyDescent="0.3"/>
    <row r="2" spans="1:12" ht="15.75" thickBot="1" x14ac:dyDescent="0.3">
      <c r="A2" s="55" t="s">
        <v>30</v>
      </c>
      <c r="B2" s="56"/>
      <c r="C2" s="53" t="s">
        <v>44</v>
      </c>
      <c r="D2" s="53"/>
      <c r="E2" s="53"/>
      <c r="F2" s="53"/>
      <c r="H2" s="54" t="s">
        <v>19</v>
      </c>
      <c r="I2" s="54"/>
      <c r="J2" s="54"/>
      <c r="K2" s="12"/>
    </row>
    <row r="3" spans="1:12" ht="15.75" thickBot="1" x14ac:dyDescent="0.3">
      <c r="A3" s="10" t="s">
        <v>2</v>
      </c>
      <c r="B3" s="10" t="s">
        <v>3</v>
      </c>
      <c r="C3" s="11" t="s">
        <v>5</v>
      </c>
      <c r="D3" s="11" t="s">
        <v>6</v>
      </c>
      <c r="E3" s="11" t="s">
        <v>23</v>
      </c>
      <c r="F3" s="11" t="s">
        <v>0</v>
      </c>
      <c r="H3" s="11" t="s">
        <v>20</v>
      </c>
      <c r="I3" s="11" t="s">
        <v>22</v>
      </c>
      <c r="J3" s="11" t="s">
        <v>21</v>
      </c>
      <c r="K3" s="35" t="s">
        <v>45</v>
      </c>
    </row>
    <row r="4" spans="1:12" ht="27" thickBot="1" x14ac:dyDescent="0.3">
      <c r="A4" s="13">
        <v>2</v>
      </c>
      <c r="B4" s="13">
        <v>3</v>
      </c>
      <c r="C4" s="30">
        <v>1.0098</v>
      </c>
      <c r="D4" s="24" t="s">
        <v>34</v>
      </c>
      <c r="E4" s="31">
        <v>0.96799999999999997</v>
      </c>
      <c r="F4" s="24">
        <v>24</v>
      </c>
      <c r="H4" s="36" t="s">
        <v>48</v>
      </c>
      <c r="I4" s="36" t="s">
        <v>36</v>
      </c>
      <c r="J4" s="36" t="s">
        <v>37</v>
      </c>
      <c r="K4" s="35" t="s">
        <v>42</v>
      </c>
    </row>
    <row r="5" spans="1:12" ht="27" customHeight="1" thickBot="1" x14ac:dyDescent="0.3">
      <c r="A5" s="13">
        <v>2</v>
      </c>
      <c r="B5" s="13">
        <v>14</v>
      </c>
      <c r="C5" s="25">
        <v>0.69799999999999995</v>
      </c>
      <c r="D5" s="24" t="s">
        <v>33</v>
      </c>
      <c r="E5" s="31">
        <v>0.97199999999999998</v>
      </c>
      <c r="F5" s="24">
        <v>24</v>
      </c>
      <c r="H5" s="36" t="s">
        <v>35</v>
      </c>
      <c r="I5" s="36" t="s">
        <v>38</v>
      </c>
      <c r="J5" s="36" t="s">
        <v>39</v>
      </c>
      <c r="K5" s="35" t="s">
        <v>43</v>
      </c>
    </row>
    <row r="6" spans="1:12" ht="15.75" thickBot="1" x14ac:dyDescent="0.3">
      <c r="A6" s="13">
        <v>2</v>
      </c>
      <c r="B6" s="13">
        <v>19</v>
      </c>
      <c r="C6" s="25">
        <v>0.97899999999999998</v>
      </c>
      <c r="D6" s="24" t="s">
        <v>31</v>
      </c>
      <c r="E6" s="31">
        <v>0.97850000000000004</v>
      </c>
      <c r="F6" s="24">
        <v>24</v>
      </c>
      <c r="H6" s="37" t="s">
        <v>47</v>
      </c>
      <c r="I6" s="36" t="s">
        <v>40</v>
      </c>
      <c r="J6" s="36" t="s">
        <v>41</v>
      </c>
      <c r="K6" s="35" t="s">
        <v>46</v>
      </c>
    </row>
    <row r="7" spans="1:12" ht="15.75" thickBot="1" x14ac:dyDescent="0.3">
      <c r="A7" s="13">
        <v>3</v>
      </c>
      <c r="B7" s="13">
        <v>19</v>
      </c>
      <c r="C7" s="25">
        <v>0.92459999999999998</v>
      </c>
      <c r="D7" s="24" t="s">
        <v>32</v>
      </c>
      <c r="E7" s="31">
        <v>0.97599999999999998</v>
      </c>
      <c r="F7" s="24">
        <v>24</v>
      </c>
      <c r="H7" s="14"/>
      <c r="I7" s="17"/>
      <c r="J7" s="15"/>
      <c r="K7" s="12"/>
    </row>
    <row r="8" spans="1:12" ht="15.75" thickBot="1" x14ac:dyDescent="0.3">
      <c r="A8" s="13">
        <v>4</v>
      </c>
      <c r="B8" s="13">
        <v>5</v>
      </c>
      <c r="C8" s="25">
        <v>0.69750000000000001</v>
      </c>
      <c r="D8" s="24" t="s">
        <v>33</v>
      </c>
      <c r="E8" s="31">
        <v>0.98250000000000004</v>
      </c>
      <c r="F8" s="24">
        <v>24</v>
      </c>
      <c r="H8" s="32"/>
      <c r="I8" s="33"/>
      <c r="J8" s="34"/>
      <c r="L8" s="16"/>
    </row>
    <row r="9" spans="1:12" ht="15.75" thickBot="1" x14ac:dyDescent="0.3">
      <c r="A9" s="13">
        <v>4</v>
      </c>
      <c r="B9" s="13">
        <v>6</v>
      </c>
      <c r="C9" s="25">
        <v>0.69750000000000001</v>
      </c>
      <c r="D9" s="24" t="s">
        <v>33</v>
      </c>
      <c r="E9" s="31">
        <v>0.98250000000000004</v>
      </c>
      <c r="F9" s="24">
        <v>24</v>
      </c>
    </row>
    <row r="10" spans="1:12" ht="15.75" thickBot="1" x14ac:dyDescent="0.3">
      <c r="A10" s="13">
        <v>4</v>
      </c>
      <c r="B10" s="13">
        <v>10</v>
      </c>
      <c r="C10" s="25">
        <v>0.69820000000000004</v>
      </c>
      <c r="D10" s="24" t="s">
        <v>33</v>
      </c>
      <c r="E10" s="31">
        <v>0.96179999999999999</v>
      </c>
      <c r="F10" s="24">
        <v>10</v>
      </c>
      <c r="H10" s="15"/>
      <c r="I10" s="17"/>
    </row>
    <row r="11" spans="1:12" ht="15.75" thickBot="1" x14ac:dyDescent="0.3">
      <c r="A11" s="13">
        <v>5</v>
      </c>
      <c r="B11" s="13">
        <v>6</v>
      </c>
      <c r="C11" s="25">
        <v>0.69750000000000001</v>
      </c>
      <c r="D11" s="24" t="s">
        <v>33</v>
      </c>
      <c r="E11" s="31">
        <v>0.98250000000000004</v>
      </c>
      <c r="F11" s="24">
        <v>24</v>
      </c>
      <c r="H11" s="15"/>
      <c r="I11" s="18"/>
    </row>
    <row r="12" spans="1:12" ht="15.75" thickBot="1" x14ac:dyDescent="0.3">
      <c r="A12" s="13">
        <v>6</v>
      </c>
      <c r="B12" s="13">
        <v>7</v>
      </c>
      <c r="C12" s="25">
        <v>0.69750000000000001</v>
      </c>
      <c r="D12" s="24" t="s">
        <v>33</v>
      </c>
      <c r="E12" s="31">
        <v>0.98209999999999997</v>
      </c>
      <c r="F12" s="24">
        <v>24</v>
      </c>
    </row>
    <row r="13" spans="1:12" ht="15.75" thickBot="1" x14ac:dyDescent="0.3">
      <c r="A13" s="13">
        <v>7</v>
      </c>
      <c r="B13" s="13">
        <v>9</v>
      </c>
      <c r="C13" s="25">
        <v>0.69750000000000001</v>
      </c>
      <c r="D13" s="24" t="s">
        <v>33</v>
      </c>
      <c r="E13" s="31">
        <v>0.98240000000000005</v>
      </c>
      <c r="F13" s="24">
        <v>24</v>
      </c>
    </row>
    <row r="14" spans="1:12" ht="15.75" thickBot="1" x14ac:dyDescent="0.3">
      <c r="A14" s="13">
        <v>7</v>
      </c>
      <c r="B14" s="13">
        <v>13</v>
      </c>
      <c r="C14" s="25">
        <v>0.69750000000000001</v>
      </c>
      <c r="D14" s="24" t="s">
        <v>33</v>
      </c>
      <c r="E14" s="31">
        <v>0.98250000000000004</v>
      </c>
      <c r="F14" s="24">
        <v>24</v>
      </c>
    </row>
    <row r="15" spans="1:12" ht="15.75" thickBot="1" x14ac:dyDescent="0.3">
      <c r="A15" s="13">
        <v>8</v>
      </c>
      <c r="B15" s="13">
        <v>12</v>
      </c>
      <c r="C15" s="25">
        <v>0.69750000000000001</v>
      </c>
      <c r="D15" s="24" t="s">
        <v>33</v>
      </c>
      <c r="E15" s="31">
        <v>0.98250000000000004</v>
      </c>
      <c r="F15" s="24">
        <v>24</v>
      </c>
    </row>
    <row r="16" spans="1:12" ht="15.75" thickBot="1" x14ac:dyDescent="0.3">
      <c r="A16" s="13">
        <v>8</v>
      </c>
      <c r="B16" s="13">
        <v>16</v>
      </c>
      <c r="C16" s="25">
        <v>0.69750000000000001</v>
      </c>
      <c r="D16" s="24" t="s">
        <v>33</v>
      </c>
      <c r="E16" s="31">
        <v>0.98250000000000004</v>
      </c>
      <c r="F16" s="24">
        <v>24</v>
      </c>
    </row>
    <row r="17" spans="1:6" ht="15.75" thickBot="1" x14ac:dyDescent="0.3">
      <c r="A17" s="13">
        <v>9</v>
      </c>
      <c r="B17" s="13">
        <v>13</v>
      </c>
      <c r="C17" s="25">
        <v>0.69740000000000002</v>
      </c>
      <c r="D17" s="24" t="s">
        <v>33</v>
      </c>
      <c r="E17" s="31">
        <v>0.98250000000000004</v>
      </c>
      <c r="F17" s="24">
        <v>24</v>
      </c>
    </row>
    <row r="18" spans="1:6" ht="15.75" thickBot="1" x14ac:dyDescent="0.3">
      <c r="A18" s="13">
        <v>10</v>
      </c>
      <c r="B18" s="13">
        <v>17</v>
      </c>
      <c r="C18" s="25">
        <v>0.69789999999999996</v>
      </c>
      <c r="D18" s="24" t="s">
        <v>33</v>
      </c>
      <c r="E18" s="31">
        <v>0.97099999999999997</v>
      </c>
      <c r="F18" s="24">
        <v>17</v>
      </c>
    </row>
    <row r="19" spans="1:6" ht="15.75" thickBot="1" x14ac:dyDescent="0.3">
      <c r="A19" s="13">
        <v>12</v>
      </c>
      <c r="B19" s="13">
        <v>16</v>
      </c>
      <c r="C19" s="25">
        <v>0.69750000000000001</v>
      </c>
      <c r="D19" s="24" t="s">
        <v>33</v>
      </c>
      <c r="E19" s="31">
        <v>0.98250000000000004</v>
      </c>
      <c r="F19" s="24">
        <v>24</v>
      </c>
    </row>
    <row r="20" spans="1:6" ht="15.75" thickBot="1" x14ac:dyDescent="0.3">
      <c r="A20" s="13">
        <v>13</v>
      </c>
      <c r="B20" s="13">
        <v>20</v>
      </c>
      <c r="C20" s="25">
        <v>0.69740000000000002</v>
      </c>
      <c r="D20" s="24" t="s">
        <v>33</v>
      </c>
      <c r="E20" s="31">
        <v>0.97629999999999995</v>
      </c>
      <c r="F20" s="24">
        <v>20</v>
      </c>
    </row>
    <row r="21" spans="1:6" ht="15.75" thickBot="1" x14ac:dyDescent="0.3">
      <c r="A21" s="13">
        <v>13</v>
      </c>
      <c r="B21" s="13">
        <v>15</v>
      </c>
      <c r="C21" s="25">
        <v>0.69740000000000002</v>
      </c>
      <c r="D21" s="24" t="s">
        <v>33</v>
      </c>
      <c r="E21" s="31">
        <v>0.97240000000000004</v>
      </c>
      <c r="F21" s="24">
        <v>15</v>
      </c>
    </row>
    <row r="22" spans="1:6" ht="15.75" thickBot="1" x14ac:dyDescent="0.3">
      <c r="A22" s="13">
        <v>15</v>
      </c>
      <c r="B22" s="13">
        <v>18</v>
      </c>
      <c r="C22" s="25">
        <v>0.69740000000000002</v>
      </c>
      <c r="D22" s="24" t="s">
        <v>33</v>
      </c>
      <c r="E22" s="31">
        <v>0.97819999999999996</v>
      </c>
      <c r="F22" s="24">
        <v>24</v>
      </c>
    </row>
    <row r="23" spans="1:6" ht="15.75" thickBot="1" x14ac:dyDescent="0.3">
      <c r="A23" s="13">
        <v>17</v>
      </c>
      <c r="B23" s="13">
        <v>21</v>
      </c>
      <c r="C23" s="25">
        <v>0.69769999999999999</v>
      </c>
      <c r="D23" s="24" t="s">
        <v>33</v>
      </c>
      <c r="E23" s="31">
        <v>0.97560000000000002</v>
      </c>
      <c r="F23" s="24">
        <v>21</v>
      </c>
    </row>
    <row r="24" spans="1:6" ht="15.75" thickBot="1" x14ac:dyDescent="0.3">
      <c r="A24" s="13">
        <v>18</v>
      </c>
      <c r="B24" s="13">
        <v>23</v>
      </c>
      <c r="C24" s="25">
        <v>0.69769999999999999</v>
      </c>
      <c r="D24" s="24" t="s">
        <v>33</v>
      </c>
      <c r="E24" s="31">
        <v>0.97209999999999996</v>
      </c>
      <c r="F24" s="24">
        <v>24</v>
      </c>
    </row>
    <row r="25" spans="1:6" ht="15.75" thickBot="1" x14ac:dyDescent="0.3">
      <c r="A25" s="13">
        <v>20</v>
      </c>
      <c r="B25" s="13">
        <v>22</v>
      </c>
      <c r="C25" s="25">
        <v>0.69750000000000001</v>
      </c>
      <c r="D25" s="24" t="s">
        <v>33</v>
      </c>
      <c r="E25" s="31">
        <v>0.98209999999999997</v>
      </c>
      <c r="F25" s="24">
        <v>24</v>
      </c>
    </row>
    <row r="26" spans="1:6" ht="15.75" thickBot="1" x14ac:dyDescent="0.3">
      <c r="A26" s="13">
        <v>21</v>
      </c>
      <c r="B26" s="13">
        <v>24</v>
      </c>
      <c r="C26" s="25">
        <v>0.69750000000000001</v>
      </c>
      <c r="D26" s="24" t="s">
        <v>33</v>
      </c>
      <c r="E26" s="31">
        <v>0.98250000000000004</v>
      </c>
      <c r="F26" s="24">
        <v>24</v>
      </c>
    </row>
    <row r="27" spans="1:6" ht="15.75" thickBot="1" x14ac:dyDescent="0.3">
      <c r="A27" s="13">
        <v>22</v>
      </c>
      <c r="B27" s="13">
        <v>23</v>
      </c>
      <c r="C27" s="25">
        <v>0.69750000000000001</v>
      </c>
      <c r="D27" s="24" t="s">
        <v>33</v>
      </c>
      <c r="E27" s="31">
        <v>0.97829999999999995</v>
      </c>
      <c r="F27" s="24">
        <v>22</v>
      </c>
    </row>
    <row r="28" spans="1:6" ht="15.75" thickBot="1" x14ac:dyDescent="0.3">
      <c r="A28" s="13"/>
      <c r="B28" s="13"/>
      <c r="C28" s="29"/>
      <c r="D28" s="12"/>
      <c r="E28" s="12"/>
      <c r="F28" s="12"/>
    </row>
    <row r="29" spans="1:6" ht="15.75" thickBot="1" x14ac:dyDescent="0.3">
      <c r="A29" s="13"/>
      <c r="B29" s="13"/>
      <c r="C29" s="29"/>
      <c r="D29" s="12"/>
      <c r="E29" s="12"/>
      <c r="F29" s="12"/>
    </row>
    <row r="30" spans="1:6" ht="15.75" thickBot="1" x14ac:dyDescent="0.3">
      <c r="A30" s="13"/>
      <c r="B30" s="13"/>
      <c r="C30" s="29"/>
      <c r="D30" s="12"/>
      <c r="E30" s="12"/>
      <c r="F30" s="12"/>
    </row>
    <row r="31" spans="1:6" ht="15.75" thickBot="1" x14ac:dyDescent="0.3">
      <c r="A31" s="12"/>
      <c r="B31" s="12"/>
      <c r="C31" s="29"/>
      <c r="D31" s="12"/>
      <c r="E31" s="12"/>
      <c r="F31" s="12"/>
    </row>
    <row r="32" spans="1:6" ht="15.75" thickBot="1" x14ac:dyDescent="0.3">
      <c r="A32" s="12"/>
      <c r="B32" s="12"/>
      <c r="C32" s="29"/>
      <c r="D32" s="12"/>
      <c r="E32" s="12"/>
      <c r="F32" s="12"/>
    </row>
    <row r="33" spans="1:6" ht="15.75" thickBot="1" x14ac:dyDescent="0.3">
      <c r="A33" s="12"/>
      <c r="B33" s="12"/>
      <c r="C33" s="29"/>
      <c r="D33" s="12"/>
      <c r="E33" s="12"/>
      <c r="F33" s="12"/>
    </row>
    <row r="34" spans="1:6" ht="15.75" thickBot="1" x14ac:dyDescent="0.3">
      <c r="A34" s="12"/>
      <c r="B34" s="12"/>
      <c r="C34" s="29"/>
      <c r="D34" s="12"/>
      <c r="E34" s="12"/>
      <c r="F34" s="12"/>
    </row>
    <row r="35" spans="1:6" ht="15.75" thickBot="1" x14ac:dyDescent="0.3">
      <c r="A35" s="12"/>
      <c r="B35" s="12"/>
      <c r="C35" s="29"/>
      <c r="D35" s="12"/>
      <c r="E35" s="12"/>
      <c r="F35" s="12"/>
    </row>
    <row r="36" spans="1:6" ht="15.75" thickBot="1" x14ac:dyDescent="0.3">
      <c r="A36" s="12"/>
      <c r="B36" s="12"/>
      <c r="C36" s="29"/>
      <c r="D36" s="12"/>
      <c r="E36" s="12"/>
      <c r="F36" s="12"/>
    </row>
    <row r="37" spans="1:6" ht="15.75" thickBot="1" x14ac:dyDescent="0.3">
      <c r="A37" s="12"/>
      <c r="B37" s="12"/>
      <c r="C37" s="29"/>
      <c r="D37" s="12"/>
      <c r="E37" s="12"/>
      <c r="F37" s="12"/>
    </row>
    <row r="38" spans="1:6" ht="15.75" thickBot="1" x14ac:dyDescent="0.3">
      <c r="A38" s="12"/>
      <c r="B38" s="12"/>
      <c r="C38" s="29"/>
      <c r="D38" s="12"/>
      <c r="E38" s="12"/>
      <c r="F38" s="12"/>
    </row>
    <row r="39" spans="1:6" ht="15.75" thickBot="1" x14ac:dyDescent="0.3">
      <c r="A39" s="12"/>
      <c r="B39" s="12"/>
      <c r="C39" s="29"/>
      <c r="D39" s="12"/>
      <c r="E39" s="12"/>
      <c r="F39" s="12"/>
    </row>
    <row r="40" spans="1:6" ht="15.75" thickBot="1" x14ac:dyDescent="0.3">
      <c r="A40" s="12"/>
      <c r="B40" s="12"/>
      <c r="C40" s="29"/>
      <c r="D40" s="12"/>
      <c r="E40" s="12"/>
      <c r="F40" s="12"/>
    </row>
    <row r="41" spans="1:6" ht="15.75" thickBot="1" x14ac:dyDescent="0.3">
      <c r="A41" s="12"/>
      <c r="B41" s="12"/>
      <c r="C41" s="29"/>
      <c r="D41" s="12"/>
      <c r="E41" s="12"/>
      <c r="F41" s="12"/>
    </row>
  </sheetData>
  <mergeCells count="3">
    <mergeCell ref="C2:F2"/>
    <mergeCell ref="H2:J2"/>
    <mergeCell ref="A2:B2"/>
  </mergeCells>
  <conditionalFormatting sqref="C4">
    <cfRule type="cellIs" dxfId="1" priority="19" operator="lessThan">
      <formula>1</formula>
    </cfRule>
    <cfRule type="cellIs" dxfId="0" priority="20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Generacion_Demanda</vt:lpstr>
      <vt:lpstr>Estado_inicial</vt:lpstr>
      <vt:lpstr>Contingencias</vt:lpstr>
    </vt:vector>
  </TitlesOfParts>
  <Company>Universidad industrial de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ANDRES SOTO RIOS</dc:creator>
  <cp:lastModifiedBy>Andres juan Anaya jaimes</cp:lastModifiedBy>
  <dcterms:created xsi:type="dcterms:W3CDTF">2024-11-15T17:36:11Z</dcterms:created>
  <dcterms:modified xsi:type="dcterms:W3CDTF">2025-11-26T04:48:30Z</dcterms:modified>
</cp:coreProperties>
</file>